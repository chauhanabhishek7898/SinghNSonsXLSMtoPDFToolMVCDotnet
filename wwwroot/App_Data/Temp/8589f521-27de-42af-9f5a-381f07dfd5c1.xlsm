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PL\Downloads\"/>
    </mc:Choice>
  </mc:AlternateContent>
  <xr:revisionPtr revIDLastSave="0" documentId="13_ncr:1_{C533091D-440C-4DE3-84E9-FCBC5A0EF99F}" xr6:coauthVersionLast="47" xr6:coauthVersionMax="47" xr10:uidLastSave="{00000000-0000-0000-0000-000000000000}"/>
  <bookViews>
    <workbookView xWindow="-120" yWindow="-120" windowWidth="20730" windowHeight="11040" tabRatio="742" xr2:uid="{00000000-000D-0000-FFFF-FFFF00000000}"/>
  </bookViews>
  <sheets>
    <sheet name="Credit Note" sheetId="20" r:id="rId1"/>
    <sheet name="Tax Invoice" sheetId="15" r:id="rId2"/>
    <sheet name="MOP" sheetId="14" r:id="rId3"/>
    <sheet name="Sheet1" sheetId="7" state="hidden" r:id="rId4"/>
    <sheet name="AOC" sheetId="17" r:id="rId5"/>
    <sheet name="DIFF" sheetId="21" r:id="rId6"/>
    <sheet name="Sheet2" sheetId="22" r:id="rId7"/>
    <sheet name="FORM B-(Wage Reg.)" sheetId="23" r:id="rId8"/>
    <sheet name="working sheet" sheetId="24" r:id="rId9"/>
    <sheet name="PERFORMA PFD" sheetId="25" r:id="rId10"/>
  </sheets>
  <externalReferences>
    <externalReference r:id="rId11"/>
    <externalReference r:id="rId12"/>
  </externalReferences>
  <definedNames>
    <definedName name="_xlnm._FilterDatabase" localSheetId="7" hidden="1">'FORM B-(Wage Reg.)'!$A$24:$AI$25</definedName>
    <definedName name="_xleta.AND" hidden="1" xlm="1">#NAME?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_xlnm.Print_Area" localSheetId="0">'Credit Note'!$A$1:$L$48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1">'Tax Invoice'!$A$1:$L$55</definedName>
    <definedName name="_xlnm.Print_Titles" localSheetId="7">'FORM B-(Wage Reg.)'!$1:$22</definedName>
    <definedName name="SNRw">'FORM B-(Wage Reg.)'!$A$22</definedName>
    <definedName name="WgPrd">'FORM B-(Wage Reg.)'!$AB$16</definedName>
  </definedNames>
  <calcPr calcId="191029"/>
</workbook>
</file>

<file path=xl/calcChain.xml><?xml version="1.0" encoding="utf-8"?>
<calcChain xmlns="http://schemas.openxmlformats.org/spreadsheetml/2006/main">
  <c r="E3" i="17" l="1"/>
  <c r="A45" i="15"/>
  <c r="H25" i="23"/>
  <c r="G25" i="23"/>
  <c r="F25" i="23"/>
  <c r="E25" i="23"/>
  <c r="D25" i="23"/>
  <c r="T25" i="23"/>
  <c r="S25" i="23"/>
  <c r="R25" i="23"/>
  <c r="Z25" i="23"/>
  <c r="AA25" i="23"/>
  <c r="AC25" i="23"/>
  <c r="AB25" i="23"/>
  <c r="AC24" i="23"/>
  <c r="AC23" i="23"/>
  <c r="AB24" i="23"/>
  <c r="AB23" i="23"/>
  <c r="B5" i="24" l="1"/>
  <c r="A28" i="15" l="1"/>
  <c r="J13" i="17"/>
  <c r="H58" i="25"/>
  <c r="A58" i="25"/>
  <c r="I28" i="25"/>
  <c r="I26" i="25"/>
  <c r="G28" i="25"/>
  <c r="G26" i="25"/>
  <c r="A28" i="25"/>
  <c r="A26" i="25"/>
  <c r="A10" i="25"/>
  <c r="D36" i="25"/>
  <c r="I16" i="17"/>
  <c r="I15" i="17"/>
  <c r="I14" i="17"/>
  <c r="I13" i="17"/>
  <c r="F7" i="21"/>
  <c r="E7" i="21"/>
  <c r="F6" i="21"/>
  <c r="E6" i="21"/>
  <c r="H7" i="21" l="1"/>
  <c r="C14" i="15"/>
  <c r="L16" i="17"/>
  <c r="L15" i="17"/>
  <c r="J26" i="14"/>
  <c r="K16" i="17"/>
  <c r="M16" i="17" s="1"/>
  <c r="I34" i="15"/>
  <c r="H34" i="15"/>
  <c r="G34" i="15"/>
  <c r="B34" i="15"/>
  <c r="G16" i="17"/>
  <c r="I14" i="15"/>
  <c r="H17" i="17"/>
  <c r="F18" i="14"/>
  <c r="B37" i="14"/>
  <c r="C9" i="24"/>
  <c r="E2" i="17"/>
  <c r="F17" i="14" l="1"/>
  <c r="A66" i="25"/>
  <c r="A73" i="25"/>
  <c r="J34" i="15"/>
  <c r="L34" i="15" s="1"/>
  <c r="C16" i="15"/>
  <c r="A10" i="14"/>
  <c r="A3" i="21"/>
  <c r="E4" i="17"/>
  <c r="B7" i="24"/>
  <c r="L13" i="17" s="1"/>
  <c r="G7" i="21"/>
  <c r="I7" i="21" s="1"/>
  <c r="K15" i="17"/>
  <c r="I33" i="15"/>
  <c r="H33" i="15"/>
  <c r="G33" i="15"/>
  <c r="B33" i="15"/>
  <c r="G15" i="17"/>
  <c r="G10" i="22"/>
  <c r="K10" i="22" s="1"/>
  <c r="G32" i="15"/>
  <c r="G31" i="15"/>
  <c r="B32" i="15"/>
  <c r="B31" i="15"/>
  <c r="G14" i="17"/>
  <c r="I32" i="15"/>
  <c r="I31" i="15"/>
  <c r="G13" i="17"/>
  <c r="F19" i="7"/>
  <c r="F18" i="7"/>
  <c r="F17" i="7"/>
  <c r="I10" i="22"/>
  <c r="M15" i="17" l="1"/>
  <c r="G17" i="17"/>
  <c r="G18" i="17" s="1"/>
  <c r="G19" i="17" s="1"/>
  <c r="J10" i="22"/>
  <c r="L10" i="22"/>
  <c r="M10" i="22" s="1"/>
  <c r="K13" i="22" s="1"/>
  <c r="K14" i="22" s="1"/>
  <c r="J33" i="15"/>
  <c r="L33" i="15" s="1"/>
  <c r="K13" i="17"/>
  <c r="M13" i="17" s="1"/>
  <c r="H31" i="15"/>
  <c r="J31" i="15" s="1"/>
  <c r="L31" i="15" s="1"/>
  <c r="H31" i="20"/>
  <c r="J31" i="20" s="1"/>
  <c r="L31" i="20" s="1"/>
  <c r="L34" i="20" s="1"/>
  <c r="J36" i="20" s="1"/>
  <c r="J38" i="20" s="1"/>
  <c r="J7" i="21"/>
  <c r="K7" i="21"/>
  <c r="J37" i="20" l="1"/>
  <c r="J39" i="20" s="1"/>
  <c r="A41" i="20" s="1"/>
  <c r="L7" i="21"/>
  <c r="L8" i="21" s="1"/>
  <c r="E11" i="21" l="1"/>
  <c r="E14" i="21" s="1"/>
  <c r="J14" i="17" s="1"/>
  <c r="L14" i="17" s="1"/>
  <c r="K14" i="17" l="1"/>
  <c r="K17" i="17" s="1"/>
  <c r="K18" i="17" s="1"/>
  <c r="K19" i="17" s="1"/>
  <c r="H32" i="15"/>
  <c r="J32" i="15" s="1"/>
  <c r="L32" i="15" s="1"/>
  <c r="L38" i="15" s="1"/>
  <c r="J40" i="15" s="1"/>
  <c r="J41" i="15" s="1"/>
  <c r="J42" i="15" s="1"/>
  <c r="M14" i="17" l="1"/>
  <c r="H21" i="14"/>
  <c r="J21" i="14" s="1"/>
  <c r="B16" i="24" a="1"/>
  <c r="B16" i="24" s="1"/>
  <c r="A23" i="17"/>
  <c r="E76" i="25"/>
  <c r="A76" i="25" l="1"/>
  <c r="H25" i="14"/>
  <c r="J25" i="14" s="1"/>
  <c r="H24" i="14"/>
  <c r="J24" i="14" s="1"/>
  <c r="H22" i="14"/>
  <c r="J22" i="14" s="1"/>
  <c r="H23" i="14" l="1"/>
  <c r="H27" i="14" s="1"/>
  <c r="A28" i="14"/>
  <c r="J23" i="14" l="1"/>
  <c r="J27" i="14" l="1"/>
  <c r="D16" i="24"/>
  <c r="C16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<sst xmlns="http://schemas.openxmlformats.org/spreadsheetml/2006/main" count="447" uniqueCount="334">
  <si>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</si>
  <si>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</si>
  <si>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</si>
  <si>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</si>
  <si>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</si>
  <si>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</si>
  <si>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</si>
  <si>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</si>
  <si>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</si>
  <si>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</si>
  <si>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</si>
  <si>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</si>
  <si>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</si>
  <si>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</si>
  <si>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</si>
  <si>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</si>
  <si>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</si>
  <si>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</si>
  <si>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</si>
  <si>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</si>
  <si>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</si>
  <si>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</si>
  <si>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</si>
  <si>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</si>
  <si>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</si>
  <si>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</si>
  <si>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</si>
  <si>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</si>
  <si>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</si>
  <si>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</si>
  <si>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>GAIL (INDIA) LIMITED</t>
  </si>
  <si>
    <t>Address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</si>
  <si>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</si>
  <si>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</si>
  <si>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</si>
  <si>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</si>
  <si>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</si>
  <si>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</si>
  <si>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</si>
  <si>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</si>
  <si>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</si>
  <si>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</si>
  <si>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</si>
  <si>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</si>
  <si>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</si>
  <si>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</si>
  <si>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SINGH AND SONS INFOTECH PRIVATE LIMITED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</si>
  <si>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</si>
  <si>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</si>
  <si>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</si>
  <si>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</si>
  <si>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</si>
  <si>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</si>
  <si>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</si>
  <si>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</si>
  <si>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</si>
  <si>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</si>
  <si>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</si>
  <si>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</si>
  <si>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</si>
  <si>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</si>
  <si>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</si>
  <si>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09ABDCS1757M1ZU</t>
  </si>
  <si>
    <t>21, Indra Nagar</t>
  </si>
  <si>
    <t>Near Pili Kothi, Dibiyapur</t>
  </si>
  <si>
    <t>Auraiya (U.P) -206244</t>
  </si>
  <si>
    <t>PAN  No : ABDCS1757M</t>
  </si>
  <si>
    <t xml:space="preserve">TOTAL Amount (with GST) : </t>
  </si>
  <si>
    <t>Total Amount Before Tax</t>
  </si>
  <si>
    <t>Authorised Signatory</t>
  </si>
  <si>
    <t>09</t>
  </si>
  <si>
    <t>MON</t>
  </si>
  <si>
    <t>24 Months from Date of LOA</t>
  </si>
  <si>
    <t>Bank Account No : 39075399225, State Bank of India, Pata</t>
  </si>
  <si>
    <t>ESI Code No : 21000624350000999</t>
  </si>
  <si>
    <t>GST Payable on Reverse Charge or Not : N.A.</t>
  </si>
  <si>
    <t>Certified that the particulars given above are true and correct.</t>
  </si>
  <si>
    <t>For Singh and Sons InfoTech Pvt. Ltd.</t>
  </si>
  <si>
    <t>Shipped To</t>
  </si>
  <si>
    <t>Details of Buyer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</si>
  <si>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</si>
  <si>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</si>
  <si>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</si>
  <si>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For and on behalf of Contractor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</si>
  <si>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</si>
  <si>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</si>
  <si>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</si>
  <si>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</si>
  <si>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</si>
  <si>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</si>
  <si>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</si>
  <si>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</si>
  <si>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</si>
  <si>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</si>
  <si>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</si>
  <si>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</si>
  <si>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M/s. Singh and Sons InfoTech Private Limited</t>
  </si>
  <si>
    <t>Wage Period: Monthly</t>
  </si>
  <si>
    <t>Sign of GAIL Representative /EIC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</si>
  <si>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</si>
  <si>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</si>
  <si>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</si>
  <si>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</si>
  <si>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</si>
  <si>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</si>
  <si>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</si>
  <si>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</si>
  <si>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</si>
  <si>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>EA</t>
  </si>
  <si>
    <t>As Per SOR/ QUOTED</t>
  </si>
  <si>
    <t>TOTAL (INR)</t>
  </si>
  <si>
    <t>-</t>
  </si>
  <si>
    <t>GRAND TOTAL (INR)</t>
  </si>
  <si>
    <t>B-35-36, Sector-01</t>
  </si>
  <si>
    <t>Jubilee Tower, Noida</t>
  </si>
  <si>
    <t>Dist: Gautam Buddh Nagar -201301</t>
  </si>
  <si>
    <t>09AAACG1209J1ZU</t>
  </si>
  <si>
    <t>NOIDA-UTTAR PRADESH</t>
  </si>
  <si>
    <t>GAIL/NOID/21132/5300036376/F&amp;S DATED: 22.03.2022</t>
  </si>
  <si>
    <t>GAIL, JBT-NOIDA</t>
  </si>
  <si>
    <t>Add: CGST@09%</t>
  </si>
  <si>
    <t>Add: SGST@09%</t>
  </si>
  <si>
    <t>Total gross work done value
(Amount including GST)</t>
  </si>
  <si>
    <t>Net Value of work done</t>
  </si>
  <si>
    <t xml:space="preserve">                    TAX INVOICE</t>
  </si>
  <si>
    <t>Total Amount
 (For 2 Years)</t>
  </si>
  <si>
    <t>Sh. B.K Singh</t>
  </si>
  <si>
    <t>01-09-2022 TO 30-09-2022</t>
  </si>
  <si>
    <r>
      <t xml:space="preserve">Hiring AMC Services for Fire Safety Services at GAIL (India) Limited, JB Tower &amp; Infohub, Noida (U.P)
M/s. GAIL (INDIA) LIMITED, JB TOWER for the Month of </t>
    </r>
    <r>
      <rPr>
        <b/>
        <sz val="14"/>
        <color indexed="8"/>
        <rFont val="Times New Roman"/>
        <family val="1"/>
      </rPr>
      <t>SEPTEMBER</t>
    </r>
    <r>
      <rPr>
        <b/>
        <sz val="14"/>
        <color indexed="8"/>
        <rFont val="Times New Roman"/>
        <family val="1"/>
      </rPr>
      <t>-2022</t>
    </r>
  </si>
  <si>
    <t>Credit Note No-13 against Inv No-SSI/253</t>
  </si>
  <si>
    <t>Penalty for Later Payment of Wages</t>
  </si>
  <si>
    <t xml:space="preserve">                    CREDIT NOTE</t>
  </si>
  <si>
    <t>PART-A : O&amp;M SERVICES (WAGE COMPONENTS)</t>
  </si>
  <si>
    <t>PROVISION OF REVISION OF WAGES</t>
  </si>
  <si>
    <t>M/s. GAIL (INDIA) LIMITED</t>
  </si>
  <si>
    <t>FOR SINGH AND SONS INFOTECH</t>
  </si>
  <si>
    <t>ABSTRACT OF COST</t>
  </si>
  <si>
    <t>Total Amount (with GST)</t>
  </si>
  <si>
    <t>NAME OF WORK: ASSISTANCE FOR DIGITIZATION SERVICES IN DOCUMENTS CONTROL SERVICES DEPARTMENT AND UPKEEPING OF DCS RECORD ROOM AT GAIL VIAJIPUR.</t>
  </si>
  <si>
    <t>GAIL/VH/C23190/5300040279/MD/HR/2023</t>
  </si>
  <si>
    <t>From 02/01/2024 To 02/01/2026</t>
  </si>
  <si>
    <t>GAIL, VIJAIPUR</t>
  </si>
  <si>
    <t>ASSISTANCE FOR DIGITIZATION SERVICES IN DOCUMENTS CONTROL SERVICES DEPARTMENT AND UPKEEPING OF DCS RECORD ROOM AT GAIL VIAJIPUR.</t>
  </si>
  <si>
    <t>GAIL/VH/C23190/5300040279/MD/HR/2023 Dated : 26.12.2023</t>
  </si>
  <si>
    <t>Rs. 1,271,330.96 (Inclusive of GST@18%)</t>
  </si>
  <si>
    <t>MADHYA PRADESH</t>
  </si>
  <si>
    <t>GAIL-VIJAIPUR, GUNA (M.P)</t>
  </si>
  <si>
    <t>23</t>
  </si>
  <si>
    <t>Gail Complex</t>
  </si>
  <si>
    <t>Vijaipur - 473112</t>
  </si>
  <si>
    <t>Dist: Guna</t>
  </si>
  <si>
    <t>23AAACG1209J1Z4</t>
  </si>
  <si>
    <t>I-GST @ 18%</t>
  </si>
  <si>
    <t>SL NO</t>
  </si>
  <si>
    <t>PARTICULARS</t>
  </si>
  <si>
    <t>CATEGORY</t>
  </si>
  <si>
    <t>WAGE DIFF. PER DAY</t>
  </si>
  <si>
    <t>WORKING DAYS</t>
  </si>
  <si>
    <t>DIFF. AMOUNT</t>
  </si>
  <si>
    <t>EPF ER @ 13%</t>
  </si>
  <si>
    <t>ESI ER @ 3.25%</t>
  </si>
  <si>
    <t>TOTAL</t>
  </si>
  <si>
    <t>C AREA</t>
  </si>
  <si>
    <t>SUB TOTAL</t>
  </si>
  <si>
    <t>SKILLED (DCS-HR)</t>
  </si>
  <si>
    <t>FOR GAIL (INDIA) LIMITED, VIJAIPUR</t>
  </si>
  <si>
    <t>OLD WAGES AS ON 01.04.2023</t>
  </si>
  <si>
    <t>NOS. OF EMPLOYEE</t>
  </si>
  <si>
    <t>Wage Revision Reimbursement Sheet</t>
  </si>
  <si>
    <t>SERVICE CHARGE FOR ASSISTANCE</t>
  </si>
  <si>
    <t>BONUS</t>
  </si>
  <si>
    <t>LWW</t>
  </si>
  <si>
    <t>OHD</t>
  </si>
  <si>
    <t>PROVISION FOR SAFETY KITS</t>
  </si>
  <si>
    <t xml:space="preserve">Deduction- TDS Against IGST@ 2% </t>
  </si>
  <si>
    <t>ADD:- IGST @ 18%</t>
  </si>
  <si>
    <t>For GAIL (India) Limited-Vijaipur</t>
  </si>
  <si>
    <t>NEFT REF. NO.- CT00ASJFG7/- INR 53,905.00/- Validity as per GAIL Rules</t>
  </si>
  <si>
    <t>Add: IGST@18%</t>
  </si>
  <si>
    <t xml:space="preserve">Total Wage Revision Amount : </t>
  </si>
  <si>
    <t>Skilled Wage Revision:</t>
  </si>
  <si>
    <t>Reimbursement Of Pmjjy</t>
  </si>
  <si>
    <t>Mr. Manish Prasad</t>
  </si>
  <si>
    <t>DGM (O&amp;M NG P/L)</t>
  </si>
  <si>
    <t>FORM B
WAGE REGISTER</t>
  </si>
  <si>
    <t>Instruction : Do not print following Instruction on Original Att. Sheet</t>
  </si>
  <si>
    <t>FORMAT OF WAGES REGISTER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</si>
  <si>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</si>
  <si>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</si>
  <si>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</si>
  <si>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</si>
  <si>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</si>
  <si>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</si>
  <si>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</si>
  <si>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</si>
  <si>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</si>
  <si>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</si>
  <si>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</si>
  <si>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</si>
  <si>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</si>
  <si>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</si>
  <si>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</si>
  <si>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</si>
  <si>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</si>
  <si>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</si>
  <si>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</si>
  <si>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</si>
  <si>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</si>
  <si>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 xml:space="preserve">M/s. GAIL (INDIA) LIMITED, VIJAIPUR
</t>
  </si>
  <si>
    <r>
      <t>(Monthly/</t>
    </r>
    <r>
      <rPr>
        <b/>
        <strike/>
        <sz val="12"/>
        <color indexed="8"/>
        <rFont val="Calibri"/>
        <family val="2"/>
      </rPr>
      <t>Fortnightly/Weekly/Daily/Piece Rated</t>
    </r>
    <r>
      <rPr>
        <b/>
        <sz val="12"/>
        <color indexed="8"/>
        <rFont val="Calibri"/>
        <family val="2"/>
      </rPr>
      <t>)</t>
    </r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</si>
  <si>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</si>
  <si>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</si>
  <si>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</si>
  <si>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</si>
  <si>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</si>
  <si>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</si>
  <si>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Basic</t>
  </si>
  <si>
    <t>Payments Overtime</t>
  </si>
  <si>
    <t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</si>
  <si>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</si>
  <si>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</si>
  <si>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</si>
  <si>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</si>
  <si>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</si>
  <si>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</si>
  <si>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</si>
  <si>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</si>
  <si>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</si>
  <si>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</si>
  <si>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</si>
  <si>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</si>
  <si>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</si>
  <si>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</si>
  <si>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</si>
  <si>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</si>
  <si>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</si>
  <si>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</si>
  <si>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</si>
  <si>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</si>
  <si>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</si>
  <si>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</si>
  <si>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</si>
  <si>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</si>
  <si>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</si>
  <si>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</si>
  <si>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</si>
  <si>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</si>
  <si>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</si>
  <si>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>DEEPAK SHARMA
101229412688
8101116543</t>
  </si>
  <si>
    <t>E-BANKING</t>
  </si>
  <si>
    <t>DCSHR002</t>
  </si>
  <si>
    <t>SHAHADAT KHAN
101229412674
8101116506</t>
  </si>
  <si>
    <t>Period</t>
  </si>
  <si>
    <t>Quantity 1</t>
  </si>
  <si>
    <t>RA BILL NO-</t>
  </si>
  <si>
    <t>Service Month</t>
  </si>
  <si>
    <t>Ex-gratia in lieu of Bonus @ 8.33% Per Month</t>
  </si>
  <si>
    <t>LS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</si>
  <si>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</si>
  <si>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</si>
  <si>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</si>
  <si>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</si>
  <si>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</si>
  <si>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</si>
  <si>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</si>
  <si>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</si>
  <si>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</si>
  <si>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2.   Nature of Contract: </t>
    </r>
    <r>
      <rPr>
        <b/>
        <sz val="12"/>
        <rFont val="Calibri"/>
        <family val="2"/>
      </rPr>
      <t xml:space="preserve">Job/Service contract, </t>
    </r>
    <r>
      <rPr>
        <strike/>
        <sz val="12"/>
        <rFont val="Calibri"/>
        <family val="2"/>
      </rPr>
      <t>AMC,O&amp;M, Petty contract, Security, Seasonal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</si>
  <si>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</si>
  <si>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</si>
  <si>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</si>
  <si>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</si>
  <si>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</si>
  <si>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8.   Address of ESIC office from where ESI Code No. has been allotted: </t>
    </r>
    <r>
      <rPr>
        <b/>
        <sz val="12"/>
        <rFont val="Calibri"/>
        <family val="2"/>
      </rPr>
      <t>KANPUR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</si>
  <si>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</si>
  <si>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</si>
  <si>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</si>
  <si>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t>Date: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</si>
  <si>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</si>
  <si>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</si>
  <si>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</si>
  <si>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</si>
  <si>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</si>
  <si>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</si>
  <si>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</si>
  <si>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</si>
  <si>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</si>
  <si>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</si>
  <si>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</si>
  <si>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</si>
  <si>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</si>
  <si>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</si>
  <si>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</si>
  <si>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</si>
  <si>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</si>
  <si>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</si>
  <si>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</si>
  <si>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</si>
  <si>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</si>
  <si>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</si>
  <si>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</si>
  <si>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</si>
  <si>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</si>
  <si>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</si>
  <si>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</si>
  <si>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r>
      <t xml:space="preserve">9.   ESI Code No. allotted by ESIC office: </t>
    </r>
    <r>
      <rPr>
        <b/>
        <sz val="12"/>
        <rFont val="Calibri"/>
        <family val="2"/>
      </rPr>
      <t>81210624350010999</t>
    </r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</si>
  <si>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/>
        <sz val="12"/>
        <color indexed="8"/>
        <rFont val="Calibri"/>
        <family val="2"/>
      </rPr>
      <t>02.01.2024 To 01.01.2026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</si>
  <si>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/>
        <sz val="11"/>
        <color indexed="8"/>
        <rFont val="Calibri"/>
        <family val="2"/>
      </rPr>
      <t xml:space="preserve"> GAIL, Complex, Vijaipur- 473112</t>
    </r>
  </si>
  <si>
    <r>
      <t xml:space="preserve">11. Labour License No.: </t>
    </r>
    <r>
      <rPr>
        <b/>
        <sz val="12"/>
        <color indexed="8"/>
        <rFont val="Calibri"/>
        <family val="2"/>
      </rPr>
      <t>NA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</si>
  <si>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>Validity period of Labour License From: NA</t>
    </r>
  </si>
  <si>
    <t>EPF Challan No.</t>
  </si>
  <si>
    <t>ESIC Challan No.</t>
  </si>
  <si>
    <t>Amount:</t>
  </si>
  <si>
    <t>Invoice Amount</t>
  </si>
  <si>
    <t>NOIDA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</si>
  <si>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</si>
  <si>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</si>
  <si>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</si>
  <si>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</si>
  <si>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LOA No.: GAIL/VH/C23190/5300040279/MD/HR/2023 DATED: 26/12/2023</t>
  </si>
  <si>
    <t>digitization services in documents control services department and upkeeping of dcs record room at gail vijaipur.</t>
  </si>
  <si>
    <t>control services department and upkeeping of dcs record room at gail vijaipur.</t>
  </si>
  <si>
    <t xml:space="preserve">760/Man Day ( Rs. 19,760/ Month ) </t>
  </si>
  <si>
    <t>Employer/Workmqan/Worker/ Share ESIC Welfare Fund</t>
  </si>
  <si>
    <t>NEW WAGES AS ON 01.04.2025</t>
  </si>
  <si>
    <t>Reimbursement Of GPA</t>
  </si>
  <si>
    <t>Minimum Basic-C</t>
  </si>
  <si>
    <t>Rate of minimum Wage and since the date 01-04-2025 TO 30-09-2025</t>
  </si>
  <si>
    <t>08125130856092</t>
  </si>
  <si>
    <t>63007411041</t>
  </si>
  <si>
    <t>31778679484</t>
  </si>
  <si>
    <t>01 Aug 2025 To 31 Aug 2025</t>
  </si>
  <si>
    <t>SSI/</t>
  </si>
  <si>
    <t>AUGUST-2025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</si>
</sst>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00"/>
    <numFmt numFmtId="165" formatCode="0.0"/>
    <numFmt numFmtId="166" formatCode="[$-409]d\-mmm\-yy;@"/>
    <numFmt numFmtId="167" formatCode="#,##0.00;[Red]#,##0.00"/>
    <numFmt numFmtId="168" formatCode="[$-409]d\-mmm;@"/>
    <numFmt numFmtId="169" formatCode="d\ mmm\ yyyy;@"/>
    <numFmt numFmtId="170" formatCode="[$-14009]dddd\,\ d\ mmmm\,\ yyyy;@"/>
    <numFmt numFmtId="171" formatCode="[$-14009]dd\-mm\-yyyy;@"/>
    <numFmt numFmtId="172" formatCode="[$-F800]dddd\,\ mmmm\ dd\,\ yyyy"/>
    <numFmt numFmtId="173" formatCode="00"/>
  </numFmts>
  <fonts count="8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b/>
      <sz val="14"/>
      <color indexed="8"/>
      <name val="Times New Roman"/>
      <family val="1"/>
    </font>
    <font>
      <b/>
      <sz val="12"/>
      <color indexed="8"/>
      <name val="Calibri"/>
      <family val="2"/>
    </font>
    <font>
      <b/>
      <strike/>
      <sz val="12"/>
      <color indexed="8"/>
      <name val="Calibri"/>
      <family val="2"/>
    </font>
    <font>
      <sz val="12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b/>
      <u/>
      <sz val="10"/>
      <color theme="1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u val="double"/>
      <sz val="10"/>
      <color rgb="FFFF0000"/>
      <name val="Arial"/>
      <family val="2"/>
    </font>
    <font>
      <u/>
      <sz val="10"/>
      <color theme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i/>
      <u/>
      <sz val="12"/>
      <name val="Calibri"/>
      <family val="1"/>
    </font>
    <font>
      <b/>
      <u/>
      <sz val="1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Calibri"/>
      <family val="1"/>
    </font>
    <font>
      <b/>
      <sz val="12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sz val="12"/>
      <color indexed="8"/>
      <name val="Calibri"/>
      <family val="2"/>
    </font>
    <font>
      <b/>
      <u/>
      <sz val="12"/>
      <color indexed="8"/>
      <name val="Calibri"/>
      <family val="2"/>
    </font>
    <font>
      <b/>
      <u/>
      <sz val="11"/>
      <color indexed="8"/>
      <name val="Calibri"/>
      <family val="2"/>
    </font>
    <font>
      <sz val="12"/>
      <color theme="1"/>
      <name val="Aptos Display"/>
      <family val="2"/>
    </font>
    <font>
      <sz val="12"/>
      <color indexed="8"/>
      <name val="Aptos Display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1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0" fontId="16" fillId="0" borderId="0"/>
    <xf numFmtId="0" fontId="5" fillId="0" borderId="0"/>
    <xf numFmtId="0" fontId="15" fillId="2" borderId="0">
      <alignment vertical="center" wrapText="1"/>
    </xf>
    <xf numFmtId="0" fontId="15" fillId="2" borderId="0">
      <alignment vertical="center" wrapText="1"/>
    </xf>
    <xf numFmtId="0" fontId="56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603">
    <xf numFmtId="0" fontId="0" fillId="0" borderId="0" xfId="0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43" fontId="16" fillId="0" borderId="0" xfId="1" applyFont="1" applyBorder="1"/>
    <xf numFmtId="43" fontId="16" fillId="0" borderId="0" xfId="1" applyFont="1"/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43" fontId="16" fillId="0" borderId="0" xfId="1" applyFont="1" applyBorder="1" applyAlignment="1">
      <alignment horizontal="left"/>
    </xf>
    <xf numFmtId="0" fontId="7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" fontId="0" fillId="0" borderId="1" xfId="0" applyNumberFormat="1" applyBorder="1"/>
    <xf numFmtId="4" fontId="0" fillId="0" borderId="1" xfId="0" applyNumberFormat="1" applyBorder="1"/>
    <xf numFmtId="166" fontId="5" fillId="0" borderId="1" xfId="1" applyNumberFormat="1" applyFont="1" applyBorder="1" applyAlignment="1"/>
    <xf numFmtId="43" fontId="5" fillId="0" borderId="1" xfId="1" applyFont="1" applyBorder="1" applyAlignment="1"/>
    <xf numFmtId="39" fontId="3" fillId="0" borderId="1" xfId="1" applyNumberFormat="1" applyFont="1" applyBorder="1"/>
    <xf numFmtId="17" fontId="5" fillId="0" borderId="1" xfId="1" applyNumberFormat="1" applyFont="1" applyBorder="1" applyAlignment="1">
      <alignment horizontal="left" wrapText="1"/>
    </xf>
    <xf numFmtId="43" fontId="0" fillId="0" borderId="0" xfId="0" applyNumberFormat="1"/>
    <xf numFmtId="167" fontId="0" fillId="0" borderId="1" xfId="0" applyNumberFormat="1" applyBorder="1"/>
    <xf numFmtId="168" fontId="5" fillId="0" borderId="1" xfId="1" applyNumberFormat="1" applyFont="1" applyBorder="1" applyAlignment="1">
      <alignment horizontal="left" wrapText="1"/>
    </xf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166" fontId="5" fillId="0" borderId="0" xfId="1" applyNumberFormat="1" applyFont="1" applyBorder="1" applyAlignment="1"/>
    <xf numFmtId="43" fontId="5" fillId="0" borderId="0" xfId="1" applyFont="1" applyBorder="1" applyAlignment="1"/>
    <xf numFmtId="39" fontId="3" fillId="0" borderId="0" xfId="1" applyNumberFormat="1" applyFont="1" applyBorder="1"/>
    <xf numFmtId="43" fontId="5" fillId="0" borderId="0" xfId="1" applyFont="1" applyBorder="1" applyAlignment="1">
      <alignment horizontal="left" wrapText="1"/>
    </xf>
    <xf numFmtId="0" fontId="1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9" fillId="0" borderId="6" xfId="0" applyFont="1" applyBorder="1"/>
    <xf numFmtId="0" fontId="19" fillId="0" borderId="4" xfId="0" applyFont="1" applyBorder="1"/>
    <xf numFmtId="0" fontId="19" fillId="0" borderId="5" xfId="0" applyFont="1" applyBorder="1"/>
    <xf numFmtId="0" fontId="19" fillId="0" borderId="2" xfId="0" applyFont="1" applyBorder="1"/>
    <xf numFmtId="0" fontId="19" fillId="0" borderId="3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9" xfId="0" applyFont="1" applyBorder="1"/>
    <xf numFmtId="0" fontId="8" fillId="0" borderId="0" xfId="0" applyFont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20" fillId="0" borderId="7" xfId="0" applyFont="1" applyBorder="1"/>
    <xf numFmtId="0" fontId="20" fillId="0" borderId="8" xfId="0" applyFont="1" applyBorder="1"/>
    <xf numFmtId="0" fontId="20" fillId="0" borderId="9" xfId="0" applyFont="1" applyBorder="1"/>
    <xf numFmtId="0" fontId="9" fillId="0" borderId="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49" fontId="9" fillId="0" borderId="7" xfId="0" quotePrefix="1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1" fillId="0" borderId="2" xfId="0" applyFont="1" applyBorder="1"/>
    <xf numFmtId="0" fontId="11" fillId="0" borderId="0" xfId="0" applyFont="1"/>
    <xf numFmtId="0" fontId="11" fillId="0" borderId="3" xfId="0" applyFont="1" applyBorder="1"/>
    <xf numFmtId="0" fontId="21" fillId="5" borderId="1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11" xfId="0" applyFont="1" applyBorder="1" applyAlignment="1">
      <alignment horizontal="center" vertical="center"/>
    </xf>
    <xf numFmtId="2" fontId="9" fillId="0" borderId="11" xfId="0" applyNumberFormat="1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4" fontId="22" fillId="5" borderId="1" xfId="0" applyNumberFormat="1" applyFont="1" applyFill="1" applyBorder="1" applyAlignment="1">
      <alignment horizontal="center" vertical="center" wrapText="1"/>
    </xf>
    <xf numFmtId="0" fontId="21" fillId="0" borderId="6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2" fillId="0" borderId="13" xfId="0" applyFont="1" applyBorder="1" applyAlignment="1">
      <alignment vertical="center" wrapText="1"/>
    </xf>
    <xf numFmtId="2" fontId="22" fillId="0" borderId="13" xfId="0" applyNumberFormat="1" applyFont="1" applyBorder="1" applyAlignment="1">
      <alignment horizontal="center" vertical="center"/>
    </xf>
    <xf numFmtId="2" fontId="22" fillId="0" borderId="14" xfId="0" applyNumberFormat="1" applyFont="1" applyBorder="1" applyAlignment="1">
      <alignment horizontal="center" vertical="center"/>
    </xf>
    <xf numFmtId="0" fontId="9" fillId="0" borderId="2" xfId="0" applyFont="1" applyBorder="1"/>
    <xf numFmtId="0" fontId="9" fillId="0" borderId="0" xfId="0" applyFont="1"/>
    <xf numFmtId="0" fontId="9" fillId="0" borderId="7" xfId="0" applyFont="1" applyBorder="1"/>
    <xf numFmtId="0" fontId="9" fillId="0" borderId="8" xfId="0" applyFont="1" applyBorder="1"/>
    <xf numFmtId="4" fontId="9" fillId="0" borderId="11" xfId="0" applyNumberFormat="1" applyFont="1" applyBorder="1" applyAlignment="1">
      <alignment horizontal="center" vertical="center" wrapText="1"/>
    </xf>
    <xf numFmtId="4" fontId="21" fillId="0" borderId="11" xfId="0" applyNumberFormat="1" applyFont="1" applyBorder="1" applyAlignment="1">
      <alignment horizontal="center" vertical="center" wrapText="1"/>
    </xf>
    <xf numFmtId="0" fontId="22" fillId="0" borderId="1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23" fillId="0" borderId="0" xfId="0" applyFont="1"/>
    <xf numFmtId="0" fontId="24" fillId="0" borderId="1" xfId="0" applyFont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6" fillId="0" borderId="1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center" vertical="center" wrapText="1"/>
    </xf>
    <xf numFmtId="0" fontId="27" fillId="6" borderId="10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left" vertical="center" wrapText="1"/>
    </xf>
    <xf numFmtId="0" fontId="27" fillId="6" borderId="24" xfId="0" applyFont="1" applyFill="1" applyBorder="1" applyAlignment="1">
      <alignment horizontal="center" vertical="center" wrapText="1"/>
    </xf>
    <xf numFmtId="0" fontId="26" fillId="0" borderId="1" xfId="0" applyFont="1" applyBorder="1"/>
    <xf numFmtId="1" fontId="28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wrapText="1"/>
    </xf>
    <xf numFmtId="3" fontId="28" fillId="0" borderId="1" xfId="0" applyNumberFormat="1" applyFont="1" applyBorder="1" applyAlignment="1">
      <alignment horizontal="center" vertical="center" shrinkToFit="1"/>
    </xf>
    <xf numFmtId="4" fontId="29" fillId="0" borderId="1" xfId="0" applyNumberFormat="1" applyFont="1" applyBorder="1" applyAlignment="1">
      <alignment horizontal="center" vertical="center" shrinkToFit="1"/>
    </xf>
    <xf numFmtId="0" fontId="26" fillId="0" borderId="0" xfId="0" applyFont="1"/>
    <xf numFmtId="4" fontId="26" fillId="0" borderId="0" xfId="0" applyNumberFormat="1" applyFont="1"/>
    <xf numFmtId="0" fontId="30" fillId="0" borderId="0" xfId="0" applyFont="1"/>
    <xf numFmtId="0" fontId="31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/>
    <xf numFmtId="0" fontId="16" fillId="0" borderId="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3" xfId="0" applyFont="1" applyBorder="1" applyAlignment="1">
      <alignment vertical="center"/>
    </xf>
    <xf numFmtId="0" fontId="26" fillId="0" borderId="2" xfId="0" applyFont="1" applyBorder="1"/>
    <xf numFmtId="0" fontId="26" fillId="0" borderId="3" xfId="0" applyFont="1" applyBorder="1"/>
    <xf numFmtId="0" fontId="18" fillId="5" borderId="1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 wrapText="1"/>
    </xf>
    <xf numFmtId="4" fontId="18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vertical="center"/>
    </xf>
    <xf numFmtId="2" fontId="18" fillId="0" borderId="11" xfId="0" applyNumberFormat="1" applyFont="1" applyBorder="1" applyAlignment="1">
      <alignment horizontal="center" vertical="center" wrapText="1"/>
    </xf>
    <xf numFmtId="4" fontId="32" fillId="5" borderId="1" xfId="0" applyNumberFormat="1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left" vertical="center" wrapText="1"/>
    </xf>
    <xf numFmtId="0" fontId="32" fillId="0" borderId="13" xfId="0" applyFont="1" applyBorder="1" applyAlignment="1">
      <alignment horizontal="left" vertical="center" wrapText="1"/>
    </xf>
    <xf numFmtId="0" fontId="32" fillId="0" borderId="13" xfId="0" applyFont="1" applyBorder="1" applyAlignment="1">
      <alignment vertical="center" wrapText="1"/>
    </xf>
    <xf numFmtId="0" fontId="23" fillId="0" borderId="2" xfId="0" applyFont="1" applyBorder="1"/>
    <xf numFmtId="0" fontId="24" fillId="0" borderId="3" xfId="0" applyFont="1" applyBorder="1"/>
    <xf numFmtId="0" fontId="33" fillId="0" borderId="6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0" fontId="33" fillId="0" borderId="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vertical="center" wrapText="1"/>
    </xf>
    <xf numFmtId="0" fontId="28" fillId="0" borderId="1" xfId="0" applyFont="1" applyBorder="1" applyAlignment="1">
      <alignment horizontal="center" vertical="center" shrinkToFit="1"/>
    </xf>
    <xf numFmtId="4" fontId="18" fillId="0" borderId="0" xfId="0" applyNumberFormat="1" applyFont="1"/>
    <xf numFmtId="0" fontId="24" fillId="0" borderId="1" xfId="0" applyFont="1" applyBorder="1" applyAlignment="1">
      <alignment horizontal="left" vertical="center"/>
    </xf>
    <xf numFmtId="0" fontId="25" fillId="6" borderId="1" xfId="0" applyFont="1" applyFill="1" applyBorder="1" applyAlignment="1">
      <alignment horizontal="left" vertical="top"/>
    </xf>
    <xf numFmtId="0" fontId="25" fillId="6" borderId="1" xfId="0" applyFont="1" applyFill="1" applyBorder="1" applyAlignment="1">
      <alignment horizontal="left" vertical="top" wrapText="1"/>
    </xf>
    <xf numFmtId="0" fontId="34" fillId="0" borderId="0" xfId="0" applyFont="1" applyAlignment="1">
      <alignment horizontal="center" vertical="center"/>
    </xf>
    <xf numFmtId="2" fontId="24" fillId="0" borderId="1" xfId="0" applyNumberFormat="1" applyFont="1" applyBorder="1" applyAlignment="1">
      <alignment horizontal="left" vertical="center"/>
    </xf>
    <xf numFmtId="2" fontId="24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right"/>
    </xf>
    <xf numFmtId="4" fontId="28" fillId="0" borderId="25" xfId="0" applyNumberFormat="1" applyFont="1" applyBorder="1" applyAlignment="1">
      <alignment horizontal="center" vertical="center" shrinkToFit="1"/>
    </xf>
    <xf numFmtId="4" fontId="28" fillId="8" borderId="25" xfId="0" applyNumberFormat="1" applyFont="1" applyFill="1" applyBorder="1" applyAlignment="1">
      <alignment horizontal="center" vertical="center" shrinkToFit="1"/>
    </xf>
    <xf numFmtId="4" fontId="28" fillId="0" borderId="21" xfId="0" applyNumberFormat="1" applyFont="1" applyBorder="1" applyAlignment="1">
      <alignment horizontal="center" vertical="center" shrinkToFit="1"/>
    </xf>
    <xf numFmtId="4" fontId="28" fillId="7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1" fillId="0" borderId="13" xfId="0" applyFont="1" applyBorder="1" applyAlignment="1">
      <alignment horizontal="left" vertical="center" wrapText="1"/>
    </xf>
    <xf numFmtId="0" fontId="31" fillId="0" borderId="14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2" fillId="0" borderId="0" xfId="0" applyFont="1" applyAlignment="1">
      <alignment vertical="center" wrapText="1"/>
    </xf>
    <xf numFmtId="2" fontId="32" fillId="0" borderId="4" xfId="0" applyNumberFormat="1" applyFont="1" applyBorder="1" applyAlignment="1">
      <alignment horizontal="center" vertical="center"/>
    </xf>
    <xf numFmtId="2" fontId="32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2" fillId="0" borderId="8" xfId="0" applyFont="1" applyBorder="1" applyAlignment="1">
      <alignment vertical="center"/>
    </xf>
    <xf numFmtId="2" fontId="17" fillId="0" borderId="8" xfId="0" applyNumberFormat="1" applyFont="1" applyBorder="1" applyAlignment="1">
      <alignment vertical="center"/>
    </xf>
    <xf numFmtId="2" fontId="17" fillId="0" borderId="9" xfId="0" applyNumberFormat="1" applyFont="1" applyBorder="1" applyAlignment="1">
      <alignment vertical="center"/>
    </xf>
    <xf numFmtId="0" fontId="26" fillId="0" borderId="1" xfId="0" applyFont="1" applyBorder="1" applyAlignment="1">
      <alignment horizontal="left" vertical="center" wrapText="1"/>
    </xf>
    <xf numFmtId="4" fontId="35" fillId="0" borderId="1" xfId="0" applyNumberFormat="1" applyFont="1" applyBorder="1"/>
    <xf numFmtId="4" fontId="35" fillId="0" borderId="1" xfId="0" applyNumberFormat="1" applyFont="1" applyBorder="1" applyAlignment="1">
      <alignment vertical="center"/>
    </xf>
    <xf numFmtId="4" fontId="35" fillId="9" borderId="1" xfId="0" applyNumberFormat="1" applyFont="1" applyFill="1" applyBorder="1"/>
    <xf numFmtId="3" fontId="28" fillId="7" borderId="1" xfId="0" applyNumberFormat="1" applyFont="1" applyFill="1" applyBorder="1" applyAlignment="1">
      <alignment horizontal="center" vertical="center" shrinkToFit="1"/>
    </xf>
    <xf numFmtId="14" fontId="0" fillId="0" borderId="0" xfId="0" applyNumberFormat="1"/>
    <xf numFmtId="0" fontId="2" fillId="0" borderId="0" xfId="0" applyFont="1"/>
    <xf numFmtId="49" fontId="3" fillId="0" borderId="0" xfId="0" applyNumberFormat="1" applyFont="1"/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quotePrefix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0" fontId="31" fillId="0" borderId="0" xfId="0" applyFont="1"/>
    <xf numFmtId="171" fontId="31" fillId="0" borderId="0" xfId="0" applyNumberFormat="1" applyFont="1"/>
    <xf numFmtId="171" fontId="31" fillId="0" borderId="0" xfId="0" applyNumberFormat="1" applyFont="1" applyAlignment="1">
      <alignment horizontal="left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46" fillId="0" borderId="0" xfId="0" applyFont="1" applyAlignment="1">
      <alignment vertical="top"/>
    </xf>
    <xf numFmtId="0" fontId="46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1" fontId="18" fillId="0" borderId="1" xfId="0" applyNumberFormat="1" applyFont="1" applyBorder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171" fontId="0" fillId="0" borderId="0" xfId="0" applyNumberFormat="1"/>
    <xf numFmtId="0" fontId="57" fillId="0" borderId="0" xfId="0" applyFont="1"/>
    <xf numFmtId="0" fontId="0" fillId="0" borderId="0" xfId="0" applyAlignment="1">
      <alignment vertical="top" wrapText="1"/>
    </xf>
    <xf numFmtId="0" fontId="61" fillId="0" borderId="0" xfId="0" applyFont="1" applyAlignment="1">
      <alignment vertical="top"/>
    </xf>
    <xf numFmtId="0" fontId="63" fillId="0" borderId="0" xfId="0" applyFont="1" applyAlignment="1">
      <alignment vertical="top"/>
    </xf>
    <xf numFmtId="0" fontId="0" fillId="0" borderId="0" xfId="0" applyAlignment="1">
      <alignment vertical="top"/>
    </xf>
    <xf numFmtId="0" fontId="33" fillId="0" borderId="0" xfId="0" applyFont="1" applyAlignment="1">
      <alignment vertical="top"/>
    </xf>
    <xf numFmtId="0" fontId="70" fillId="0" borderId="0" xfId="0" applyFont="1" applyAlignment="1">
      <alignment vertical="center"/>
    </xf>
    <xf numFmtId="4" fontId="31" fillId="0" borderId="0" xfId="0" applyNumberFormat="1" applyFont="1" applyAlignment="1">
      <alignment vertical="center"/>
    </xf>
    <xf numFmtId="171" fontId="3" fillId="0" borderId="0" xfId="0" applyNumberFormat="1" applyFont="1" applyAlignment="1">
      <alignment horizontal="left"/>
    </xf>
    <xf numFmtId="0" fontId="74" fillId="0" borderId="0" xfId="0" applyFont="1" applyAlignment="1">
      <alignment wrapText="1"/>
    </xf>
    <xf numFmtId="0" fontId="63" fillId="0" borderId="0" xfId="0" applyFont="1" applyAlignment="1">
      <alignment vertical="top" wrapText="1"/>
    </xf>
    <xf numFmtId="171" fontId="0" fillId="0" borderId="0" xfId="0" applyNumberFormat="1" applyAlignment="1">
      <alignment horizontal="left" vertical="top" wrapText="1"/>
    </xf>
    <xf numFmtId="0" fontId="70" fillId="0" borderId="0" xfId="0" applyFont="1"/>
    <xf numFmtId="0" fontId="76" fillId="0" borderId="0" xfId="0" applyFont="1"/>
    <xf numFmtId="172" fontId="76" fillId="0" borderId="0" xfId="0" applyNumberFormat="1" applyFont="1"/>
    <xf numFmtId="0" fontId="33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56" fillId="0" borderId="0" xfId="6"/>
    <xf numFmtId="0" fontId="78" fillId="0" borderId="0" xfId="0" applyFont="1"/>
    <xf numFmtId="0" fontId="79" fillId="0" borderId="0" xfId="0" applyFont="1"/>
    <xf numFmtId="4" fontId="0" fillId="0" borderId="0" xfId="0" applyNumberFormat="1"/>
    <xf numFmtId="0" fontId="5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 wrapText="1"/>
    </xf>
    <xf numFmtId="2" fontId="46" fillId="0" borderId="0" xfId="0" applyNumberFormat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1" fontId="0" fillId="0" borderId="0" xfId="0" applyNumberFormat="1"/>
    <xf numFmtId="0" fontId="20" fillId="0" borderId="0" xfId="0" applyFont="1"/>
    <xf numFmtId="172" fontId="3" fillId="0" borderId="0" xfId="0" applyNumberFormat="1" applyFont="1"/>
    <xf numFmtId="0" fontId="0" fillId="0" borderId="0" xfId="0" quotePrefix="1"/>
    <xf numFmtId="171" fontId="2" fillId="0" borderId="0" xfId="0" applyNumberFormat="1" applyFont="1" applyAlignment="1">
      <alignment horizontal="left"/>
    </xf>
    <xf numFmtId="0" fontId="31" fillId="10" borderId="1" xfId="7" applyFont="1" applyFill="1" applyBorder="1" applyAlignment="1">
      <alignment horizontal="center" vertical="center"/>
    </xf>
    <xf numFmtId="0" fontId="31" fillId="10" borderId="1" xfId="7" applyFont="1" applyFill="1" applyBorder="1" applyAlignment="1">
      <alignment horizontal="center" vertical="center" wrapText="1"/>
    </xf>
    <xf numFmtId="0" fontId="46" fillId="10" borderId="18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textRotation="90" wrapText="1"/>
    </xf>
    <xf numFmtId="49" fontId="18" fillId="0" borderId="1" xfId="7" applyNumberFormat="1" applyFont="1" applyBorder="1" applyAlignment="1">
      <alignment horizontal="center" vertical="center" wrapText="1"/>
    </xf>
    <xf numFmtId="0" fontId="31" fillId="10" borderId="16" xfId="7" applyFont="1" applyFill="1" applyBorder="1" applyAlignment="1">
      <alignment horizontal="center" vertical="center"/>
    </xf>
    <xf numFmtId="0" fontId="31" fillId="10" borderId="14" xfId="7" applyFont="1" applyFill="1" applyBorder="1" applyAlignment="1">
      <alignment horizontal="center" vertical="center"/>
    </xf>
    <xf numFmtId="0" fontId="31" fillId="10" borderId="12" xfId="7" applyFont="1" applyFill="1" applyBorder="1" applyAlignment="1">
      <alignment horizontal="center" vertical="center"/>
    </xf>
    <xf numFmtId="0" fontId="32" fillId="10" borderId="1" xfId="7" applyFont="1" applyFill="1" applyBorder="1" applyAlignment="1">
      <alignment horizontal="center" vertical="center" wrapText="1"/>
    </xf>
    <xf numFmtId="0" fontId="18" fillId="0" borderId="1" xfId="7" applyFont="1" applyBorder="1" applyAlignment="1">
      <alignment horizontal="center" vertical="center"/>
    </xf>
    <xf numFmtId="2" fontId="9" fillId="11" borderId="1" xfId="5" applyNumberFormat="1" applyFont="1" applyFill="1" applyBorder="1">
      <alignment vertical="center" wrapText="1"/>
    </xf>
    <xf numFmtId="0" fontId="21" fillId="0" borderId="1" xfId="7" applyFont="1" applyBorder="1" applyAlignment="1">
      <alignment horizontal="center" vertical="center"/>
    </xf>
    <xf numFmtId="165" fontId="18" fillId="0" borderId="1" xfId="7" applyNumberFormat="1" applyFont="1" applyBorder="1" applyAlignment="1">
      <alignment horizontal="center" vertical="center"/>
    </xf>
    <xf numFmtId="1" fontId="53" fillId="0" borderId="1" xfId="7" applyNumberFormat="1" applyFont="1" applyBorder="1" applyAlignment="1">
      <alignment horizontal="center" vertical="center"/>
    </xf>
    <xf numFmtId="1" fontId="18" fillId="0" borderId="1" xfId="7" applyNumberFormat="1" applyFont="1" applyBorder="1" applyAlignment="1">
      <alignment horizontal="center" vertical="center"/>
    </xf>
    <xf numFmtId="1" fontId="54" fillId="0" borderId="1" xfId="7" applyNumberFormat="1" applyFont="1" applyBorder="1" applyAlignment="1">
      <alignment horizontal="center" vertical="center"/>
    </xf>
    <xf numFmtId="2" fontId="17" fillId="10" borderId="18" xfId="7" applyNumberFormat="1" applyFont="1" applyFill="1" applyBorder="1" applyAlignment="1">
      <alignment horizontal="center" vertical="center"/>
    </xf>
    <xf numFmtId="0" fontId="17" fillId="10" borderId="18" xfId="7" applyFont="1" applyFill="1" applyBorder="1" applyAlignment="1">
      <alignment horizontal="center" vertical="center"/>
    </xf>
    <xf numFmtId="49" fontId="52" fillId="11" borderId="1" xfId="4" applyNumberFormat="1" applyFont="1" applyFill="1" applyBorder="1" applyProtection="1">
      <alignment vertical="center" wrapText="1"/>
      <protection locked="0"/>
    </xf>
    <xf numFmtId="0" fontId="31" fillId="10" borderId="17" xfId="7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2" fontId="17" fillId="0" borderId="0" xfId="0" applyNumberFormat="1" applyFont="1" applyAlignment="1">
      <alignment horizontal="center" vertical="center"/>
    </xf>
    <xf numFmtId="0" fontId="42" fillId="0" borderId="12" xfId="0" applyFont="1" applyBorder="1" applyAlignment="1">
      <alignment horizontal="left" vertical="center" wrapText="1"/>
    </xf>
    <xf numFmtId="0" fontId="42" fillId="0" borderId="13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22" fillId="0" borderId="1" xfId="0" applyFont="1" applyBorder="1" applyAlignment="1">
      <alignment horizontal="left" vertical="center"/>
    </xf>
    <xf numFmtId="4" fontId="22" fillId="0" borderId="1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4" fontId="22" fillId="0" borderId="10" xfId="0" applyNumberFormat="1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4" fontId="22" fillId="0" borderId="12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0" fontId="41" fillId="0" borderId="6" xfId="0" applyFont="1" applyBorder="1" applyAlignment="1">
      <alignment horizontal="left" vertical="center" wrapText="1"/>
    </xf>
    <xf numFmtId="0" fontId="41" fillId="0" borderId="4" xfId="0" applyFont="1" applyBorder="1" applyAlignment="1">
      <alignment horizontal="left" vertical="center" wrapText="1"/>
    </xf>
    <xf numFmtId="0" fontId="41" fillId="0" borderId="5" xfId="0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  <xf numFmtId="0" fontId="22" fillId="5" borderId="12" xfId="0" applyFont="1" applyFill="1" applyBorder="1" applyAlignment="1">
      <alignment horizontal="left" vertical="center" wrapText="1"/>
    </xf>
    <xf numFmtId="0" fontId="22" fillId="5" borderId="13" xfId="0" applyFont="1" applyFill="1" applyBorder="1" applyAlignment="1">
      <alignment horizontal="left" vertical="center" wrapText="1"/>
    </xf>
    <xf numFmtId="0" fontId="22" fillId="5" borderId="14" xfId="0" applyFont="1" applyFill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0" fontId="40" fillId="0" borderId="12" xfId="0" applyFont="1" applyBorder="1" applyAlignment="1">
      <alignment horizontal="left" vertical="center" wrapText="1"/>
    </xf>
    <xf numFmtId="0" fontId="40" fillId="0" borderId="13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left" vertical="center" wrapText="1"/>
    </xf>
    <xf numFmtId="0" fontId="21" fillId="5" borderId="12" xfId="0" applyFont="1" applyFill="1" applyBorder="1" applyAlignment="1">
      <alignment horizontal="center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38" fillId="0" borderId="8" xfId="0" applyFont="1" applyBorder="1" applyAlignment="1">
      <alignment horizontal="left" vertical="center"/>
    </xf>
    <xf numFmtId="0" fontId="38" fillId="0" borderId="9" xfId="0" applyFont="1" applyBorder="1" applyAlignment="1">
      <alignment horizontal="left" vertical="center"/>
    </xf>
    <xf numFmtId="0" fontId="39" fillId="0" borderId="12" xfId="0" applyFont="1" applyBorder="1" applyAlignment="1">
      <alignment horizontal="left" vertical="center"/>
    </xf>
    <xf numFmtId="0" fontId="39" fillId="0" borderId="13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21" fillId="0" borderId="3" xfId="0" applyNumberFormat="1" applyFont="1" applyBorder="1" applyAlignment="1">
      <alignment horizontal="left" vertical="center"/>
    </xf>
    <xf numFmtId="0" fontId="36" fillId="0" borderId="6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7" fillId="0" borderId="1" xfId="0" applyFont="1" applyBorder="1" applyAlignment="1">
      <alignment horizontal="left" indent="1"/>
    </xf>
    <xf numFmtId="0" fontId="37" fillId="0" borderId="10" xfId="0" applyFont="1" applyBorder="1" applyAlignment="1">
      <alignment horizontal="left" indent="1"/>
    </xf>
    <xf numFmtId="0" fontId="21" fillId="0" borderId="4" xfId="0" applyFont="1" applyBorder="1" applyAlignment="1">
      <alignment horizontal="left" vertical="center"/>
    </xf>
    <xf numFmtId="170" fontId="22" fillId="0" borderId="4" xfId="0" applyNumberFormat="1" applyFont="1" applyBorder="1" applyAlignment="1">
      <alignment horizontal="left" vertical="center"/>
    </xf>
    <xf numFmtId="170" fontId="22" fillId="0" borderId="5" xfId="0" applyNumberFormat="1" applyFont="1" applyBorder="1" applyAlignment="1">
      <alignment horizontal="left" vertical="center"/>
    </xf>
    <xf numFmtId="0" fontId="47" fillId="0" borderId="6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8" fillId="0" borderId="1" xfId="0" applyFont="1" applyBorder="1" applyAlignment="1">
      <alignment horizontal="left" indent="1"/>
    </xf>
    <xf numFmtId="0" fontId="48" fillId="0" borderId="10" xfId="0" applyFont="1" applyBorder="1" applyAlignment="1">
      <alignment horizontal="left" indent="1"/>
    </xf>
    <xf numFmtId="0" fontId="18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170" fontId="46" fillId="0" borderId="4" xfId="0" applyNumberFormat="1" applyFont="1" applyBorder="1" applyAlignment="1">
      <alignment horizontal="left" vertical="center"/>
    </xf>
    <xf numFmtId="170" fontId="46" fillId="0" borderId="5" xfId="0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18" fillId="0" borderId="3" xfId="0" applyNumberFormat="1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46" fillId="0" borderId="6" xfId="0" applyFont="1" applyBorder="1" applyAlignment="1">
      <alignment horizontal="left" vertical="center"/>
    </xf>
    <xf numFmtId="0" fontId="46" fillId="0" borderId="4" xfId="0" applyFont="1" applyBorder="1" applyAlignment="1">
      <alignment horizontal="left" vertical="center"/>
    </xf>
    <xf numFmtId="0" fontId="46" fillId="0" borderId="5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45" fillId="0" borderId="12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49" fontId="23" fillId="0" borderId="7" xfId="0" applyNumberFormat="1" applyFont="1" applyBorder="1" applyAlignment="1">
      <alignment horizontal="left" vertical="center"/>
    </xf>
    <xf numFmtId="49" fontId="23" fillId="0" borderId="8" xfId="0" applyNumberFormat="1" applyFont="1" applyBorder="1" applyAlignment="1">
      <alignment horizontal="left" vertical="center"/>
    </xf>
    <xf numFmtId="49" fontId="23" fillId="0" borderId="9" xfId="0" applyNumberFormat="1" applyFont="1" applyBorder="1" applyAlignment="1">
      <alignment horizontal="left" vertical="center"/>
    </xf>
    <xf numFmtId="49" fontId="23" fillId="0" borderId="7" xfId="0" quotePrefix="1" applyNumberFormat="1" applyFont="1" applyBorder="1" applyAlignment="1">
      <alignment horizontal="left" vertical="center"/>
    </xf>
    <xf numFmtId="49" fontId="23" fillId="0" borderId="8" xfId="0" quotePrefix="1" applyNumberFormat="1" applyFont="1" applyBorder="1" applyAlignment="1">
      <alignment horizontal="left" vertical="center"/>
    </xf>
    <xf numFmtId="49" fontId="23" fillId="0" borderId="9" xfId="0" quotePrefix="1" applyNumberFormat="1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32" fillId="5" borderId="12" xfId="0" applyFont="1" applyFill="1" applyBorder="1" applyAlignment="1">
      <alignment horizontal="left" vertical="center" wrapText="1"/>
    </xf>
    <xf numFmtId="0" fontId="32" fillId="5" borderId="13" xfId="0" applyFont="1" applyFill="1" applyBorder="1" applyAlignment="1">
      <alignment horizontal="left" vertical="center" wrapText="1"/>
    </xf>
    <xf numFmtId="0" fontId="32" fillId="5" borderId="14" xfId="0" applyFont="1" applyFill="1" applyBorder="1" applyAlignment="1">
      <alignment horizontal="left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left" vertical="center"/>
    </xf>
    <xf numFmtId="4" fontId="31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4" fontId="31" fillId="0" borderId="10" xfId="0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 wrapText="1"/>
    </xf>
    <xf numFmtId="0" fontId="46" fillId="0" borderId="13" xfId="0" applyFont="1" applyBorder="1" applyAlignment="1">
      <alignment horizontal="center" vertical="center" wrapText="1"/>
    </xf>
    <xf numFmtId="0" fontId="46" fillId="0" borderId="14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4" xfId="0" applyFont="1" applyBorder="1" applyAlignment="1">
      <alignment horizontal="left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44" fillId="0" borderId="6" xfId="0" applyFont="1" applyBorder="1" applyAlignment="1">
      <alignment horizontal="left" vertical="center" wrapText="1"/>
    </xf>
    <xf numFmtId="0" fontId="44" fillId="0" borderId="4" xfId="0" applyFont="1" applyBorder="1" applyAlignment="1">
      <alignment horizontal="left" vertical="center" wrapText="1"/>
    </xf>
    <xf numFmtId="0" fontId="44" fillId="0" borderId="5" xfId="0" applyFont="1" applyBorder="1" applyAlignment="1">
      <alignment horizontal="left" vertical="center" wrapText="1"/>
    </xf>
    <xf numFmtId="4" fontId="33" fillId="0" borderId="12" xfId="1" applyNumberFormat="1" applyFont="1" applyFill="1" applyBorder="1" applyAlignment="1">
      <alignment horizontal="right"/>
    </xf>
    <xf numFmtId="4" fontId="33" fillId="0" borderId="14" xfId="1" applyNumberFormat="1" applyFont="1" applyFill="1" applyBorder="1" applyAlignment="1">
      <alignment horizontal="right"/>
    </xf>
    <xf numFmtId="4" fontId="46" fillId="0" borderId="1" xfId="1" applyNumberFormat="1" applyFont="1" applyBorder="1" applyAlignment="1">
      <alignment horizontal="right"/>
    </xf>
    <xf numFmtId="4" fontId="33" fillId="0" borderId="1" xfId="1" applyNumberFormat="1" applyFont="1" applyBorder="1" applyAlignment="1">
      <alignment horizontal="right"/>
    </xf>
    <xf numFmtId="0" fontId="33" fillId="0" borderId="12" xfId="0" applyFont="1" applyBorder="1" applyAlignment="1">
      <alignment horizontal="left" wrapText="1"/>
    </xf>
    <xf numFmtId="0" fontId="33" fillId="0" borderId="13" xfId="0" applyFont="1" applyBorder="1" applyAlignment="1">
      <alignment horizontal="left" wrapText="1"/>
    </xf>
    <xf numFmtId="0" fontId="33" fillId="0" borderId="14" xfId="0" applyFont="1" applyBorder="1" applyAlignment="1">
      <alignment horizontal="left" wrapText="1"/>
    </xf>
    <xf numFmtId="4" fontId="46" fillId="0" borderId="12" xfId="1" applyNumberFormat="1" applyFont="1" applyBorder="1" applyAlignment="1">
      <alignment horizontal="right"/>
    </xf>
    <xf numFmtId="4" fontId="46" fillId="0" borderId="14" xfId="1" applyNumberFormat="1" applyFont="1" applyBorder="1" applyAlignment="1">
      <alignment horizontal="right"/>
    </xf>
    <xf numFmtId="0" fontId="33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3" borderId="13" xfId="0" applyFont="1" applyFill="1" applyBorder="1" applyAlignment="1">
      <alignment horizontal="left" vertical="center"/>
    </xf>
    <xf numFmtId="0" fontId="31" fillId="3" borderId="14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right" vertical="center" wrapText="1"/>
    </xf>
    <xf numFmtId="0" fontId="31" fillId="3" borderId="14" xfId="0" applyFont="1" applyFill="1" applyBorder="1" applyAlignment="1">
      <alignment horizontal="right" vertical="center" wrapText="1"/>
    </xf>
    <xf numFmtId="0" fontId="31" fillId="3" borderId="12" xfId="0" applyFont="1" applyFill="1" applyBorder="1" applyAlignment="1">
      <alignment horizontal="right" vertical="center"/>
    </xf>
    <xf numFmtId="0" fontId="31" fillId="3" borderId="14" xfId="0" applyFont="1" applyFill="1" applyBorder="1" applyAlignment="1">
      <alignment horizontal="right" vertical="center"/>
    </xf>
    <xf numFmtId="0" fontId="46" fillId="0" borderId="12" xfId="0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4" xfId="0" applyFont="1" applyBorder="1" applyAlignment="1">
      <alignment horizontal="left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 wrapText="1"/>
    </xf>
    <xf numFmtId="0" fontId="31" fillId="0" borderId="12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wrapText="1"/>
    </xf>
    <xf numFmtId="0" fontId="16" fillId="0" borderId="0" xfId="0" applyFont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33" fillId="0" borderId="12" xfId="0" applyFont="1" applyBorder="1" applyAlignment="1">
      <alignment horizontal="left"/>
    </xf>
    <xf numFmtId="0" fontId="33" fillId="0" borderId="13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14" fontId="16" fillId="0" borderId="12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left"/>
    </xf>
    <xf numFmtId="4" fontId="46" fillId="0" borderId="12" xfId="0" applyNumberFormat="1" applyFont="1" applyBorder="1" applyAlignment="1">
      <alignment horizontal="right"/>
    </xf>
    <xf numFmtId="4" fontId="46" fillId="0" borderId="14" xfId="0" applyNumberFormat="1" applyFont="1" applyBorder="1" applyAlignment="1">
      <alignment horizontal="right"/>
    </xf>
    <xf numFmtId="0" fontId="31" fillId="3" borderId="6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43" fontId="3" fillId="3" borderId="1" xfId="1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7" fillId="3" borderId="12" xfId="0" quotePrefix="1" applyFont="1" applyFill="1" applyBorder="1" applyAlignment="1">
      <alignment horizontal="center" wrapText="1"/>
    </xf>
    <xf numFmtId="0" fontId="27" fillId="3" borderId="13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6" borderId="29" xfId="0" applyFont="1" applyFill="1" applyBorder="1" applyAlignment="1">
      <alignment horizontal="center" vertical="center" wrapText="1"/>
    </xf>
    <xf numFmtId="0" fontId="27" fillId="6" borderId="30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8" borderId="3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7" fillId="8" borderId="22" xfId="0" applyFont="1" applyFill="1" applyBorder="1" applyAlignment="1">
      <alignment horizontal="center" vertical="center" wrapText="1"/>
    </xf>
    <xf numFmtId="0" fontId="27" fillId="8" borderId="29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wrapText="1"/>
    </xf>
    <xf numFmtId="0" fontId="27" fillId="8" borderId="19" xfId="0" applyFont="1" applyFill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49" fillId="0" borderId="6" xfId="0" applyFont="1" applyBorder="1" applyAlignment="1">
      <alignment horizontal="center" vertical="top" wrapText="1"/>
    </xf>
    <xf numFmtId="0" fontId="49" fillId="0" borderId="4" xfId="0" applyFont="1" applyBorder="1" applyAlignment="1">
      <alignment horizontal="center" vertical="top" wrapText="1"/>
    </xf>
    <xf numFmtId="0" fontId="49" fillId="0" borderId="5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left" vertical="center" wrapText="1"/>
    </xf>
    <xf numFmtId="170" fontId="29" fillId="0" borderId="29" xfId="0" applyNumberFormat="1" applyFont="1" applyBorder="1" applyAlignment="1">
      <alignment horizontal="left" vertical="center" shrinkToFit="1"/>
    </xf>
    <xf numFmtId="170" fontId="29" fillId="0" borderId="30" xfId="0" applyNumberFormat="1" applyFont="1" applyBorder="1" applyAlignment="1">
      <alignment horizontal="left" vertical="center" shrinkToFit="1"/>
    </xf>
    <xf numFmtId="170" fontId="29" fillId="0" borderId="31" xfId="0" applyNumberFormat="1" applyFont="1" applyBorder="1" applyAlignment="1">
      <alignment horizontal="left" vertical="center" shrinkToFit="1"/>
    </xf>
    <xf numFmtId="0" fontId="26" fillId="0" borderId="26" xfId="0" applyFont="1" applyBorder="1" applyAlignment="1">
      <alignment horizontal="left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28" xfId="0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left" vertical="center" shrinkToFit="1"/>
    </xf>
    <xf numFmtId="1" fontId="29" fillId="0" borderId="27" xfId="0" applyNumberFormat="1" applyFont="1" applyBorder="1" applyAlignment="1">
      <alignment horizontal="left" vertical="center" shrinkToFit="1"/>
    </xf>
    <xf numFmtId="1" fontId="29" fillId="0" borderId="28" xfId="0" applyNumberFormat="1" applyFont="1" applyBorder="1" applyAlignment="1">
      <alignment horizontal="left" vertical="center" shrinkToFit="1"/>
    </xf>
    <xf numFmtId="0" fontId="27" fillId="6" borderId="22" xfId="0" applyFont="1" applyFill="1" applyBorder="1" applyAlignment="1">
      <alignment horizontal="left" vertical="center" wrapText="1"/>
    </xf>
    <xf numFmtId="0" fontId="27" fillId="6" borderId="19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center" vertical="center" wrapText="1"/>
    </xf>
    <xf numFmtId="0" fontId="27" fillId="6" borderId="25" xfId="0" applyFont="1" applyFill="1" applyBorder="1" applyAlignment="1">
      <alignment horizontal="center"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169" fontId="29" fillId="0" borderId="26" xfId="0" applyNumberFormat="1" applyFont="1" applyBorder="1" applyAlignment="1">
      <alignment horizontal="left" vertical="center" shrinkToFit="1"/>
    </xf>
    <xf numFmtId="169" fontId="29" fillId="0" borderId="27" xfId="0" applyNumberFormat="1" applyFont="1" applyBorder="1" applyAlignment="1">
      <alignment horizontal="left" vertical="center" shrinkToFit="1"/>
    </xf>
    <xf numFmtId="169" fontId="29" fillId="0" borderId="28" xfId="0" applyNumberFormat="1" applyFont="1" applyBorder="1" applyAlignment="1">
      <alignment horizontal="left" vertical="center" shrinkToFit="1"/>
    </xf>
    <xf numFmtId="0" fontId="26" fillId="0" borderId="7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50" fillId="0" borderId="0" xfId="0" applyFont="1" applyAlignment="1">
      <alignment horizontal="center" vertical="center"/>
    </xf>
    <xf numFmtId="0" fontId="35" fillId="0" borderId="1" xfId="0" applyFont="1" applyBorder="1"/>
    <xf numFmtId="0" fontId="35" fillId="9" borderId="1" xfId="0" applyFont="1" applyFill="1" applyBorder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2" fillId="10" borderId="1" xfId="0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wrapText="1"/>
    </xf>
    <xf numFmtId="0" fontId="32" fillId="10" borderId="10" xfId="7" applyFont="1" applyFill="1" applyBorder="1" applyAlignment="1">
      <alignment horizontal="center" vertical="center" textRotation="90" wrapText="1"/>
    </xf>
    <xf numFmtId="0" fontId="32" fillId="10" borderId="15" xfId="7" applyFont="1" applyFill="1" applyBorder="1" applyAlignment="1">
      <alignment horizontal="center" vertical="center" textRotation="90" wrapText="1"/>
    </xf>
    <xf numFmtId="0" fontId="31" fillId="10" borderId="1" xfId="7" applyFont="1" applyFill="1" applyBorder="1" applyAlignment="1">
      <alignment horizontal="center"/>
    </xf>
    <xf numFmtId="0" fontId="32" fillId="10" borderId="10" xfId="7" applyFont="1" applyFill="1" applyBorder="1" applyAlignment="1">
      <alignment horizontal="center" vertical="center" wrapText="1"/>
    </xf>
    <xf numFmtId="0" fontId="32" fillId="10" borderId="15" xfId="7" applyFont="1" applyFill="1" applyBorder="1" applyAlignment="1">
      <alignment horizontal="center" vertical="center" wrapText="1"/>
    </xf>
    <xf numFmtId="0" fontId="32" fillId="10" borderId="1" xfId="7" applyFont="1" applyFill="1" applyBorder="1" applyAlignment="1">
      <alignment horizontal="center" vertical="center" textRotation="90" wrapText="1"/>
    </xf>
    <xf numFmtId="0" fontId="31" fillId="0" borderId="1" xfId="0" quotePrefix="1" applyFont="1" applyBorder="1" applyAlignment="1">
      <alignment horizontal="center" vertical="center"/>
    </xf>
    <xf numFmtId="0" fontId="31" fillId="0" borderId="0" xfId="0" quotePrefix="1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left" vertical="top"/>
    </xf>
    <xf numFmtId="2" fontId="31" fillId="0" borderId="1" xfId="0" applyNumberFormat="1" applyFont="1" applyBorder="1" applyAlignment="1">
      <alignment horizontal="center" vertical="center"/>
    </xf>
    <xf numFmtId="0" fontId="31" fillId="0" borderId="12" xfId="0" quotePrefix="1" applyFont="1" applyBorder="1" applyAlignment="1">
      <alignment horizontal="center" vertical="center"/>
    </xf>
    <xf numFmtId="0" fontId="31" fillId="0" borderId="13" xfId="0" quotePrefix="1" applyFont="1" applyBorder="1" applyAlignment="1">
      <alignment horizontal="center" vertical="center"/>
    </xf>
    <xf numFmtId="0" fontId="31" fillId="0" borderId="14" xfId="0" quotePrefix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2" fontId="31" fillId="0" borderId="6" xfId="0" quotePrefix="1" applyNumberFormat="1" applyFont="1" applyBorder="1" applyAlignment="1">
      <alignment horizontal="center" vertical="center"/>
    </xf>
    <xf numFmtId="2" fontId="31" fillId="0" borderId="4" xfId="0" quotePrefix="1" applyNumberFormat="1" applyFont="1" applyBorder="1" applyAlignment="1">
      <alignment horizontal="center" vertical="center"/>
    </xf>
    <xf numFmtId="2" fontId="31" fillId="0" borderId="7" xfId="0" quotePrefix="1" applyNumberFormat="1" applyFont="1" applyBorder="1" applyAlignment="1">
      <alignment horizontal="center" vertical="center"/>
    </xf>
    <xf numFmtId="2" fontId="31" fillId="0" borderId="8" xfId="0" quotePrefix="1" applyNumberFormat="1" applyFont="1" applyBorder="1" applyAlignment="1">
      <alignment horizontal="center" vertical="center"/>
    </xf>
    <xf numFmtId="2" fontId="31" fillId="0" borderId="5" xfId="0" quotePrefix="1" applyNumberFormat="1" applyFont="1" applyBorder="1" applyAlignment="1">
      <alignment horizontal="center" vertical="center"/>
    </xf>
    <xf numFmtId="2" fontId="31" fillId="0" borderId="9" xfId="0" quotePrefix="1" applyNumberFormat="1" applyFont="1" applyBorder="1" applyAlignment="1">
      <alignment horizontal="center" vertical="center"/>
    </xf>
    <xf numFmtId="0" fontId="62" fillId="12" borderId="12" xfId="0" applyFont="1" applyFill="1" applyBorder="1" applyAlignment="1">
      <alignment horizontal="center" vertical="top"/>
    </xf>
    <xf numFmtId="0" fontId="62" fillId="12" borderId="13" xfId="0" applyFont="1" applyFill="1" applyBorder="1" applyAlignment="1">
      <alignment horizontal="center" vertical="top"/>
    </xf>
    <xf numFmtId="0" fontId="62" fillId="12" borderId="14" xfId="0" applyFont="1" applyFill="1" applyBorder="1" applyAlignment="1">
      <alignment horizontal="center" vertical="top"/>
    </xf>
    <xf numFmtId="0" fontId="62" fillId="12" borderId="1" xfId="0" applyFont="1" applyFill="1" applyBorder="1" applyAlignment="1">
      <alignment horizontal="center" vertical="top"/>
    </xf>
    <xf numFmtId="0" fontId="5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60" fillId="12" borderId="0" xfId="0" applyFont="1" applyFill="1" applyAlignment="1">
      <alignment horizontal="center" vertical="top" wrapText="1"/>
    </xf>
    <xf numFmtId="0" fontId="70" fillId="0" borderId="0" xfId="0" applyFont="1" applyAlignment="1">
      <alignment horizontal="left" vertical="center"/>
    </xf>
    <xf numFmtId="0" fontId="24" fillId="0" borderId="1" xfId="0" applyFont="1" applyBorder="1" applyAlignment="1">
      <alignment horizontal="center" vertical="center" wrapText="1"/>
    </xf>
    <xf numFmtId="173" fontId="72" fillId="0" borderId="12" xfId="0" applyNumberFormat="1" applyFont="1" applyBorder="1" applyAlignment="1">
      <alignment horizontal="center" vertical="top" shrinkToFit="1"/>
    </xf>
    <xf numFmtId="173" fontId="72" fillId="0" borderId="13" xfId="0" applyNumberFormat="1" applyFont="1" applyBorder="1" applyAlignment="1">
      <alignment horizontal="center" vertical="top" shrinkToFit="1"/>
    </xf>
    <xf numFmtId="173" fontId="72" fillId="0" borderId="14" xfId="0" applyNumberFormat="1" applyFont="1" applyBorder="1" applyAlignment="1">
      <alignment horizontal="center" vertical="top" shrinkToFit="1"/>
    </xf>
    <xf numFmtId="0" fontId="73" fillId="0" borderId="1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173" fontId="72" fillId="13" borderId="6" xfId="0" applyNumberFormat="1" applyFont="1" applyFill="1" applyBorder="1" applyAlignment="1">
      <alignment horizontal="center" vertical="top" shrinkToFit="1"/>
    </xf>
    <xf numFmtId="173" fontId="72" fillId="13" borderId="4" xfId="0" applyNumberFormat="1" applyFont="1" applyFill="1" applyBorder="1" applyAlignment="1">
      <alignment horizontal="center" vertical="top" shrinkToFit="1"/>
    </xf>
    <xf numFmtId="173" fontId="72" fillId="13" borderId="5" xfId="0" applyNumberFormat="1" applyFont="1" applyFill="1" applyBorder="1" applyAlignment="1">
      <alignment horizontal="center" vertical="top" shrinkToFit="1"/>
    </xf>
    <xf numFmtId="0" fontId="77" fillId="0" borderId="0" xfId="0" applyFont="1" applyAlignment="1">
      <alignment horizontal="center" vertical="center"/>
    </xf>
    <xf numFmtId="0" fontId="63" fillId="0" borderId="6" xfId="0" applyFont="1" applyBorder="1" applyAlignment="1">
      <alignment horizontal="center" vertical="top" wrapText="1"/>
    </xf>
    <xf numFmtId="0" fontId="63" fillId="0" borderId="4" xfId="0" applyFont="1" applyBorder="1" applyAlignment="1">
      <alignment horizontal="center" vertical="top" wrapText="1"/>
    </xf>
    <xf numFmtId="0" fontId="63" fillId="0" borderId="5" xfId="0" applyFont="1" applyBorder="1" applyAlignment="1">
      <alignment horizontal="center" vertical="top" wrapText="1"/>
    </xf>
    <xf numFmtId="0" fontId="64" fillId="12" borderId="1" xfId="0" applyFont="1" applyFill="1" applyBorder="1" applyAlignment="1">
      <alignment horizontal="center" vertical="top" wrapText="1"/>
    </xf>
    <xf numFmtId="173" fontId="75" fillId="12" borderId="12" xfId="0" applyNumberFormat="1" applyFont="1" applyFill="1" applyBorder="1" applyAlignment="1">
      <alignment horizontal="center" vertical="top" shrinkToFit="1"/>
    </xf>
    <xf numFmtId="173" fontId="75" fillId="12" borderId="13" xfId="0" applyNumberFormat="1" applyFont="1" applyFill="1" applyBorder="1" applyAlignment="1">
      <alignment horizontal="center" vertical="top" shrinkToFit="1"/>
    </xf>
    <xf numFmtId="173" fontId="75" fillId="12" borderId="14" xfId="0" applyNumberFormat="1" applyFont="1" applyFill="1" applyBorder="1" applyAlignment="1">
      <alignment horizontal="center" vertical="top" shrinkToFit="1"/>
    </xf>
    <xf numFmtId="173" fontId="75" fillId="12" borderId="1" xfId="0" applyNumberFormat="1" applyFont="1" applyFill="1" applyBorder="1" applyAlignment="1">
      <alignment horizontal="center" vertical="top" shrinkToFit="1"/>
    </xf>
    <xf numFmtId="0" fontId="3" fillId="0" borderId="0" xfId="0" applyFont="1" applyAlignment="1">
      <alignment horizontal="left" vertical="top" wrapText="1"/>
    </xf>
    <xf numFmtId="170" fontId="0" fillId="0" borderId="0" xfId="0" applyNumberFormat="1" applyAlignment="1">
      <alignment horizontal="center"/>
    </xf>
  </cellXfs>
  <cellStyles count="14">
    <cellStyle name="Comma" xfId="1" builtinId="3"/>
    <cellStyle name="Hyperlink" xfId="6" builtinId="8"/>
    <cellStyle name="Normal" xfId="0" builtinId="0"/>
    <cellStyle name="Normal 2" xfId="2" xr:uid="{00000000-0005-0000-0000-000003000000}"/>
    <cellStyle name="Normal 2 2" xfId="9" xr:uid="{AEE191BF-990C-4DD8-BAB4-678F506D92FC}"/>
    <cellStyle name="Normal 2 3" xfId="10" xr:uid="{98266807-EBA9-4C22-9618-8F7FCFB7D8FD}"/>
    <cellStyle name="Normal 2 4" xfId="11" xr:uid="{414A02FC-67A5-4608-BDF2-E702548EFBD2}"/>
    <cellStyle name="Normal 2 5" xfId="8" xr:uid="{8B952A8B-FF43-4E85-B236-D48BB614A3A5}"/>
    <cellStyle name="Normal 3" xfId="3" xr:uid="{00000000-0005-0000-0000-000004000000}"/>
    <cellStyle name="Normal 3 2" xfId="4" xr:uid="{00000000-0005-0000-0000-000005000000}"/>
    <cellStyle name="Normal 3 2 2" xfId="12" xr:uid="{847522AA-F597-438D-9E04-EC0E61D1B93D}"/>
    <cellStyle name="Normal 4" xfId="7" xr:uid="{6EF6239F-9791-49F7-BF68-A200A7988560}"/>
    <cellStyle name="Normal 4 2" xfId="13" xr:uid="{CA9F07A4-517A-470B-80A0-6905F10F9501}"/>
    <cellStyle name="Normal 5" xfId="5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44</xdr:row>
      <xdr:rowOff>31420</xdr:rowOff>
    </xdr:from>
    <xdr:to>
      <xdr:col>11</xdr:col>
      <xdr:colOff>968375</xdr:colOff>
      <xdr:row>48</xdr:row>
      <xdr:rowOff>5607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1028465"/>
          <a:ext cx="9960470" cy="8648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98962</xdr:colOff>
      <xdr:row>0</xdr:row>
      <xdr:rowOff>0</xdr:rowOff>
    </xdr:from>
    <xdr:to>
      <xdr:col>12</xdr:col>
      <xdr:colOff>49481</xdr:colOff>
      <xdr:row>9</xdr:row>
      <xdr:rowOff>173181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id="{784F8A18-1AB6-4EFE-8B15-AFD41A4D46FB}"/>
            </a:ext>
          </a:extLst>
        </xdr:cNvPr>
        <xdr:cNvSpPr txBox="1"/>
      </xdr:nvSpPr>
      <xdr:spPr>
        <a:xfrm>
          <a:off x="98962" y="0"/>
          <a:ext cx="10032175" cy="217714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28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28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</a:t>
          </a:r>
          <a:r>
            <a:rPr lang="en-US" sz="20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(An Integrated Facilities Management Company)</a:t>
          </a:r>
          <a:endParaRPr lang="en-US" sz="20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1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1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1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1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oneCellAnchor>
    <xdr:from>
      <xdr:col>9</xdr:col>
      <xdr:colOff>98947</xdr:colOff>
      <xdr:row>0</xdr:row>
      <xdr:rowOff>86594</xdr:rowOff>
    </xdr:from>
    <xdr:ext cx="2539989" cy="471632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CDCB896-AC92-413D-8B47-9F306FFE241D}"/>
            </a:ext>
          </a:extLst>
        </xdr:cNvPr>
        <xdr:cNvSpPr txBox="1"/>
      </xdr:nvSpPr>
      <xdr:spPr>
        <a:xfrm>
          <a:off x="7422064" y="86594"/>
          <a:ext cx="2539989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5</xdr:col>
      <xdr:colOff>643246</xdr:colOff>
      <xdr:row>0</xdr:row>
      <xdr:rowOff>0</xdr:rowOff>
    </xdr:from>
    <xdr:to>
      <xdr:col>6</xdr:col>
      <xdr:colOff>297707</xdr:colOff>
      <xdr:row>3</xdr:row>
      <xdr:rowOff>19627</xdr:rowOff>
    </xdr:to>
    <xdr:pic>
      <xdr:nvPicPr>
        <xdr:cNvPr id="11" name="Picture 11">
          <a:extLst>
            <a:ext uri="{FF2B5EF4-FFF2-40B4-BE49-F238E27FC236}">
              <a16:creationId xmlns:a16="http://schemas.microsoft.com/office/drawing/2014/main" id="{113BEC02-1A37-4085-8B73-442339F8E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207" y="0"/>
          <a:ext cx="508000" cy="687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61851</xdr:colOff>
      <xdr:row>3</xdr:row>
      <xdr:rowOff>0</xdr:rowOff>
    </xdr:from>
    <xdr:to>
      <xdr:col>1</xdr:col>
      <xdr:colOff>664442</xdr:colOff>
      <xdr:row>9</xdr:row>
      <xdr:rowOff>137226</xdr:rowOff>
    </xdr:to>
    <xdr:pic>
      <xdr:nvPicPr>
        <xdr:cNvPr id="12" name="image1.png">
          <a:extLst>
            <a:ext uri="{FF2B5EF4-FFF2-40B4-BE49-F238E27FC236}">
              <a16:creationId xmlns:a16="http://schemas.microsoft.com/office/drawing/2014/main" id="{DE4F7D21-AC2F-4C8C-9C2E-FD6408C331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851" y="667987"/>
          <a:ext cx="1394279" cy="147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74222</xdr:colOff>
      <xdr:row>0</xdr:row>
      <xdr:rowOff>111331</xdr:rowOff>
    </xdr:from>
    <xdr:ext cx="2240870" cy="42306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2D2757D3-D98C-42CF-A739-7B4E7B5594AA}"/>
            </a:ext>
          </a:extLst>
        </xdr:cNvPr>
        <xdr:cNvSpPr txBox="1"/>
      </xdr:nvSpPr>
      <xdr:spPr>
        <a:xfrm>
          <a:off x="74222" y="111331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28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28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82550</xdr:colOff>
      <xdr:row>9</xdr:row>
      <xdr:rowOff>44450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105229</xdr:colOff>
      <xdr:row>3</xdr:row>
      <xdr:rowOff>12700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614438</xdr:colOff>
      <xdr:row>54</xdr:row>
      <xdr:rowOff>203200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843643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805182" cy="1876451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787400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107950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10</xdr:row>
      <xdr:rowOff>171451</xdr:rowOff>
    </xdr:from>
    <xdr:to>
      <xdr:col>9</xdr:col>
      <xdr:colOff>457200</xdr:colOff>
      <xdr:row>37</xdr:row>
      <xdr:rowOff>85726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10502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48</xdr:row>
      <xdr:rowOff>38100</xdr:rowOff>
    </xdr:from>
    <xdr:to>
      <xdr:col>1</xdr:col>
      <xdr:colOff>619125</xdr:colOff>
      <xdr:row>52</xdr:row>
      <xdr:rowOff>161925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29750"/>
          <a:ext cx="122872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495300</xdr:colOff>
      <xdr:row>65</xdr:row>
      <xdr:rowOff>76200</xdr:rowOff>
    </xdr:from>
    <xdr:to>
      <xdr:col>9</xdr:col>
      <xdr:colOff>361950</xdr:colOff>
      <xdr:row>92</xdr:row>
      <xdr:rowOff>28575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287780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AppData/Roam/Microsoft/AddIns/SpellNumber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AddIns\SpellNumber.xlam" TargetMode="External"/><Relationship Id="rId1" Type="http://schemas.openxmlformats.org/officeDocument/2006/relationships/externalLinkPath" Target="/Users/dell/AppData/Roaming/Microsoft/AddIns/SpellNumb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ellNumber"/>
    </sheetNames>
    <definedNames>
      <definedName name="SpellNumber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SpellNumber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nsitech@gmail.com" TargetMode="External"/><Relationship Id="rId2" Type="http://schemas.openxmlformats.org/officeDocument/2006/relationships/hyperlink" Target="http://www.snsinfotech.com/" TargetMode="External"/><Relationship Id="rId1" Type="http://schemas.openxmlformats.org/officeDocument/2006/relationships/hyperlink" Target="mailto:snsitech@gmail.com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49"/>
  <sheetViews>
    <sheetView tabSelected="1" zoomScale="77" zoomScaleNormal="55" zoomScalePageLayoutView="75" workbookViewId="0">
      <selection activeCell="C15" sqref="C15:F15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5.7109375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  <c r="L7" s="31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45" t="s">
        <v>131</v>
      </c>
      <c r="B11" s="346"/>
      <c r="C11" s="346"/>
      <c r="D11" s="346"/>
      <c r="E11" s="346"/>
      <c r="F11" s="346"/>
      <c r="G11" s="346"/>
      <c r="H11" s="346"/>
      <c r="I11" s="346"/>
      <c r="J11" s="347"/>
      <c r="K11" s="354" t="s">
        <v>18</v>
      </c>
      <c r="L11" s="354"/>
    </row>
    <row r="12" spans="1:12" ht="15" customHeight="1" x14ac:dyDescent="0.2">
      <c r="A12" s="348"/>
      <c r="B12" s="349"/>
      <c r="C12" s="349"/>
      <c r="D12" s="349"/>
      <c r="E12" s="349"/>
      <c r="F12" s="349"/>
      <c r="G12" s="349"/>
      <c r="H12" s="349"/>
      <c r="I12" s="349"/>
      <c r="J12" s="350"/>
      <c r="K12" s="354" t="s">
        <v>19</v>
      </c>
      <c r="L12" s="354"/>
    </row>
    <row r="13" spans="1:12" ht="15" customHeight="1" x14ac:dyDescent="0.2">
      <c r="A13" s="351"/>
      <c r="B13" s="352"/>
      <c r="C13" s="352"/>
      <c r="D13" s="352"/>
      <c r="E13" s="352"/>
      <c r="F13" s="352"/>
      <c r="G13" s="352"/>
      <c r="H13" s="352"/>
      <c r="I13" s="352"/>
      <c r="J13" s="353"/>
      <c r="K13" s="355" t="s">
        <v>20</v>
      </c>
      <c r="L13" s="355"/>
    </row>
    <row r="14" spans="1:12" ht="15" customHeight="1" x14ac:dyDescent="0.2">
      <c r="A14" s="332" t="s">
        <v>21</v>
      </c>
      <c r="B14" s="333"/>
      <c r="C14" s="334" t="s">
        <v>129</v>
      </c>
      <c r="D14" s="335"/>
      <c r="E14" s="335"/>
      <c r="F14" s="336"/>
      <c r="G14" s="356" t="s">
        <v>22</v>
      </c>
      <c r="H14" s="333"/>
      <c r="I14" s="357">
        <v>44874</v>
      </c>
      <c r="J14" s="357"/>
      <c r="K14" s="357"/>
      <c r="L14" s="358"/>
    </row>
    <row r="15" spans="1:12" ht="15" customHeight="1" x14ac:dyDescent="0.2">
      <c r="A15" s="324" t="s">
        <v>23</v>
      </c>
      <c r="B15" s="325"/>
      <c r="C15" s="324" t="s">
        <v>45</v>
      </c>
      <c r="D15" s="342"/>
      <c r="E15" s="342"/>
      <c r="F15" s="325"/>
      <c r="G15" s="342" t="s">
        <v>24</v>
      </c>
      <c r="H15" s="325"/>
      <c r="I15" s="343" t="s">
        <v>70</v>
      </c>
      <c r="J15" s="343"/>
      <c r="K15" s="343"/>
      <c r="L15" s="344"/>
    </row>
    <row r="16" spans="1:12" ht="15" customHeight="1" x14ac:dyDescent="0.2">
      <c r="A16" s="324" t="s">
        <v>25</v>
      </c>
      <c r="B16" s="325"/>
      <c r="C16" s="324" t="s">
        <v>127</v>
      </c>
      <c r="D16" s="342"/>
      <c r="E16" s="342"/>
      <c r="F16" s="325"/>
      <c r="G16" s="342" t="s">
        <v>26</v>
      </c>
      <c r="H16" s="325"/>
      <c r="I16" s="342">
        <v>101065975</v>
      </c>
      <c r="J16" s="342"/>
      <c r="K16" s="342"/>
      <c r="L16" s="325"/>
    </row>
    <row r="17" spans="1:13" ht="15" customHeight="1" x14ac:dyDescent="0.35">
      <c r="A17" s="313" t="s">
        <v>27</v>
      </c>
      <c r="B17" s="314"/>
      <c r="C17" s="313" t="s">
        <v>117</v>
      </c>
      <c r="D17" s="337"/>
      <c r="E17" s="337"/>
      <c r="F17" s="314"/>
      <c r="G17" s="337" t="s">
        <v>28</v>
      </c>
      <c r="H17" s="314"/>
      <c r="I17" s="338" t="s">
        <v>118</v>
      </c>
      <c r="J17" s="338"/>
      <c r="K17" s="338"/>
      <c r="L17" s="339"/>
      <c r="M17" s="46"/>
    </row>
    <row r="18" spans="1:13" ht="4.5" customHeight="1" x14ac:dyDescent="0.2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5"/>
    </row>
    <row r="19" spans="1:13" ht="15" customHeight="1" x14ac:dyDescent="0.2">
      <c r="A19" s="340" t="s">
        <v>79</v>
      </c>
      <c r="B19" s="299"/>
      <c r="C19" s="299"/>
      <c r="D19" s="299"/>
      <c r="E19" s="299"/>
      <c r="F19" s="299"/>
      <c r="G19" s="341" t="s">
        <v>78</v>
      </c>
      <c r="H19" s="299"/>
      <c r="I19" s="299"/>
      <c r="J19" s="299"/>
      <c r="K19" s="299"/>
      <c r="L19" s="300"/>
    </row>
    <row r="20" spans="1:13" ht="15" customHeight="1" x14ac:dyDescent="0.2">
      <c r="A20" s="332" t="s">
        <v>29</v>
      </c>
      <c r="B20" s="333"/>
      <c r="C20" s="334" t="s">
        <v>30</v>
      </c>
      <c r="D20" s="335"/>
      <c r="E20" s="335"/>
      <c r="F20" s="336"/>
      <c r="G20" s="332" t="s">
        <v>29</v>
      </c>
      <c r="H20" s="333"/>
      <c r="I20" s="334" t="s">
        <v>46</v>
      </c>
      <c r="J20" s="335"/>
      <c r="K20" s="335"/>
      <c r="L20" s="336"/>
    </row>
    <row r="21" spans="1:13" ht="15" customHeight="1" x14ac:dyDescent="0.2">
      <c r="A21" s="324" t="s">
        <v>31</v>
      </c>
      <c r="B21" s="325"/>
      <c r="C21" s="56" t="s">
        <v>113</v>
      </c>
      <c r="D21" s="57"/>
      <c r="E21" s="57"/>
      <c r="F21" s="58"/>
      <c r="G21" s="324" t="s">
        <v>31</v>
      </c>
      <c r="H21" s="325"/>
      <c r="I21" s="329" t="s">
        <v>63</v>
      </c>
      <c r="J21" s="330"/>
      <c r="K21" s="330"/>
      <c r="L21" s="331"/>
    </row>
    <row r="22" spans="1:13" ht="15" customHeight="1" x14ac:dyDescent="0.2">
      <c r="A22" s="324"/>
      <c r="B22" s="325"/>
      <c r="C22" s="56" t="s">
        <v>114</v>
      </c>
      <c r="D22" s="57"/>
      <c r="E22" s="57"/>
      <c r="F22" s="58"/>
      <c r="G22" s="324"/>
      <c r="H22" s="325"/>
      <c r="I22" s="329" t="s">
        <v>64</v>
      </c>
      <c r="J22" s="330"/>
      <c r="K22" s="330"/>
      <c r="L22" s="331"/>
    </row>
    <row r="23" spans="1:13" ht="15" customHeight="1" x14ac:dyDescent="0.2">
      <c r="A23" s="324"/>
      <c r="B23" s="325"/>
      <c r="C23" s="56" t="s">
        <v>115</v>
      </c>
      <c r="D23" s="57"/>
      <c r="E23" s="57"/>
      <c r="F23" s="58"/>
      <c r="G23" s="324"/>
      <c r="H23" s="325"/>
      <c r="I23" s="329" t="s">
        <v>65</v>
      </c>
      <c r="J23" s="330"/>
      <c r="K23" s="330"/>
      <c r="L23" s="331"/>
    </row>
    <row r="24" spans="1:13" ht="15" customHeight="1" x14ac:dyDescent="0.2">
      <c r="A24" s="324" t="s">
        <v>32</v>
      </c>
      <c r="B24" s="325"/>
      <c r="C24" s="56" t="s">
        <v>45</v>
      </c>
      <c r="D24" s="57"/>
      <c r="E24" s="57"/>
      <c r="F24" s="58"/>
      <c r="G24" s="324" t="s">
        <v>33</v>
      </c>
      <c r="H24" s="325"/>
      <c r="I24" s="326" t="s">
        <v>62</v>
      </c>
      <c r="J24" s="327"/>
      <c r="K24" s="327"/>
      <c r="L24" s="328"/>
    </row>
    <row r="25" spans="1:13" ht="15" customHeight="1" x14ac:dyDescent="0.2">
      <c r="A25" s="324" t="s">
        <v>33</v>
      </c>
      <c r="B25" s="325"/>
      <c r="C25" s="90" t="s">
        <v>116</v>
      </c>
      <c r="D25" s="91"/>
      <c r="E25" s="91"/>
      <c r="F25" s="92"/>
      <c r="G25" s="324" t="s">
        <v>23</v>
      </c>
      <c r="H25" s="325"/>
      <c r="I25" s="329" t="s">
        <v>45</v>
      </c>
      <c r="J25" s="330"/>
      <c r="K25" s="330"/>
      <c r="L25" s="331"/>
    </row>
    <row r="26" spans="1:13" ht="15" customHeight="1" x14ac:dyDescent="0.2">
      <c r="A26" s="313" t="s">
        <v>34</v>
      </c>
      <c r="B26" s="314"/>
      <c r="C26" s="59" t="s">
        <v>70</v>
      </c>
      <c r="D26" s="60"/>
      <c r="E26" s="60"/>
      <c r="F26" s="61"/>
      <c r="G26" s="313" t="s">
        <v>34</v>
      </c>
      <c r="H26" s="314"/>
      <c r="I26" s="315" t="s">
        <v>70</v>
      </c>
      <c r="J26" s="316"/>
      <c r="K26" s="316"/>
      <c r="L26" s="317"/>
    </row>
    <row r="27" spans="1:13" ht="4.3499999999999996" customHeight="1" x14ac:dyDescent="0.2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4"/>
    </row>
    <row r="28" spans="1:13" ht="38.25" customHeight="1" x14ac:dyDescent="0.2">
      <c r="A28" s="318" t="s">
        <v>128</v>
      </c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20"/>
    </row>
    <row r="29" spans="1:13" ht="30" customHeight="1" x14ac:dyDescent="0.2">
      <c r="A29" s="65" t="s">
        <v>35</v>
      </c>
      <c r="B29" s="321" t="s">
        <v>36</v>
      </c>
      <c r="C29" s="322"/>
      <c r="D29" s="323"/>
      <c r="E29" s="65" t="s">
        <v>37</v>
      </c>
      <c r="F29" s="65" t="s">
        <v>38</v>
      </c>
      <c r="G29" s="65" t="s">
        <v>2</v>
      </c>
      <c r="H29" s="65" t="s">
        <v>39</v>
      </c>
      <c r="I29" s="65" t="s">
        <v>40</v>
      </c>
      <c r="J29" s="65" t="s">
        <v>41</v>
      </c>
      <c r="K29" s="65" t="s">
        <v>42</v>
      </c>
      <c r="L29" s="65" t="s">
        <v>43</v>
      </c>
    </row>
    <row r="30" spans="1:13" ht="22.5" x14ac:dyDescent="0.2">
      <c r="A30" s="66"/>
      <c r="B30" s="304" t="s">
        <v>119</v>
      </c>
      <c r="C30" s="305"/>
      <c r="D30" s="306"/>
      <c r="E30" s="67"/>
      <c r="F30" s="67"/>
      <c r="G30" s="67"/>
      <c r="H30" s="67"/>
      <c r="I30" s="67"/>
      <c r="J30" s="67"/>
      <c r="K30" s="67"/>
      <c r="L30" s="67"/>
    </row>
    <row r="31" spans="1:13" ht="39" customHeight="1" x14ac:dyDescent="0.2">
      <c r="A31" s="68">
        <v>1</v>
      </c>
      <c r="B31" s="307" t="s">
        <v>130</v>
      </c>
      <c r="C31" s="308"/>
      <c r="D31" s="309"/>
      <c r="E31" s="69"/>
      <c r="F31" s="70">
        <v>998311</v>
      </c>
      <c r="G31" s="70" t="s">
        <v>71</v>
      </c>
      <c r="H31" s="69">
        <f>AOC!J13</f>
        <v>1</v>
      </c>
      <c r="I31" s="87">
        <v>13200</v>
      </c>
      <c r="J31" s="87">
        <f>I31*H31</f>
        <v>13200</v>
      </c>
      <c r="K31" s="87">
        <v>0</v>
      </c>
      <c r="L31" s="88">
        <f>(((J31-K31)))</f>
        <v>13200</v>
      </c>
    </row>
    <row r="32" spans="1:13" ht="42" customHeight="1" x14ac:dyDescent="0.2">
      <c r="A32" s="68">
        <v>2</v>
      </c>
      <c r="B32" s="307"/>
      <c r="C32" s="308"/>
      <c r="D32" s="309"/>
      <c r="E32" s="69"/>
      <c r="F32" s="70"/>
      <c r="G32" s="70"/>
      <c r="H32" s="69"/>
      <c r="I32" s="69"/>
      <c r="J32" s="87"/>
      <c r="K32" s="87"/>
      <c r="L32" s="88"/>
    </row>
    <row r="33" spans="1:12" x14ac:dyDescent="0.2">
      <c r="A33" s="68"/>
      <c r="B33" s="307"/>
      <c r="C33" s="308"/>
      <c r="D33" s="309"/>
      <c r="E33" s="69"/>
      <c r="F33" s="70"/>
      <c r="G33" s="70"/>
      <c r="H33" s="69"/>
      <c r="I33" s="69"/>
      <c r="J33" s="87"/>
      <c r="K33" s="87"/>
      <c r="L33" s="88"/>
    </row>
    <row r="34" spans="1:12" ht="30" customHeight="1" x14ac:dyDescent="0.2">
      <c r="A34" s="65"/>
      <c r="B34" s="310" t="s">
        <v>44</v>
      </c>
      <c r="C34" s="311"/>
      <c r="D34" s="312"/>
      <c r="E34" s="65"/>
      <c r="F34" s="65"/>
      <c r="G34" s="65"/>
      <c r="H34" s="65"/>
      <c r="I34" s="65"/>
      <c r="J34" s="65"/>
      <c r="K34" s="65"/>
      <c r="L34" s="71">
        <f>SUM(L31:L33)</f>
        <v>13200</v>
      </c>
    </row>
    <row r="35" spans="1:12" ht="4.3499999999999996" customHeight="1" x14ac:dyDescent="0.2">
      <c r="A35" s="295"/>
      <c r="B35" s="296"/>
      <c r="C35" s="296"/>
      <c r="D35" s="296"/>
      <c r="E35" s="296"/>
      <c r="F35" s="296"/>
      <c r="G35" s="296"/>
      <c r="H35" s="296"/>
      <c r="I35" s="296"/>
      <c r="J35" s="296"/>
      <c r="K35" s="296"/>
      <c r="L35" s="297"/>
    </row>
    <row r="36" spans="1:12" ht="30" customHeight="1" x14ac:dyDescent="0.2">
      <c r="A36" s="72" t="s">
        <v>73</v>
      </c>
      <c r="B36" s="73"/>
      <c r="C36" s="73"/>
      <c r="D36" s="73"/>
      <c r="E36" s="73"/>
      <c r="F36" s="74"/>
      <c r="G36" s="290" t="s">
        <v>68</v>
      </c>
      <c r="H36" s="290"/>
      <c r="I36" s="290"/>
      <c r="J36" s="291">
        <f>L34</f>
        <v>13200</v>
      </c>
      <c r="K36" s="291"/>
      <c r="L36" s="291"/>
    </row>
    <row r="37" spans="1:12" ht="30" customHeight="1" x14ac:dyDescent="0.2">
      <c r="A37" s="75" t="s">
        <v>66</v>
      </c>
      <c r="B37" s="76"/>
      <c r="C37" s="76"/>
      <c r="D37" s="76"/>
      <c r="E37" s="76"/>
      <c r="F37" s="76"/>
      <c r="G37" s="298" t="s">
        <v>120</v>
      </c>
      <c r="H37" s="299"/>
      <c r="I37" s="300"/>
      <c r="J37" s="301">
        <f>J36*9%</f>
        <v>1188</v>
      </c>
      <c r="K37" s="302"/>
      <c r="L37" s="303"/>
    </row>
    <row r="38" spans="1:12" ht="30" customHeight="1" x14ac:dyDescent="0.2">
      <c r="A38" s="75" t="s">
        <v>74</v>
      </c>
      <c r="B38" s="76"/>
      <c r="C38" s="76"/>
      <c r="D38" s="76"/>
      <c r="E38" s="76"/>
      <c r="F38" s="76"/>
      <c r="G38" s="290" t="s">
        <v>121</v>
      </c>
      <c r="H38" s="290"/>
      <c r="I38" s="290"/>
      <c r="J38" s="291">
        <f>J36*9%</f>
        <v>1188</v>
      </c>
      <c r="K38" s="291"/>
      <c r="L38" s="291"/>
    </row>
    <row r="39" spans="1:12" ht="30" customHeight="1" x14ac:dyDescent="0.2">
      <c r="A39" s="292" t="s">
        <v>75</v>
      </c>
      <c r="B39" s="293"/>
      <c r="C39" s="293"/>
      <c r="D39" s="293"/>
      <c r="E39" s="77"/>
      <c r="F39" s="77"/>
      <c r="G39" s="290" t="s">
        <v>67</v>
      </c>
      <c r="H39" s="290"/>
      <c r="I39" s="290"/>
      <c r="J39" s="294">
        <f>J36+(J37+J38)</f>
        <v>15576</v>
      </c>
      <c r="K39" s="294"/>
      <c r="L39" s="294"/>
    </row>
    <row r="40" spans="1:12" ht="3" customHeight="1" x14ac:dyDescent="0.2">
      <c r="A40" s="78"/>
      <c r="B40" s="79"/>
      <c r="C40" s="79"/>
      <c r="D40" s="79"/>
      <c r="E40" s="79"/>
      <c r="F40" s="80"/>
      <c r="G40" s="80"/>
      <c r="H40" s="89"/>
      <c r="I40" s="89"/>
      <c r="J40" s="81"/>
      <c r="K40" s="81"/>
      <c r="L40" s="82"/>
    </row>
    <row r="41" spans="1:12" ht="30" customHeight="1" x14ac:dyDescent="0.2">
      <c r="A41" s="274" t="str">
        <f>"Total Bill Amount in words : INR"&amp;" "&amp;CHOOSE(LEFT(TEXT(J39,"000000000"))+1,,"One","Two","Three","Four","Five","Six","Seven","Eight","Nine")&amp;
IF(--LEFT(TEXT(J39,"000000000"))=0,,IF(AND(--MID(TEXT(J39,"000000000"),2,1)=0,--MID(TEXT(J39,"000000000"),3,1)=0)," Hundred"," Hundred and "))&amp;
CHOOSE(MID(TEXT(J39,"000000000"),2,1)+1,,,"Twenty ","Thirty ","Forty ","Fifty ","Sixty ","Seventy ","Eighty ","Ninety ")&amp;
IF(--MID(TEXT(J39,"000000000"),2,1)&lt;&gt;1,CHOOSE(MID(TEXT(J39,"000000000"),3,1)+1,,"One","Two","Three","Four","Five","Six","Seven","Eight","Nine"),CHOOSE(MID(TEXT(J39,"000000000"),3,1)+1,"Ten","Eleven","Twelve","Thirteen","Fourteen","Fifteen","Sixteen","Seventeen","Eighteen","Nineteen"))&amp;
IF((--LEFT(TEXT(J39,"000000000"))+MID(TEXT(J39,"000000000"),2,1)+MID(TEXT(J39,"000000000"),3,1))=0,,IF(AND((--MID(TEXT(J39,"000000000"),4,1)+MID(TEXT(J39,"000000000"),5,1)+MID(TEXT(J39,"000000000"),6,1)+MID(TEXT(J39,"000000000"),7,1))=0,(--MID(TEXT(J39,"000000000"),8,1)+RIGHT(TEXT(J39,"000000000")))&gt;0)," Million and "," Million "))&amp;
CHOOSE(MID(TEXT(J39,"000000000"),4,1)+1,,"One","Two","Three","Four","Five","Six","Seven","Eight","Nine")&amp;
IF(--MID(TEXT(J39,"000000000"),4,1)=0,,IF(AND(--MID(TEXT(J39,"000000000"),5,1)=0,--MID(TEXT(J39,"000000000"),6,1)=0)," Hundred "," Hundred and "))&amp;
CHOOSE(MID(TEXT(J39,"000000000"),5,1)+1,,,"Twenty ","Thirty ","Forty ","Fifty ","Sixty ","Seventy ","Eighty ","Ninety ")&amp;
IF(--MID(TEXT(J39,"000000000"),5,1)&lt;&gt;1,CHOOSE(MID(TEXT(J39,"000000000"),6,1)+1,,"One","Two","Three","Four","Five","Six","Seven","Eight","Nine"),CHOOSE(MID(TEXT(J39,"000000000"),6,1)+1,"Ten","Eleven","Twelve","Thirteen","Fourteen","Fifteen","Sixteen","Seventeen","Eighteen","Nineteen"))&amp;
IF((--MID(TEXT(J39,"000000000"),4,1)+MID(TEXT(J39,"000000000"),5,1)+MID(TEXT(J39,"000000000"),6,1))=0,,IF(OR((--MID(TEXT(J39,"000000000"),7,1)+MID(TEXT(J39,"000000000"),8,1)+RIGHT(TEXT(J39,"000000000")))=0,--MID(TEXT(J39,"000000000"),7,1)&lt;&gt;0)," Thousand "," Thousand and "))&amp;
CHOOSE(MID(TEXT(J39,"000000000"),7,1)+1,,"One","Two","Three","Four","Five","Six","Seven","Eight","Nine")&amp;
IF(--MID(TEXT(J39,"000000000"),7,1)=0,,IF(AND(--MID(TEXT(J39,"000000000"),8,1)=0,--RIGHT(TEXT(J39,"000000000"))=0)," Hundred "," Hundred and "))&amp;
CHOOSE(MID(TEXT(J39,"000000000"),8,1)+1,,,"Twenty ","Thirty ","Forty ","Fifty ","Sixty ","Seventy ","Eighty ","Ninety ")&amp;
IF(--MID(TEXT(J39,"000000000"),8,1)&lt;&gt;1,CHOOSE(RIGHT(TEXT(J39,"000000000"))+1,,"One","Two","Three","Four","Five","Six","Seven","Eight","Nine"),CHOOSE(RIGHT(TEXT(J39,"000000000"))+1,"Ten","Eleven","Twelve","Thirteen","Fourteen","Fifteen","Sixteen","Seventeen","Eighteen","Nineteen"))&amp;" Only"</f>
        <v>Total Bill Amount in words : INR Fifteen Thousand Five Hundred and Seventy Six Only</v>
      </c>
      <c r="B41" s="275"/>
      <c r="C41" s="275"/>
      <c r="D41" s="275"/>
      <c r="E41" s="275"/>
      <c r="F41" s="275"/>
      <c r="G41" s="275"/>
      <c r="H41" s="275"/>
      <c r="I41" s="275"/>
      <c r="J41" s="275"/>
      <c r="K41" s="275"/>
      <c r="L41" s="276"/>
    </row>
    <row r="42" spans="1:12" ht="30" customHeight="1" x14ac:dyDescent="0.2">
      <c r="A42" s="277" t="s">
        <v>76</v>
      </c>
      <c r="B42" s="278"/>
      <c r="C42" s="278"/>
      <c r="D42" s="278"/>
      <c r="E42" s="278"/>
      <c r="F42" s="278"/>
      <c r="G42" s="278"/>
      <c r="H42" s="278"/>
      <c r="I42" s="278"/>
      <c r="J42" s="278"/>
      <c r="K42" s="278"/>
      <c r="L42" s="279"/>
    </row>
    <row r="43" spans="1:12" ht="30" customHeight="1" x14ac:dyDescent="0.2">
      <c r="A43" s="83"/>
      <c r="B43" s="84"/>
      <c r="C43" s="84"/>
      <c r="D43" s="84"/>
      <c r="E43" s="84"/>
      <c r="F43" s="84"/>
      <c r="G43" s="280" t="s">
        <v>77</v>
      </c>
      <c r="H43" s="280"/>
      <c r="I43" s="280"/>
      <c r="J43" s="280"/>
      <c r="K43" s="280"/>
      <c r="L43" s="281"/>
    </row>
    <row r="44" spans="1:12" ht="30" customHeight="1" x14ac:dyDescent="0.2">
      <c r="A44" s="85"/>
      <c r="B44" s="86"/>
      <c r="C44" s="86"/>
      <c r="D44" s="86"/>
      <c r="E44" s="86"/>
      <c r="F44" s="86"/>
      <c r="G44" s="282" t="s">
        <v>69</v>
      </c>
      <c r="H44" s="282"/>
      <c r="I44" s="282"/>
      <c r="J44" s="282"/>
      <c r="K44" s="282"/>
      <c r="L44" s="283"/>
    </row>
    <row r="45" spans="1:12" ht="18" customHeight="1" x14ac:dyDescent="0.2">
      <c r="A45" s="284"/>
      <c r="B45" s="285"/>
      <c r="C45" s="285"/>
      <c r="D45" s="285"/>
      <c r="E45" s="285"/>
      <c r="F45" s="285"/>
      <c r="G45" s="285"/>
      <c r="H45" s="285"/>
      <c r="I45" s="285"/>
      <c r="J45" s="285"/>
      <c r="K45" s="285"/>
      <c r="L45" s="286"/>
    </row>
    <row r="46" spans="1:12" ht="18" customHeight="1" x14ac:dyDescent="0.2">
      <c r="A46" s="284"/>
      <c r="B46" s="285"/>
      <c r="C46" s="285"/>
      <c r="D46" s="285"/>
      <c r="E46" s="285"/>
      <c r="F46" s="285"/>
      <c r="G46" s="285"/>
      <c r="H46" s="285"/>
      <c r="I46" s="285"/>
      <c r="J46" s="285"/>
      <c r="K46" s="285"/>
      <c r="L46" s="286"/>
    </row>
    <row r="47" spans="1:12" ht="18" customHeight="1" x14ac:dyDescent="0.2">
      <c r="A47" s="284"/>
      <c r="B47" s="285"/>
      <c r="C47" s="285"/>
      <c r="D47" s="285"/>
      <c r="E47" s="285"/>
      <c r="F47" s="285"/>
      <c r="G47" s="285"/>
      <c r="H47" s="285"/>
      <c r="I47" s="285"/>
      <c r="J47" s="285"/>
      <c r="K47" s="285"/>
      <c r="L47" s="286"/>
    </row>
    <row r="48" spans="1:12" ht="18" customHeight="1" x14ac:dyDescent="0.2">
      <c r="A48" s="287"/>
      <c r="B48" s="288"/>
      <c r="C48" s="288"/>
      <c r="D48" s="288"/>
      <c r="E48" s="288"/>
      <c r="F48" s="288"/>
      <c r="G48" s="288"/>
      <c r="H48" s="288"/>
      <c r="I48" s="288"/>
      <c r="J48" s="288"/>
      <c r="K48" s="288"/>
      <c r="L48" s="289"/>
    </row>
    <row r="49" spans="1:12" ht="18" customHeight="1" x14ac:dyDescent="0.2">
      <c r="A49" s="271"/>
      <c r="B49" s="271"/>
      <c r="C49" s="271"/>
      <c r="D49" s="271"/>
      <c r="E49" s="271"/>
      <c r="F49" s="271"/>
      <c r="G49" s="272"/>
      <c r="H49" s="272"/>
      <c r="I49" s="272"/>
      <c r="J49" s="273"/>
      <c r="K49" s="273"/>
      <c r="L49" s="273"/>
    </row>
  </sheetData>
  <mergeCells count="69">
    <mergeCell ref="A11:J13"/>
    <mergeCell ref="K11:L11"/>
    <mergeCell ref="K12:L12"/>
    <mergeCell ref="K13:L13"/>
    <mergeCell ref="A14:B14"/>
    <mergeCell ref="C14:F14"/>
    <mergeCell ref="G14:H14"/>
    <mergeCell ref="I14:L14"/>
    <mergeCell ref="A15:B15"/>
    <mergeCell ref="C15:F15"/>
    <mergeCell ref="G15:H15"/>
    <mergeCell ref="I15:L15"/>
    <mergeCell ref="A16:B16"/>
    <mergeCell ref="C16:F16"/>
    <mergeCell ref="G16:H16"/>
    <mergeCell ref="I16:L16"/>
    <mergeCell ref="A17:B17"/>
    <mergeCell ref="C17:F17"/>
    <mergeCell ref="G17:H17"/>
    <mergeCell ref="I17:L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A23:B23"/>
    <mergeCell ref="G23:H23"/>
    <mergeCell ref="I23:L23"/>
    <mergeCell ref="A24:B24"/>
    <mergeCell ref="G24:H24"/>
    <mergeCell ref="I24:L24"/>
    <mergeCell ref="A25:B25"/>
    <mergeCell ref="G25:H25"/>
    <mergeCell ref="I25:L25"/>
    <mergeCell ref="A26:B26"/>
    <mergeCell ref="G26:H26"/>
    <mergeCell ref="I26:L26"/>
    <mergeCell ref="A28:L28"/>
    <mergeCell ref="B29:D29"/>
    <mergeCell ref="B30:D30"/>
    <mergeCell ref="B31:D31"/>
    <mergeCell ref="B32:D32"/>
    <mergeCell ref="B33:D33"/>
    <mergeCell ref="B34:D34"/>
    <mergeCell ref="A35:L35"/>
    <mergeCell ref="G36:I36"/>
    <mergeCell ref="J36:L36"/>
    <mergeCell ref="G37:I37"/>
    <mergeCell ref="J37:L37"/>
    <mergeCell ref="G38:I38"/>
    <mergeCell ref="J38:L38"/>
    <mergeCell ref="A39:D39"/>
    <mergeCell ref="G39:I39"/>
    <mergeCell ref="J39:L39"/>
    <mergeCell ref="A49:F49"/>
    <mergeCell ref="G49:I49"/>
    <mergeCell ref="J49:L49"/>
    <mergeCell ref="A41:L41"/>
    <mergeCell ref="A42:L42"/>
    <mergeCell ref="G43:L43"/>
    <mergeCell ref="G44:L44"/>
    <mergeCell ref="A45:L48"/>
  </mergeCells>
  <printOptions horizontalCentered="1"/>
  <pageMargins left="0.25" right="0.25" top="0.28000000000000003" bottom="0.28000000000000003" header="0.3" footer="0.3"/>
  <pageSetup paperSize="9"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56"/>
  <sheetViews>
    <sheetView view="pageLayout" zoomScale="75" zoomScaleNormal="70" zoomScalePageLayoutView="75" workbookViewId="0">
      <selection activeCell="G62" sqref="G62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width="15.42578125" bestFit="1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359" t="s">
        <v>124</v>
      </c>
      <c r="B11" s="360"/>
      <c r="C11" s="360"/>
      <c r="D11" s="360"/>
      <c r="E11" s="360"/>
      <c r="F11" s="360"/>
      <c r="G11" s="360"/>
      <c r="H11" s="360"/>
      <c r="I11" s="360"/>
      <c r="J11" s="361"/>
      <c r="K11" s="368" t="s">
        <v>18</v>
      </c>
      <c r="L11" s="368"/>
    </row>
    <row r="12" spans="1:12" ht="15" customHeight="1" x14ac:dyDescent="0.2">
      <c r="A12" s="362"/>
      <c r="B12" s="363"/>
      <c r="C12" s="363"/>
      <c r="D12" s="363"/>
      <c r="E12" s="363"/>
      <c r="F12" s="363"/>
      <c r="G12" s="363"/>
      <c r="H12" s="363"/>
      <c r="I12" s="363"/>
      <c r="J12" s="364"/>
      <c r="K12" s="368" t="s">
        <v>19</v>
      </c>
      <c r="L12" s="368"/>
    </row>
    <row r="13" spans="1:12" ht="15" customHeight="1" x14ac:dyDescent="0.2">
      <c r="A13" s="365"/>
      <c r="B13" s="366"/>
      <c r="C13" s="366"/>
      <c r="D13" s="366"/>
      <c r="E13" s="366"/>
      <c r="F13" s="366"/>
      <c r="G13" s="366"/>
      <c r="H13" s="366"/>
      <c r="I13" s="366"/>
      <c r="J13" s="367"/>
      <c r="K13" s="369" t="s">
        <v>20</v>
      </c>
      <c r="L13" s="369"/>
    </row>
    <row r="14" spans="1:12" ht="15" customHeight="1" x14ac:dyDescent="0.2">
      <c r="A14" s="370" t="s">
        <v>21</v>
      </c>
      <c r="B14" s="371"/>
      <c r="C14" s="380" t="str">
        <f>'working sheet'!B6</f>
        <v>SSI/</v>
      </c>
      <c r="D14" s="381"/>
      <c r="E14" s="381"/>
      <c r="F14" s="382"/>
      <c r="G14" s="378" t="s">
        <v>22</v>
      </c>
      <c r="H14" s="371"/>
      <c r="I14" s="372">
        <f>'working sheet'!B8</f>
        <v>45902</v>
      </c>
      <c r="J14" s="372"/>
      <c r="K14" s="372"/>
      <c r="L14" s="373"/>
    </row>
    <row r="15" spans="1:12" ht="15" customHeight="1" x14ac:dyDescent="0.2">
      <c r="A15" s="374" t="s">
        <v>23</v>
      </c>
      <c r="B15" s="375"/>
      <c r="C15" s="374" t="s">
        <v>145</v>
      </c>
      <c r="D15" s="379"/>
      <c r="E15" s="379"/>
      <c r="F15" s="375"/>
      <c r="G15" s="379" t="s">
        <v>24</v>
      </c>
      <c r="H15" s="375"/>
      <c r="I15" s="376" t="s">
        <v>147</v>
      </c>
      <c r="J15" s="376"/>
      <c r="K15" s="376"/>
      <c r="L15" s="377"/>
    </row>
    <row r="16" spans="1:12" ht="15" customHeight="1" x14ac:dyDescent="0.2">
      <c r="A16" s="374" t="s">
        <v>25</v>
      </c>
      <c r="B16" s="375"/>
      <c r="C16" s="374" t="str">
        <f>'working sheet'!B5</f>
        <v>01 Aug 2025 To 31 Aug 2025</v>
      </c>
      <c r="D16" s="379"/>
      <c r="E16" s="379"/>
      <c r="F16" s="375"/>
      <c r="G16" s="379" t="s">
        <v>26</v>
      </c>
      <c r="H16" s="375"/>
      <c r="I16" s="379">
        <v>101065975</v>
      </c>
      <c r="J16" s="379"/>
      <c r="K16" s="379"/>
      <c r="L16" s="375"/>
    </row>
    <row r="17" spans="1:13" ht="15" customHeight="1" x14ac:dyDescent="0.35">
      <c r="A17" s="383" t="s">
        <v>27</v>
      </c>
      <c r="B17" s="384"/>
      <c r="C17" s="383" t="s">
        <v>146</v>
      </c>
      <c r="D17" s="385"/>
      <c r="E17" s="385"/>
      <c r="F17" s="384"/>
      <c r="G17" s="385" t="s">
        <v>28</v>
      </c>
      <c r="H17" s="384"/>
      <c r="I17" s="385" t="s">
        <v>143</v>
      </c>
      <c r="J17" s="385"/>
      <c r="K17" s="385"/>
      <c r="L17" s="384"/>
      <c r="M17" s="46"/>
    </row>
    <row r="18" spans="1:13" ht="4.5" customHeight="1" x14ac:dyDescent="0.2">
      <c r="A18" s="124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6"/>
    </row>
    <row r="19" spans="1:13" ht="15" customHeight="1" x14ac:dyDescent="0.2">
      <c r="A19" s="386" t="s">
        <v>79</v>
      </c>
      <c r="B19" s="387"/>
      <c r="C19" s="387"/>
      <c r="D19" s="387"/>
      <c r="E19" s="387"/>
      <c r="F19" s="387"/>
      <c r="G19" s="388" t="s">
        <v>78</v>
      </c>
      <c r="H19" s="387"/>
      <c r="I19" s="387"/>
      <c r="J19" s="387"/>
      <c r="K19" s="387"/>
      <c r="L19" s="389"/>
    </row>
    <row r="20" spans="1:13" ht="15" customHeight="1" x14ac:dyDescent="0.2">
      <c r="A20" s="370" t="s">
        <v>29</v>
      </c>
      <c r="B20" s="371"/>
      <c r="C20" s="390" t="s">
        <v>134</v>
      </c>
      <c r="D20" s="391"/>
      <c r="E20" s="391"/>
      <c r="F20" s="392"/>
      <c r="G20" s="370" t="s">
        <v>29</v>
      </c>
      <c r="H20" s="371"/>
      <c r="I20" s="390" t="s">
        <v>86</v>
      </c>
      <c r="J20" s="391"/>
      <c r="K20" s="391"/>
      <c r="L20" s="392"/>
    </row>
    <row r="21" spans="1:13" ht="15" customHeight="1" x14ac:dyDescent="0.2">
      <c r="A21" s="374" t="s">
        <v>31</v>
      </c>
      <c r="B21" s="375"/>
      <c r="C21" s="393" t="s">
        <v>148</v>
      </c>
      <c r="D21" s="394"/>
      <c r="E21" s="394"/>
      <c r="F21" s="395"/>
      <c r="G21" s="374" t="s">
        <v>31</v>
      </c>
      <c r="H21" s="375"/>
      <c r="I21" s="393" t="s">
        <v>63</v>
      </c>
      <c r="J21" s="394"/>
      <c r="K21" s="394"/>
      <c r="L21" s="395"/>
    </row>
    <row r="22" spans="1:13" ht="15" customHeight="1" x14ac:dyDescent="0.2">
      <c r="A22" s="374"/>
      <c r="B22" s="375"/>
      <c r="C22" s="393" t="s">
        <v>149</v>
      </c>
      <c r="D22" s="394"/>
      <c r="E22" s="394"/>
      <c r="F22" s="395"/>
      <c r="G22" s="374"/>
      <c r="H22" s="375"/>
      <c r="I22" s="393" t="s">
        <v>64</v>
      </c>
      <c r="J22" s="394"/>
      <c r="K22" s="394"/>
      <c r="L22" s="395"/>
    </row>
    <row r="23" spans="1:13" ht="15" customHeight="1" x14ac:dyDescent="0.2">
      <c r="A23" s="374"/>
      <c r="B23" s="375"/>
      <c r="C23" s="393" t="s">
        <v>150</v>
      </c>
      <c r="D23" s="394"/>
      <c r="E23" s="394"/>
      <c r="F23" s="395"/>
      <c r="G23" s="374"/>
      <c r="H23" s="375"/>
      <c r="I23" s="393" t="s">
        <v>65</v>
      </c>
      <c r="J23" s="394"/>
      <c r="K23" s="394"/>
      <c r="L23" s="395"/>
    </row>
    <row r="24" spans="1:13" ht="15" customHeight="1" x14ac:dyDescent="0.2">
      <c r="A24" s="374" t="s">
        <v>32</v>
      </c>
      <c r="B24" s="375"/>
      <c r="C24" s="393" t="s">
        <v>145</v>
      </c>
      <c r="D24" s="394"/>
      <c r="E24" s="394"/>
      <c r="F24" s="395"/>
      <c r="G24" s="374" t="s">
        <v>33</v>
      </c>
      <c r="H24" s="375"/>
      <c r="I24" s="396" t="s">
        <v>62</v>
      </c>
      <c r="J24" s="272"/>
      <c r="K24" s="272"/>
      <c r="L24" s="397"/>
    </row>
    <row r="25" spans="1:13" ht="15" customHeight="1" x14ac:dyDescent="0.2">
      <c r="A25" s="374" t="s">
        <v>33</v>
      </c>
      <c r="B25" s="375"/>
      <c r="C25" s="396" t="s">
        <v>151</v>
      </c>
      <c r="D25" s="272"/>
      <c r="E25" s="272"/>
      <c r="F25" s="397"/>
      <c r="G25" s="374" t="s">
        <v>23</v>
      </c>
      <c r="H25" s="375"/>
      <c r="I25" s="393" t="s">
        <v>45</v>
      </c>
      <c r="J25" s="394"/>
      <c r="K25" s="394"/>
      <c r="L25" s="395"/>
    </row>
    <row r="26" spans="1:13" ht="15" customHeight="1" x14ac:dyDescent="0.2">
      <c r="A26" s="383" t="s">
        <v>34</v>
      </c>
      <c r="B26" s="384"/>
      <c r="C26" s="401">
        <v>23</v>
      </c>
      <c r="D26" s="402"/>
      <c r="E26" s="402"/>
      <c r="F26" s="403"/>
      <c r="G26" s="383" t="s">
        <v>34</v>
      </c>
      <c r="H26" s="384"/>
      <c r="I26" s="398" t="s">
        <v>70</v>
      </c>
      <c r="J26" s="399"/>
      <c r="K26" s="399"/>
      <c r="L26" s="400"/>
    </row>
    <row r="27" spans="1:13" ht="4.3499999999999996" customHeight="1" x14ac:dyDescent="0.2">
      <c r="A27" s="127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28"/>
    </row>
    <row r="28" spans="1:13" ht="38.25" customHeight="1" x14ac:dyDescent="0.2">
      <c r="A28" s="42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AUGUST-2025</v>
      </c>
      <c r="B28" s="424"/>
      <c r="C28" s="424"/>
      <c r="D28" s="424"/>
      <c r="E28" s="424"/>
      <c r="F28" s="424"/>
      <c r="G28" s="424"/>
      <c r="H28" s="424"/>
      <c r="I28" s="424"/>
      <c r="J28" s="424"/>
      <c r="K28" s="424"/>
      <c r="L28" s="425"/>
    </row>
    <row r="29" spans="1:13" ht="30" customHeight="1" x14ac:dyDescent="0.2">
      <c r="A29" s="129" t="s">
        <v>35</v>
      </c>
      <c r="B29" s="426" t="s">
        <v>36</v>
      </c>
      <c r="C29" s="427"/>
      <c r="D29" s="428"/>
      <c r="E29" s="129" t="s">
        <v>37</v>
      </c>
      <c r="F29" s="129" t="s">
        <v>38</v>
      </c>
      <c r="G29" s="129" t="s">
        <v>2</v>
      </c>
      <c r="H29" s="129" t="s">
        <v>39</v>
      </c>
      <c r="I29" s="129" t="s">
        <v>40</v>
      </c>
      <c r="J29" s="129" t="s">
        <v>41</v>
      </c>
      <c r="K29" s="129" t="s">
        <v>42</v>
      </c>
      <c r="L29" s="129" t="s">
        <v>43</v>
      </c>
    </row>
    <row r="30" spans="1:13" ht="23.25" x14ac:dyDescent="0.2">
      <c r="A30" s="130"/>
      <c r="B30" s="429" t="s">
        <v>141</v>
      </c>
      <c r="C30" s="430"/>
      <c r="D30" s="431"/>
      <c r="E30" s="131"/>
      <c r="F30" s="131"/>
      <c r="G30" s="131"/>
      <c r="H30" s="131"/>
      <c r="I30" s="131"/>
      <c r="J30" s="131"/>
      <c r="K30" s="131"/>
      <c r="L30" s="131"/>
    </row>
    <row r="31" spans="1:13" x14ac:dyDescent="0.2">
      <c r="A31" s="132">
        <v>1</v>
      </c>
      <c r="B31" s="404" t="str">
        <f>AOC!C13</f>
        <v>SERVICE CHARGE FOR ASSISTANCE</v>
      </c>
      <c r="C31" s="405"/>
      <c r="D31" s="406"/>
      <c r="E31" s="133"/>
      <c r="F31" s="134">
        <v>998311</v>
      </c>
      <c r="G31" s="134" t="str">
        <f>AOC!D13</f>
        <v>MON</v>
      </c>
      <c r="H31" s="135">
        <f>AOC!J13</f>
        <v>1</v>
      </c>
      <c r="I31" s="135">
        <f>AOC!F13</f>
        <v>44891.63</v>
      </c>
      <c r="J31" s="135">
        <f>I31*H31</f>
        <v>44891.63</v>
      </c>
      <c r="K31" s="135">
        <v>0</v>
      </c>
      <c r="L31" s="136">
        <f>(((J31-K31)))</f>
        <v>44891.63</v>
      </c>
    </row>
    <row r="32" spans="1:13" x14ac:dyDescent="0.2">
      <c r="A32" s="132">
        <v>2</v>
      </c>
      <c r="B32" s="404" t="str">
        <f>AOC!C14</f>
        <v>PROVISION OF REVISION OF WAGES</v>
      </c>
      <c r="C32" s="405"/>
      <c r="D32" s="406"/>
      <c r="E32" s="133"/>
      <c r="F32" s="134">
        <v>998311</v>
      </c>
      <c r="G32" s="134" t="str">
        <f>AOC!D14</f>
        <v>EA</v>
      </c>
      <c r="H32" s="135">
        <f>AOC!J14</f>
        <v>3929.25</v>
      </c>
      <c r="I32" s="135">
        <f>AOC!F14</f>
        <v>1</v>
      </c>
      <c r="J32" s="135">
        <f>I32*H32</f>
        <v>3929.25</v>
      </c>
      <c r="K32" s="135">
        <v>0</v>
      </c>
      <c r="L32" s="136">
        <f>(((J32-K32)))</f>
        <v>3929.25</v>
      </c>
    </row>
    <row r="33" spans="1:12" x14ac:dyDescent="0.2">
      <c r="A33" s="132">
        <v>3</v>
      </c>
      <c r="B33" s="404" t="str">
        <f>AOC!C15</f>
        <v>PROVISION FOR SAFETY KITS</v>
      </c>
      <c r="C33" s="405"/>
      <c r="D33" s="406"/>
      <c r="E33" s="133"/>
      <c r="F33" s="134">
        <v>998311</v>
      </c>
      <c r="G33" s="134" t="str">
        <f>AOC!D15</f>
        <v>EA</v>
      </c>
      <c r="H33" s="135">
        <f>AOC!J15</f>
        <v>0</v>
      </c>
      <c r="I33" s="135">
        <f>AOC!F15</f>
        <v>1</v>
      </c>
      <c r="J33" s="135">
        <f>I33*H33</f>
        <v>0</v>
      </c>
      <c r="K33" s="135">
        <v>0</v>
      </c>
      <c r="L33" s="136">
        <f>(((J33-K33)))</f>
        <v>0</v>
      </c>
    </row>
    <row r="34" spans="1:12" x14ac:dyDescent="0.2">
      <c r="A34" s="132">
        <v>4</v>
      </c>
      <c r="B34" s="404" t="str">
        <f>AOC!C16</f>
        <v>Ex-gratia in lieu of Bonus @ 8.33% Per Month</v>
      </c>
      <c r="C34" s="405"/>
      <c r="D34" s="406"/>
      <c r="E34" s="133"/>
      <c r="F34" s="134">
        <v>998311</v>
      </c>
      <c r="G34" s="134" t="str">
        <f>AOC!D16</f>
        <v>LS</v>
      </c>
      <c r="H34" s="135">
        <f>AOC!J16</f>
        <v>0</v>
      </c>
      <c r="I34" s="135">
        <f>AOC!F16</f>
        <v>1</v>
      </c>
      <c r="J34" s="135">
        <f>I34*H34</f>
        <v>0</v>
      </c>
      <c r="K34" s="135">
        <v>0</v>
      </c>
      <c r="L34" s="136">
        <f>(((J34-K34)))</f>
        <v>0</v>
      </c>
    </row>
    <row r="35" spans="1:12" x14ac:dyDescent="0.2">
      <c r="A35" s="132"/>
      <c r="B35" s="404"/>
      <c r="C35" s="405"/>
      <c r="D35" s="406"/>
      <c r="E35" s="133"/>
      <c r="F35" s="134"/>
      <c r="G35" s="134"/>
      <c r="H35" s="135"/>
      <c r="I35" s="135"/>
      <c r="J35" s="135"/>
      <c r="K35" s="135"/>
      <c r="L35" s="136"/>
    </row>
    <row r="36" spans="1:12" x14ac:dyDescent="0.2">
      <c r="A36" s="132"/>
      <c r="B36" s="404"/>
      <c r="C36" s="405"/>
      <c r="D36" s="406"/>
      <c r="E36" s="133"/>
      <c r="F36" s="134"/>
      <c r="G36" s="134"/>
      <c r="H36" s="135"/>
      <c r="I36" s="135"/>
      <c r="J36" s="135"/>
      <c r="K36" s="135"/>
      <c r="L36" s="136"/>
    </row>
    <row r="37" spans="1:12" x14ac:dyDescent="0.2">
      <c r="A37" s="132"/>
      <c r="B37" s="404"/>
      <c r="C37" s="405"/>
      <c r="D37" s="406"/>
      <c r="E37" s="133"/>
      <c r="F37" s="137"/>
      <c r="G37" s="134"/>
      <c r="H37" s="133"/>
      <c r="I37" s="133"/>
      <c r="J37" s="133"/>
      <c r="K37" s="133"/>
      <c r="L37" s="138"/>
    </row>
    <row r="38" spans="1:12" ht="30" customHeight="1" x14ac:dyDescent="0.2">
      <c r="A38" s="129"/>
      <c r="B38" s="407" t="s">
        <v>44</v>
      </c>
      <c r="C38" s="408"/>
      <c r="D38" s="409"/>
      <c r="E38" s="129"/>
      <c r="F38" s="129"/>
      <c r="G38" s="129"/>
      <c r="H38" s="129"/>
      <c r="I38" s="129"/>
      <c r="J38" s="129"/>
      <c r="K38" s="129"/>
      <c r="L38" s="139">
        <f>SUM(L31:L37)</f>
        <v>48820.88</v>
      </c>
    </row>
    <row r="39" spans="1:12" ht="4.3499999999999996" customHeight="1" x14ac:dyDescent="0.2">
      <c r="A39" s="410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2"/>
    </row>
    <row r="40" spans="1:12" ht="30" customHeight="1" x14ac:dyDescent="0.2">
      <c r="A40" s="145" t="s">
        <v>73</v>
      </c>
      <c r="B40" s="146"/>
      <c r="C40" s="146"/>
      <c r="D40" s="146"/>
      <c r="E40" s="146"/>
      <c r="F40" s="147"/>
      <c r="G40" s="413" t="s">
        <v>68</v>
      </c>
      <c r="H40" s="413"/>
      <c r="I40" s="413"/>
      <c r="J40" s="414">
        <f>ROUND(L38,0)</f>
        <v>48821</v>
      </c>
      <c r="K40" s="414"/>
      <c r="L40" s="414"/>
    </row>
    <row r="41" spans="1:12" ht="30" customHeight="1" x14ac:dyDescent="0.2">
      <c r="A41" s="148" t="s">
        <v>66</v>
      </c>
      <c r="B41" s="149"/>
      <c r="C41" s="149"/>
      <c r="D41" s="149"/>
      <c r="E41" s="149"/>
      <c r="F41" s="149"/>
      <c r="G41" s="413" t="s">
        <v>178</v>
      </c>
      <c r="H41" s="413"/>
      <c r="I41" s="413"/>
      <c r="J41" s="414">
        <f>ROUND(J40*18%,0)</f>
        <v>8788</v>
      </c>
      <c r="K41" s="414"/>
      <c r="L41" s="414"/>
    </row>
    <row r="42" spans="1:12" ht="30" customHeight="1" x14ac:dyDescent="0.2">
      <c r="A42" s="148" t="s">
        <v>74</v>
      </c>
      <c r="B42" s="149"/>
      <c r="C42" s="149"/>
      <c r="D42" s="149"/>
      <c r="E42" s="149"/>
      <c r="F42" s="149"/>
      <c r="G42" s="413" t="s">
        <v>137</v>
      </c>
      <c r="H42" s="413"/>
      <c r="I42" s="413"/>
      <c r="J42" s="419">
        <f>ROUND(J40+J41,0)</f>
        <v>57609</v>
      </c>
      <c r="K42" s="419"/>
      <c r="L42" s="419"/>
    </row>
    <row r="43" spans="1:12" ht="30" customHeight="1" x14ac:dyDescent="0.2">
      <c r="A43" s="417" t="s">
        <v>75</v>
      </c>
      <c r="B43" s="418"/>
      <c r="C43" s="418"/>
      <c r="D43" s="418"/>
      <c r="E43" s="150"/>
      <c r="F43" s="150"/>
      <c r="G43" s="178"/>
      <c r="H43" s="173"/>
      <c r="I43" s="173"/>
      <c r="J43" s="179"/>
      <c r="K43" s="179"/>
      <c r="L43" s="180"/>
    </row>
    <row r="44" spans="1:12" ht="3" customHeight="1" x14ac:dyDescent="0.2">
      <c r="A44" s="140"/>
      <c r="B44" s="141"/>
      <c r="C44" s="141"/>
      <c r="D44" s="141"/>
      <c r="E44" s="141"/>
      <c r="F44" s="142"/>
      <c r="G44" s="174"/>
      <c r="H44" s="174"/>
      <c r="I44" s="174"/>
      <c r="J44" s="174"/>
      <c r="K44" s="174"/>
      <c r="L44" s="175"/>
    </row>
    <row r="45" spans="1:12" ht="30" customHeight="1" x14ac:dyDescent="0.2">
      <c r="A45" s="420" t="e">
        <f ca="1">K47="Total Bill Amount in words : "&amp;[1]!SpellNumber(J42)</f>
        <v>#NAME?</v>
      </c>
      <c r="B45" s="421"/>
      <c r="C45" s="421"/>
      <c r="D45" s="421"/>
      <c r="E45" s="421"/>
      <c r="F45" s="421"/>
      <c r="G45" s="421"/>
      <c r="H45" s="421"/>
      <c r="I45" s="421"/>
      <c r="J45" s="421"/>
      <c r="K45" s="421"/>
      <c r="L45" s="422"/>
    </row>
    <row r="46" spans="1:12" ht="20.100000000000001" customHeight="1" x14ac:dyDescent="0.2">
      <c r="A46" s="176" t="s">
        <v>76</v>
      </c>
      <c r="B46" s="177"/>
      <c r="C46" s="177"/>
      <c r="D46" s="177"/>
      <c r="E46" s="177"/>
      <c r="F46" s="177"/>
      <c r="G46" s="415" t="s">
        <v>77</v>
      </c>
      <c r="H46" s="415"/>
      <c r="I46" s="415"/>
      <c r="J46" s="415"/>
      <c r="K46" s="415"/>
      <c r="L46" s="416"/>
    </row>
    <row r="47" spans="1:12" ht="20.100000000000001" customHeight="1" x14ac:dyDescent="0.25">
      <c r="A47" s="143"/>
      <c r="B47" s="93"/>
      <c r="C47" s="93"/>
      <c r="D47" s="93"/>
      <c r="E47" s="93"/>
      <c r="F47" s="93"/>
      <c r="G47" s="95"/>
      <c r="H47" s="95"/>
      <c r="I47" s="95"/>
      <c r="J47" s="95"/>
      <c r="K47" s="95"/>
      <c r="L47" s="144"/>
    </row>
    <row r="48" spans="1:12" ht="20.100000000000001" customHeight="1" x14ac:dyDescent="0.25">
      <c r="A48" s="143"/>
      <c r="B48" s="93"/>
      <c r="C48" s="93"/>
      <c r="D48" s="93"/>
      <c r="E48" s="93"/>
      <c r="F48" s="93"/>
      <c r="G48" s="95"/>
      <c r="H48" s="95"/>
      <c r="I48" s="95"/>
      <c r="J48" s="95"/>
      <c r="K48" s="95"/>
      <c r="L48" s="144"/>
    </row>
    <row r="49" spans="1:12" ht="20.100000000000001" customHeight="1" x14ac:dyDescent="0.25">
      <c r="A49" s="143"/>
      <c r="B49" s="93"/>
      <c r="C49" s="93"/>
      <c r="D49" s="93"/>
      <c r="E49" s="93"/>
      <c r="F49" s="93"/>
      <c r="G49" s="95"/>
      <c r="H49" s="95"/>
      <c r="I49" s="95"/>
      <c r="J49" s="95"/>
      <c r="K49" s="95"/>
      <c r="L49" s="144"/>
    </row>
    <row r="50" spans="1:12" ht="20.100000000000001" customHeight="1" x14ac:dyDescent="0.2">
      <c r="A50" s="143"/>
      <c r="B50" s="93"/>
      <c r="C50" s="93"/>
      <c r="D50" s="93"/>
      <c r="E50" s="93"/>
      <c r="F50" s="93"/>
      <c r="G50" s="415" t="s">
        <v>69</v>
      </c>
      <c r="H50" s="415"/>
      <c r="I50" s="415"/>
      <c r="J50" s="415"/>
      <c r="K50" s="415"/>
      <c r="L50" s="416"/>
    </row>
    <row r="51" spans="1:12" ht="20.100000000000001" customHeight="1" x14ac:dyDescent="0.2">
      <c r="A51" s="143"/>
      <c r="B51" s="93"/>
      <c r="C51" s="93"/>
      <c r="D51" s="93"/>
      <c r="E51" s="93"/>
      <c r="F51" s="93"/>
      <c r="G51" s="169"/>
      <c r="H51" s="169"/>
      <c r="I51" s="169"/>
      <c r="J51" s="169"/>
      <c r="K51" s="169"/>
      <c r="L51" s="170"/>
    </row>
    <row r="52" spans="1:12" ht="18" customHeight="1" x14ac:dyDescent="0.2">
      <c r="A52" s="181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3"/>
    </row>
    <row r="53" spans="1:12" ht="18" customHeight="1" x14ac:dyDescent="0.2">
      <c r="A53" s="168"/>
      <c r="B53" s="169"/>
      <c r="C53" s="169"/>
      <c r="D53" s="169"/>
      <c r="E53" s="169"/>
      <c r="F53" s="169"/>
      <c r="G53" s="169"/>
      <c r="H53" s="169"/>
      <c r="I53" s="169"/>
      <c r="J53" s="169"/>
      <c r="K53" s="169"/>
      <c r="L53" s="170"/>
    </row>
    <row r="54" spans="1:12" ht="18" customHeight="1" x14ac:dyDescent="0.2">
      <c r="A54" s="168"/>
      <c r="B54" s="169"/>
      <c r="C54" s="169"/>
      <c r="D54" s="169"/>
      <c r="E54" s="169"/>
      <c r="F54" s="169"/>
      <c r="G54" s="169"/>
      <c r="H54" s="169"/>
      <c r="I54" s="169"/>
      <c r="J54" s="169"/>
      <c r="K54" s="169"/>
      <c r="L54" s="170"/>
    </row>
    <row r="55" spans="1:12" ht="18" customHeight="1" x14ac:dyDescent="0.2">
      <c r="A55" s="171"/>
      <c r="B55" s="172"/>
      <c r="C55" s="172"/>
      <c r="D55" s="172"/>
      <c r="E55" s="172"/>
      <c r="F55" s="172"/>
      <c r="G55" s="184"/>
      <c r="H55" s="184"/>
      <c r="I55" s="184"/>
      <c r="J55" s="185"/>
      <c r="K55" s="185"/>
      <c r="L55" s="186"/>
    </row>
    <row r="56" spans="1:12" ht="18" customHeight="1" x14ac:dyDescent="0.2">
      <c r="A56" s="271"/>
      <c r="B56" s="271"/>
      <c r="C56" s="271"/>
      <c r="D56" s="271"/>
      <c r="E56" s="271"/>
      <c r="F56" s="271"/>
    </row>
  </sheetData>
  <mergeCells count="73"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7:D37"/>
    <mergeCell ref="B38:D38"/>
    <mergeCell ref="A39:L39"/>
    <mergeCell ref="G40:I40"/>
    <mergeCell ref="J40:L40"/>
    <mergeCell ref="A25:B25"/>
    <mergeCell ref="G25:H25"/>
    <mergeCell ref="I25:L25"/>
    <mergeCell ref="A26:B26"/>
    <mergeCell ref="G26:H26"/>
    <mergeCell ref="I26:L26"/>
    <mergeCell ref="C25:F25"/>
    <mergeCell ref="C26:F26"/>
    <mergeCell ref="A23:B23"/>
    <mergeCell ref="G23:H23"/>
    <mergeCell ref="I23:L23"/>
    <mergeCell ref="A24:B24"/>
    <mergeCell ref="G24:H24"/>
    <mergeCell ref="I24:L24"/>
    <mergeCell ref="C23:F23"/>
    <mergeCell ref="C24:F24"/>
    <mergeCell ref="A21:B21"/>
    <mergeCell ref="G21:H21"/>
    <mergeCell ref="I21:L21"/>
    <mergeCell ref="A22:B22"/>
    <mergeCell ref="G22:H22"/>
    <mergeCell ref="I22:L22"/>
    <mergeCell ref="C21:F21"/>
    <mergeCell ref="C22:F22"/>
    <mergeCell ref="A19:F19"/>
    <mergeCell ref="G19:L19"/>
    <mergeCell ref="A20:B20"/>
    <mergeCell ref="C20:F20"/>
    <mergeCell ref="G20:H20"/>
    <mergeCell ref="I20:L20"/>
    <mergeCell ref="A16:B16"/>
    <mergeCell ref="I16:L16"/>
    <mergeCell ref="A17:B17"/>
    <mergeCell ref="I17:L17"/>
    <mergeCell ref="G16:H16"/>
    <mergeCell ref="G17:H17"/>
    <mergeCell ref="C16:F16"/>
    <mergeCell ref="C17:F17"/>
    <mergeCell ref="A15:B15"/>
    <mergeCell ref="I15:L15"/>
    <mergeCell ref="G14:H14"/>
    <mergeCell ref="G15:H15"/>
    <mergeCell ref="C14:F14"/>
    <mergeCell ref="C15:F15"/>
    <mergeCell ref="A11:J13"/>
    <mergeCell ref="K11:L11"/>
    <mergeCell ref="K12:L12"/>
    <mergeCell ref="K13:L13"/>
    <mergeCell ref="A14:B14"/>
    <mergeCell ref="I14:L14"/>
  </mergeCells>
  <printOptions horizontalCentered="1"/>
  <pageMargins left="0.25" right="0.25" top="0.75" bottom="0.75" header="0.3" footer="0.3"/>
  <pageSetup paperSize="9" scale="60" orientation="portrait" r:id="rId1"/>
  <ignoredErrors>
    <ignoredError sqref="I26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47"/>
  <sheetViews>
    <sheetView view="pageLayout" zoomScaleNormal="70" workbookViewId="0">
      <selection activeCell="B37" sqref="B37:F37"/>
    </sheetView>
  </sheetViews>
  <sheetFormatPr defaultRowHeight="14.25" x14ac:dyDescent="0.2"/>
  <cols>
    <col min="1" max="1" width="8.85546875" style="33" customWidth="1"/>
    <col min="2" max="5" width="11.85546875" style="33" customWidth="1"/>
    <col min="6" max="11" width="12.85546875" style="33" customWidth="1"/>
    <col min="13" max="13" width="11.140625" bestFit="1" customWidth="1"/>
  </cols>
  <sheetData>
    <row r="1" spans="1:13" ht="20.100000000000001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40"/>
    </row>
    <row r="2" spans="1:13" ht="20.100000000000001" customHeight="1" x14ac:dyDescent="0.2">
      <c r="A2" s="41"/>
      <c r="K2" s="42"/>
    </row>
    <row r="3" spans="1:13" ht="20.100000000000001" customHeight="1" x14ac:dyDescent="0.2">
      <c r="A3" s="41"/>
      <c r="K3" s="42"/>
    </row>
    <row r="4" spans="1:13" ht="20.100000000000001" customHeight="1" x14ac:dyDescent="0.2">
      <c r="A4" s="41"/>
      <c r="K4" s="42"/>
    </row>
    <row r="5" spans="1:13" ht="20.100000000000001" customHeight="1" x14ac:dyDescent="0.2">
      <c r="A5" s="41"/>
      <c r="K5" s="42"/>
    </row>
    <row r="6" spans="1:13" ht="20.100000000000001" customHeight="1" x14ac:dyDescent="0.2">
      <c r="A6" s="41"/>
      <c r="K6" s="42"/>
    </row>
    <row r="7" spans="1:13" ht="20.100000000000001" customHeight="1" x14ac:dyDescent="0.2">
      <c r="A7" s="41"/>
      <c r="K7" s="42"/>
    </row>
    <row r="8" spans="1:13" ht="20.100000000000001" customHeight="1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</row>
    <row r="9" spans="1:13" ht="24.95" customHeight="1" x14ac:dyDescent="0.2">
      <c r="A9" s="459" t="s">
        <v>87</v>
      </c>
      <c r="B9" s="459"/>
      <c r="C9" s="459"/>
      <c r="D9" s="459"/>
      <c r="E9" s="459"/>
      <c r="F9" s="459"/>
      <c r="G9" s="459"/>
      <c r="H9" s="459"/>
      <c r="I9" s="459"/>
      <c r="J9" s="459"/>
      <c r="K9" s="459"/>
    </row>
    <row r="10" spans="1:13" ht="24.95" customHeight="1" x14ac:dyDescent="0.2">
      <c r="A10" s="459" t="str">
        <f>'working sheet'!C9</f>
        <v>RA BILL NO-20</v>
      </c>
      <c r="B10" s="459"/>
      <c r="C10" s="459"/>
      <c r="D10" s="459"/>
      <c r="E10" s="459"/>
      <c r="F10" s="459"/>
      <c r="G10" s="459"/>
      <c r="H10" s="459"/>
      <c r="I10" s="459"/>
      <c r="J10" s="459"/>
      <c r="K10" s="459"/>
    </row>
    <row r="11" spans="1:13" ht="24.95" customHeight="1" x14ac:dyDescent="0.2">
      <c r="A11" s="441" t="s">
        <v>47</v>
      </c>
      <c r="B11" s="441"/>
      <c r="C11" s="441"/>
      <c r="D11" s="441"/>
      <c r="E11" s="441"/>
      <c r="F11" s="450" t="s">
        <v>86</v>
      </c>
      <c r="G11" s="451"/>
      <c r="H11" s="451"/>
      <c r="I11" s="451"/>
      <c r="J11" s="451"/>
      <c r="K11" s="452"/>
    </row>
    <row r="12" spans="1:13" s="32" customFormat="1" ht="37.5" customHeight="1" x14ac:dyDescent="0.2">
      <c r="A12" s="441" t="s">
        <v>48</v>
      </c>
      <c r="B12" s="441"/>
      <c r="C12" s="441"/>
      <c r="D12" s="441"/>
      <c r="E12" s="441"/>
      <c r="F12" s="460" t="s">
        <v>142</v>
      </c>
      <c r="G12" s="460"/>
      <c r="H12" s="460"/>
      <c r="I12" s="460"/>
      <c r="J12" s="460"/>
      <c r="K12" s="460"/>
    </row>
    <row r="13" spans="1:13" s="32" customFormat="1" ht="30" customHeight="1" x14ac:dyDescent="0.2">
      <c r="A13" s="441" t="s">
        <v>49</v>
      </c>
      <c r="B13" s="441"/>
      <c r="C13" s="441"/>
      <c r="D13" s="441"/>
      <c r="E13" s="441"/>
      <c r="F13" s="441" t="s">
        <v>143</v>
      </c>
      <c r="G13" s="441"/>
      <c r="H13" s="441"/>
      <c r="I13" s="441"/>
      <c r="J13" s="441"/>
      <c r="K13" s="441"/>
    </row>
    <row r="14" spans="1:13" s="32" customFormat="1" ht="30" customHeight="1" x14ac:dyDescent="0.2">
      <c r="A14" s="441" t="s">
        <v>50</v>
      </c>
      <c r="B14" s="441"/>
      <c r="C14" s="441"/>
      <c r="D14" s="441"/>
      <c r="E14" s="441"/>
      <c r="F14" s="442" t="s">
        <v>72</v>
      </c>
      <c r="G14" s="442"/>
      <c r="H14" s="442"/>
      <c r="I14" s="442"/>
      <c r="J14" s="442"/>
      <c r="K14" s="442"/>
    </row>
    <row r="15" spans="1:13" s="32" customFormat="1" ht="30" customHeight="1" x14ac:dyDescent="0.2">
      <c r="A15" s="441" t="s">
        <v>51</v>
      </c>
      <c r="B15" s="441"/>
      <c r="C15" s="441"/>
      <c r="D15" s="441"/>
      <c r="E15" s="441"/>
      <c r="F15" s="442" t="s">
        <v>144</v>
      </c>
      <c r="G15" s="442"/>
      <c r="H15" s="442"/>
      <c r="I15" s="442"/>
      <c r="J15" s="442"/>
      <c r="K15" s="442"/>
      <c r="M15" s="152"/>
    </row>
    <row r="16" spans="1:13" s="32" customFormat="1" ht="30" customHeight="1" x14ac:dyDescent="0.2">
      <c r="A16" s="441" t="s">
        <v>52</v>
      </c>
      <c r="B16" s="441"/>
      <c r="C16" s="441"/>
      <c r="D16" s="441"/>
      <c r="E16" s="441"/>
      <c r="F16" s="442" t="s">
        <v>177</v>
      </c>
      <c r="G16" s="442"/>
      <c r="H16" s="442"/>
      <c r="I16" s="442"/>
      <c r="J16" s="442"/>
      <c r="K16" s="442"/>
    </row>
    <row r="17" spans="1:11" s="32" customFormat="1" ht="30" customHeight="1" x14ac:dyDescent="0.2">
      <c r="A17" s="413" t="s">
        <v>53</v>
      </c>
      <c r="B17" s="413"/>
      <c r="C17" s="413"/>
      <c r="D17" s="413"/>
      <c r="E17" s="413"/>
      <c r="F17" s="441" t="str">
        <f>'working sheet'!C9</f>
        <v>RA BILL NO-20</v>
      </c>
      <c r="G17" s="441"/>
      <c r="H17" s="441"/>
      <c r="I17" s="441"/>
      <c r="J17" s="441"/>
      <c r="K17" s="441"/>
    </row>
    <row r="18" spans="1:11" s="32" customFormat="1" ht="30" customHeight="1" x14ac:dyDescent="0.2">
      <c r="A18" s="441" t="s">
        <v>54</v>
      </c>
      <c r="B18" s="441"/>
      <c r="C18" s="441"/>
      <c r="D18" s="441"/>
      <c r="E18" s="441"/>
      <c r="F18" s="461" t="str">
        <f>'working sheet'!B5&amp;" BILL FOR THE MONTH OF"&amp;" "&amp;'working sheet'!B10</f>
        <v>01 Aug 2025 To 31 Aug 2025 BILL FOR THE MONTH OF AUGUST-2025</v>
      </c>
      <c r="G18" s="462"/>
      <c r="H18" s="462"/>
      <c r="I18" s="462"/>
      <c r="J18" s="462"/>
      <c r="K18" s="463"/>
    </row>
    <row r="19" spans="1:11" s="32" customFormat="1" ht="5.0999999999999996" customHeight="1" x14ac:dyDescent="0.2">
      <c r="A19" s="453"/>
      <c r="B19" s="454"/>
      <c r="C19" s="454"/>
      <c r="D19" s="454"/>
      <c r="E19" s="454"/>
      <c r="F19" s="454"/>
      <c r="G19" s="454"/>
      <c r="H19" s="454"/>
      <c r="I19" s="454"/>
      <c r="J19" s="454"/>
      <c r="K19" s="455"/>
    </row>
    <row r="20" spans="1:11" ht="24.95" customHeight="1" x14ac:dyDescent="0.2">
      <c r="A20" s="113" t="s">
        <v>88</v>
      </c>
      <c r="B20" s="443" t="s">
        <v>85</v>
      </c>
      <c r="C20" s="444"/>
      <c r="D20" s="444"/>
      <c r="E20" s="445"/>
      <c r="F20" s="446" t="s">
        <v>55</v>
      </c>
      <c r="G20" s="447"/>
      <c r="H20" s="448" t="s">
        <v>56</v>
      </c>
      <c r="I20" s="449"/>
      <c r="J20" s="448" t="s">
        <v>57</v>
      </c>
      <c r="K20" s="449"/>
    </row>
    <row r="21" spans="1:11" ht="24.95" customHeight="1" x14ac:dyDescent="0.3">
      <c r="A21" s="114">
        <v>1</v>
      </c>
      <c r="B21" s="464" t="s">
        <v>123</v>
      </c>
      <c r="C21" s="464"/>
      <c r="D21" s="464"/>
      <c r="E21" s="464"/>
      <c r="F21" s="432">
        <v>955041.53</v>
      </c>
      <c r="G21" s="433"/>
      <c r="H21" s="434">
        <f>AOC!K17</f>
        <v>48821</v>
      </c>
      <c r="I21" s="434"/>
      <c r="J21" s="435">
        <f>F21+H21</f>
        <v>1003862.53</v>
      </c>
      <c r="K21" s="435"/>
    </row>
    <row r="22" spans="1:11" ht="24.95" customHeight="1" x14ac:dyDescent="0.3">
      <c r="A22" s="114">
        <v>2</v>
      </c>
      <c r="B22" s="436" t="s">
        <v>175</v>
      </c>
      <c r="C22" s="437"/>
      <c r="D22" s="437"/>
      <c r="E22" s="438"/>
      <c r="F22" s="432">
        <v>171907.2954</v>
      </c>
      <c r="G22" s="433"/>
      <c r="H22" s="439">
        <f>ROUND(H21*18%,0)</f>
        <v>8788</v>
      </c>
      <c r="I22" s="440"/>
      <c r="J22" s="435">
        <f t="shared" ref="J22:J27" si="0">F22+H22</f>
        <v>180695.2954</v>
      </c>
      <c r="K22" s="435"/>
    </row>
    <row r="23" spans="1:11" ht="29.45" customHeight="1" x14ac:dyDescent="0.3">
      <c r="A23" s="114">
        <v>3</v>
      </c>
      <c r="B23" s="436" t="s">
        <v>122</v>
      </c>
      <c r="C23" s="470"/>
      <c r="D23" s="470"/>
      <c r="E23" s="471"/>
      <c r="F23" s="432">
        <v>1126948.8254</v>
      </c>
      <c r="G23" s="433"/>
      <c r="H23" s="439">
        <f>H21+H22</f>
        <v>57609</v>
      </c>
      <c r="I23" s="440"/>
      <c r="J23" s="435">
        <f t="shared" si="0"/>
        <v>1184557.8254</v>
      </c>
      <c r="K23" s="435"/>
    </row>
    <row r="24" spans="1:11" ht="24.95" customHeight="1" x14ac:dyDescent="0.3">
      <c r="A24" s="114">
        <v>4</v>
      </c>
      <c r="B24" s="469" t="s">
        <v>174</v>
      </c>
      <c r="C24" s="470"/>
      <c r="D24" s="470"/>
      <c r="E24" s="471"/>
      <c r="F24" s="432">
        <v>19099.810600000001</v>
      </c>
      <c r="G24" s="433"/>
      <c r="H24" s="439">
        <f>ROUND(H21*2%,0)</f>
        <v>976</v>
      </c>
      <c r="I24" s="440"/>
      <c r="J24" s="435">
        <f t="shared" si="0"/>
        <v>20075.810600000001</v>
      </c>
      <c r="K24" s="435"/>
    </row>
    <row r="25" spans="1:11" ht="24.95" customHeight="1" x14ac:dyDescent="0.3">
      <c r="A25" s="114">
        <v>5</v>
      </c>
      <c r="B25" s="436" t="s">
        <v>84</v>
      </c>
      <c r="C25" s="437"/>
      <c r="D25" s="437"/>
      <c r="E25" s="438"/>
      <c r="F25" s="432">
        <v>19099.810600000001</v>
      </c>
      <c r="G25" s="433"/>
      <c r="H25" s="439">
        <f>ROUND(H21*2%,0)</f>
        <v>976</v>
      </c>
      <c r="I25" s="440"/>
      <c r="J25" s="435">
        <f t="shared" si="0"/>
        <v>20075.810600000001</v>
      </c>
      <c r="K25" s="435"/>
    </row>
    <row r="26" spans="1:11" ht="30.6" customHeight="1" x14ac:dyDescent="0.3">
      <c r="A26" s="114">
        <v>6</v>
      </c>
      <c r="B26" s="436" t="s">
        <v>58</v>
      </c>
      <c r="C26" s="437"/>
      <c r="D26" s="437"/>
      <c r="E26" s="438"/>
      <c r="F26" s="432">
        <v>0</v>
      </c>
      <c r="G26" s="433"/>
      <c r="H26" s="439">
        <v>0</v>
      </c>
      <c r="I26" s="440"/>
      <c r="J26" s="435">
        <f t="shared" si="0"/>
        <v>0</v>
      </c>
      <c r="K26" s="435"/>
    </row>
    <row r="27" spans="1:11" ht="24.95" customHeight="1" x14ac:dyDescent="0.3">
      <c r="A27" s="114">
        <v>7</v>
      </c>
      <c r="B27" s="475" t="s">
        <v>59</v>
      </c>
      <c r="C27" s="475"/>
      <c r="D27" s="475"/>
      <c r="E27" s="475"/>
      <c r="F27" s="432">
        <v>1088749.2042</v>
      </c>
      <c r="G27" s="433"/>
      <c r="H27" s="476">
        <f>H23-(H24+H25)</f>
        <v>55657</v>
      </c>
      <c r="I27" s="477"/>
      <c r="J27" s="435">
        <f t="shared" si="0"/>
        <v>1144406.2042</v>
      </c>
      <c r="K27" s="435"/>
    </row>
    <row r="28" spans="1:11" ht="24.95" customHeight="1" x14ac:dyDescent="0.2">
      <c r="A28" s="478" t="str">
        <f>"Verified &amp; Certified for Net Amount Payment of : INR"&amp;" "&amp;[2]!SpellNumber(H27)</f>
        <v xml:space="preserve">Verified &amp; Certified for Net Amount Payment of : INR Rupees FiftyFive Thousand Six Hundred FiftySeven Only </v>
      </c>
      <c r="B28" s="479"/>
      <c r="C28" s="479"/>
      <c r="D28" s="479"/>
      <c r="E28" s="479"/>
      <c r="F28" s="479"/>
      <c r="G28" s="479"/>
      <c r="H28" s="479"/>
      <c r="I28" s="479"/>
      <c r="J28" s="479"/>
      <c r="K28" s="480"/>
    </row>
    <row r="29" spans="1:11" ht="24.95" customHeight="1" x14ac:dyDescent="0.2">
      <c r="A29" s="115">
        <v>1</v>
      </c>
      <c r="B29" s="465" t="s">
        <v>80</v>
      </c>
      <c r="C29" s="465"/>
      <c r="D29" s="465"/>
      <c r="E29" s="465"/>
      <c r="F29" s="465"/>
      <c r="G29" s="465"/>
      <c r="H29" s="465"/>
      <c r="I29" s="465"/>
      <c r="J29" s="465"/>
      <c r="K29" s="466"/>
    </row>
    <row r="30" spans="1:11" ht="24.95" customHeight="1" x14ac:dyDescent="0.2">
      <c r="A30" s="116">
        <v>2</v>
      </c>
      <c r="B30" s="465" t="s">
        <v>81</v>
      </c>
      <c r="C30" s="465"/>
      <c r="D30" s="465"/>
      <c r="E30" s="465"/>
      <c r="F30" s="465"/>
      <c r="G30" s="465"/>
      <c r="H30" s="465"/>
      <c r="I30" s="465"/>
      <c r="J30" s="465"/>
      <c r="K30" s="466"/>
    </row>
    <row r="31" spans="1:11" ht="24.95" customHeight="1" x14ac:dyDescent="0.2">
      <c r="A31" s="116">
        <v>3</v>
      </c>
      <c r="B31" s="467" t="s">
        <v>82</v>
      </c>
      <c r="C31" s="467"/>
      <c r="D31" s="467"/>
      <c r="E31" s="467"/>
      <c r="F31" s="467"/>
      <c r="G31" s="467"/>
      <c r="H31" s="467"/>
      <c r="I31" s="467"/>
      <c r="J31" s="467"/>
      <c r="K31" s="468"/>
    </row>
    <row r="32" spans="1:11" ht="24.95" customHeight="1" x14ac:dyDescent="0.2">
      <c r="A32" s="116">
        <v>4</v>
      </c>
      <c r="B32" s="467" t="s">
        <v>60</v>
      </c>
      <c r="C32" s="467"/>
      <c r="D32" s="467"/>
      <c r="E32" s="467"/>
      <c r="F32" s="467"/>
      <c r="G32" s="467"/>
      <c r="H32" s="467"/>
      <c r="I32" s="467"/>
      <c r="J32" s="467"/>
      <c r="K32" s="468"/>
    </row>
    <row r="33" spans="1:12" ht="24.95" customHeight="1" x14ac:dyDescent="0.2">
      <c r="A33" s="117" t="s">
        <v>61</v>
      </c>
      <c r="B33" s="453" t="s">
        <v>83</v>
      </c>
      <c r="C33" s="454"/>
      <c r="D33" s="454"/>
      <c r="E33" s="454"/>
      <c r="F33" s="455"/>
      <c r="G33" s="453" t="s">
        <v>176</v>
      </c>
      <c r="H33" s="454"/>
      <c r="I33" s="454"/>
      <c r="J33" s="454"/>
      <c r="K33" s="455"/>
    </row>
    <row r="34" spans="1:12" ht="24.95" customHeight="1" x14ac:dyDescent="0.25">
      <c r="A34" s="118"/>
      <c r="B34" s="119"/>
      <c r="C34" s="119"/>
      <c r="D34" s="119"/>
      <c r="E34" s="119"/>
      <c r="F34" s="119"/>
      <c r="G34" s="119"/>
      <c r="H34" s="119"/>
      <c r="I34" s="119"/>
      <c r="J34" s="119"/>
      <c r="K34" s="120"/>
    </row>
    <row r="35" spans="1:12" ht="24.95" customHeight="1" x14ac:dyDescent="0.25">
      <c r="A35" s="121"/>
      <c r="B35" s="122"/>
      <c r="C35" s="122"/>
      <c r="D35" s="122"/>
      <c r="E35" s="122"/>
      <c r="F35" s="122"/>
      <c r="G35" s="122"/>
      <c r="H35" s="122"/>
      <c r="I35" s="122"/>
      <c r="J35" s="122"/>
      <c r="K35" s="123"/>
    </row>
    <row r="36" spans="1:12" ht="24.95" customHeight="1" x14ac:dyDescent="0.2">
      <c r="A36" s="117" t="s">
        <v>29</v>
      </c>
      <c r="B36" s="456" t="s">
        <v>126</v>
      </c>
      <c r="C36" s="457"/>
      <c r="D36" s="457"/>
      <c r="E36" s="457"/>
      <c r="F36" s="458"/>
      <c r="G36" s="456" t="s">
        <v>182</v>
      </c>
      <c r="H36" s="457"/>
      <c r="I36" s="457"/>
      <c r="J36" s="457"/>
      <c r="K36" s="458"/>
    </row>
    <row r="37" spans="1:12" ht="24.95" customHeight="1" x14ac:dyDescent="0.2">
      <c r="A37" s="117" t="s">
        <v>1</v>
      </c>
      <c r="B37" s="472">
        <f>'working sheet'!B4</f>
        <v>45902</v>
      </c>
      <c r="C37" s="473"/>
      <c r="D37" s="473"/>
      <c r="E37" s="473"/>
      <c r="F37" s="474"/>
      <c r="G37" s="453" t="s">
        <v>183</v>
      </c>
      <c r="H37" s="454"/>
      <c r="I37" s="454"/>
      <c r="J37" s="454"/>
      <c r="K37" s="455"/>
    </row>
    <row r="38" spans="1:12" ht="24.75" customHeight="1" x14ac:dyDescent="0.2"/>
    <row r="46" spans="1:12" x14ac:dyDescent="0.2">
      <c r="J46" s="34"/>
    </row>
    <row r="47" spans="1:12" s="33" customFormat="1" x14ac:dyDescent="0.2">
      <c r="L47"/>
    </row>
  </sheetData>
  <mergeCells count="62"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  <mergeCell ref="J23:K23"/>
    <mergeCell ref="J24:K24"/>
    <mergeCell ref="H24:I24"/>
    <mergeCell ref="F24:G24"/>
    <mergeCell ref="B24:E24"/>
    <mergeCell ref="B23:E23"/>
    <mergeCell ref="F23:G23"/>
    <mergeCell ref="H23:I23"/>
    <mergeCell ref="B29:K29"/>
    <mergeCell ref="B30:K30"/>
    <mergeCell ref="B31:K31"/>
    <mergeCell ref="B32:K32"/>
    <mergeCell ref="B33:F33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21:G21"/>
    <mergeCell ref="H21:I21"/>
    <mergeCell ref="J21:K21"/>
    <mergeCell ref="B22:E22"/>
    <mergeCell ref="F22:G22"/>
    <mergeCell ref="H22:I22"/>
    <mergeCell ref="J22:K22"/>
  </mergeCells>
  <printOptions horizontalCentered="1"/>
  <pageMargins left="0.25" right="0.25" top="0.75" bottom="0.75" header="0.3" footer="0.3"/>
  <pageSetup scale="7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width="13.140625" bestFit="1" customWidth="1"/>
  </cols>
  <sheetData>
    <row r="1" spans="1:9" ht="15" x14ac:dyDescent="0.25">
      <c r="A1" s="481" t="s">
        <v>4</v>
      </c>
      <c r="B1" s="481"/>
      <c r="C1" s="1" t="s">
        <v>3</v>
      </c>
      <c r="D1" s="3"/>
      <c r="E1" s="4"/>
      <c r="G1" s="5"/>
    </row>
    <row r="2" spans="1:9" ht="15" x14ac:dyDescent="0.25">
      <c r="A2" s="481" t="s">
        <v>5</v>
      </c>
      <c r="B2" s="481"/>
      <c r="C2" s="6" t="s">
        <v>16</v>
      </c>
      <c r="D2" s="3"/>
      <c r="E2" s="4"/>
      <c r="G2" s="5"/>
    </row>
    <row r="3" spans="1:9" ht="15" x14ac:dyDescent="0.25">
      <c r="A3" s="481" t="s">
        <v>6</v>
      </c>
      <c r="B3" s="481"/>
      <c r="C3" s="7"/>
      <c r="D3" s="8"/>
      <c r="G3" s="5"/>
    </row>
    <row r="4" spans="1:9" ht="15" x14ac:dyDescent="0.25">
      <c r="A4" s="8"/>
      <c r="D4" s="4"/>
      <c r="E4" s="4"/>
      <c r="G4" s="5"/>
    </row>
    <row r="5" spans="1:9" ht="15.75" x14ac:dyDescent="0.25">
      <c r="A5" s="482" t="s">
        <v>7</v>
      </c>
      <c r="B5" s="482"/>
      <c r="C5" s="482"/>
      <c r="D5" s="482"/>
      <c r="E5" s="482"/>
      <c r="F5" s="482"/>
      <c r="G5" s="482"/>
    </row>
    <row r="6" spans="1:9" x14ac:dyDescent="0.2">
      <c r="A6" s="9" t="s">
        <v>8</v>
      </c>
      <c r="B6" s="9" t="s">
        <v>9</v>
      </c>
      <c r="C6" s="9" t="s">
        <v>10</v>
      </c>
      <c r="D6" s="483" t="s">
        <v>11</v>
      </c>
      <c r="E6" s="483"/>
      <c r="F6" s="9" t="s">
        <v>12</v>
      </c>
      <c r="G6" s="9" t="s">
        <v>13</v>
      </c>
    </row>
    <row r="7" spans="1:9" x14ac:dyDescent="0.2">
      <c r="A7" s="10"/>
      <c r="B7" s="10"/>
      <c r="C7" s="10"/>
      <c r="D7" s="11" t="s">
        <v>1</v>
      </c>
      <c r="E7" s="11" t="s">
        <v>14</v>
      </c>
      <c r="F7" s="10"/>
      <c r="G7" s="10"/>
    </row>
    <row r="8" spans="1:9" x14ac:dyDescent="0.2">
      <c r="A8" s="2">
        <v>1</v>
      </c>
      <c r="B8" s="12" t="s">
        <v>17</v>
      </c>
      <c r="C8" s="13">
        <v>3278428</v>
      </c>
      <c r="D8" s="14"/>
      <c r="E8" s="15"/>
      <c r="F8" s="16"/>
      <c r="G8" s="17"/>
      <c r="I8" s="18"/>
    </row>
    <row r="9" spans="1:9" x14ac:dyDescent="0.2">
      <c r="A9" s="2">
        <v>2</v>
      </c>
      <c r="B9" s="12"/>
      <c r="C9" s="19"/>
      <c r="D9" s="14"/>
      <c r="E9" s="15"/>
      <c r="F9" s="16"/>
      <c r="G9" s="17"/>
    </row>
    <row r="10" spans="1:9" x14ac:dyDescent="0.2">
      <c r="A10" s="2">
        <v>3</v>
      </c>
      <c r="B10" s="12"/>
      <c r="C10" s="19"/>
      <c r="D10" s="14"/>
      <c r="E10" s="15"/>
      <c r="F10" s="16"/>
      <c r="G10" s="17"/>
    </row>
    <row r="11" spans="1:9" x14ac:dyDescent="0.2">
      <c r="A11" s="2">
        <v>4</v>
      </c>
      <c r="B11" s="12"/>
      <c r="C11" s="19"/>
      <c r="D11" s="14"/>
      <c r="E11" s="15"/>
      <c r="F11" s="16"/>
      <c r="G11" s="17"/>
      <c r="H11" s="18"/>
      <c r="I11" s="18"/>
    </row>
    <row r="12" spans="1:9" x14ac:dyDescent="0.2">
      <c r="A12" s="2">
        <v>5</v>
      </c>
      <c r="B12" s="12"/>
      <c r="C12" s="19"/>
      <c r="D12" s="14"/>
      <c r="E12" s="15"/>
      <c r="F12" s="16"/>
      <c r="G12" s="17"/>
    </row>
    <row r="13" spans="1:9" x14ac:dyDescent="0.2">
      <c r="A13" s="2">
        <v>6</v>
      </c>
      <c r="B13" s="12"/>
      <c r="C13" s="19"/>
      <c r="D13" s="14"/>
      <c r="E13" s="15"/>
      <c r="F13" s="16"/>
      <c r="G13" s="17"/>
    </row>
    <row r="14" spans="1:9" x14ac:dyDescent="0.2">
      <c r="A14" s="2">
        <v>7</v>
      </c>
      <c r="B14" s="12"/>
      <c r="C14" s="19"/>
      <c r="D14" s="14"/>
      <c r="E14" s="15"/>
      <c r="F14" s="16"/>
      <c r="G14" s="17"/>
    </row>
    <row r="15" spans="1:9" x14ac:dyDescent="0.2">
      <c r="A15" s="2">
        <v>8</v>
      </c>
      <c r="B15" s="12"/>
      <c r="C15" s="19"/>
      <c r="D15" s="14"/>
      <c r="E15" s="15"/>
      <c r="F15" s="16"/>
      <c r="G15" s="17"/>
    </row>
    <row r="16" spans="1:9" x14ac:dyDescent="0.2">
      <c r="A16" s="2">
        <v>9</v>
      </c>
      <c r="B16" s="12"/>
      <c r="C16" s="19"/>
      <c r="D16" s="14"/>
      <c r="E16" s="15"/>
      <c r="F16" s="16"/>
      <c r="G16" s="17"/>
    </row>
    <row r="17" spans="1:10" x14ac:dyDescent="0.2">
      <c r="A17" s="2">
        <v>10</v>
      </c>
      <c r="B17" s="12"/>
      <c r="C17" s="19"/>
      <c r="D17" s="14"/>
      <c r="E17" s="15"/>
      <c r="F17" s="16">
        <f>C17-E17</f>
        <v>0</v>
      </c>
      <c r="G17" s="20"/>
    </row>
    <row r="18" spans="1:10" x14ac:dyDescent="0.2">
      <c r="A18" s="2">
        <v>11</v>
      </c>
      <c r="B18" s="12"/>
      <c r="C18" s="19"/>
      <c r="D18" s="14"/>
      <c r="E18" s="15"/>
      <c r="F18" s="16">
        <f>C18-E18</f>
        <v>0</v>
      </c>
      <c r="G18" s="20"/>
    </row>
    <row r="19" spans="1:10" x14ac:dyDescent="0.2">
      <c r="A19" s="2">
        <v>12</v>
      </c>
      <c r="B19" s="12"/>
      <c r="C19" s="19"/>
      <c r="D19" s="14"/>
      <c r="E19" s="15"/>
      <c r="F19" s="16">
        <f>C19-E19</f>
        <v>0</v>
      </c>
      <c r="G19" s="20"/>
      <c r="J19" s="18"/>
    </row>
    <row r="20" spans="1:10" x14ac:dyDescent="0.2">
      <c r="A20" s="21"/>
      <c r="B20" s="22"/>
      <c r="C20" s="23"/>
      <c r="D20" s="24"/>
      <c r="E20" s="25"/>
      <c r="F20" s="26"/>
      <c r="G20" s="27"/>
    </row>
    <row r="21" spans="1:10" x14ac:dyDescent="0.2">
      <c r="A21" t="s">
        <v>15</v>
      </c>
    </row>
    <row r="22" spans="1:10" ht="15" x14ac:dyDescent="0.25">
      <c r="A22" s="28" t="s">
        <v>3</v>
      </c>
    </row>
    <row r="26" spans="1:10" x14ac:dyDescent="0.2">
      <c r="A26" s="29" t="s">
        <v>0</v>
      </c>
    </row>
  </sheetData>
  <mergeCells count="5"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38"/>
  <sheetViews>
    <sheetView view="pageLayout" zoomScaleNormal="100" zoomScaleSheetLayoutView="150" workbookViewId="0">
      <selection activeCell="A9" sqref="A9:M9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spans="1:13" ht="18.75" x14ac:dyDescent="0.2">
      <c r="A1" s="510" t="s">
        <v>136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2"/>
    </row>
    <row r="2" spans="1:13" x14ac:dyDescent="0.2">
      <c r="A2" s="513" t="s">
        <v>89</v>
      </c>
      <c r="B2" s="513"/>
      <c r="C2" s="513"/>
      <c r="D2" s="97" t="s">
        <v>90</v>
      </c>
      <c r="E2" s="513" t="str">
        <f>'working sheet'!B6</f>
        <v>SSI/</v>
      </c>
      <c r="F2" s="513"/>
      <c r="G2" s="513"/>
      <c r="H2" s="513"/>
      <c r="I2" s="513"/>
      <c r="J2" s="513"/>
      <c r="K2" s="513"/>
      <c r="L2" s="513"/>
      <c r="M2" s="513"/>
    </row>
    <row r="3" spans="1:13" x14ac:dyDescent="0.2">
      <c r="A3" s="513" t="s">
        <v>91</v>
      </c>
      <c r="B3" s="513"/>
      <c r="C3" s="513"/>
      <c r="D3" s="98" t="s">
        <v>90</v>
      </c>
      <c r="E3" s="514">
        <f>'working sheet'!B8</f>
        <v>45902</v>
      </c>
      <c r="F3" s="515"/>
      <c r="G3" s="515"/>
      <c r="H3" s="515"/>
      <c r="I3" s="515"/>
      <c r="J3" s="515"/>
      <c r="K3" s="515"/>
      <c r="L3" s="515"/>
      <c r="M3" s="516"/>
    </row>
    <row r="4" spans="1:13" x14ac:dyDescent="0.2">
      <c r="A4" s="513" t="s">
        <v>92</v>
      </c>
      <c r="B4" s="513"/>
      <c r="C4" s="513"/>
      <c r="D4" s="99" t="s">
        <v>90</v>
      </c>
      <c r="E4" s="517" t="str">
        <f>'working sheet'!B5</f>
        <v>01 Aug 2025 To 31 Aug 2025</v>
      </c>
      <c r="F4" s="518"/>
      <c r="G4" s="518"/>
      <c r="H4" s="518"/>
      <c r="I4" s="518"/>
      <c r="J4" s="518"/>
      <c r="K4" s="518"/>
      <c r="L4" s="518"/>
      <c r="M4" s="519"/>
    </row>
    <row r="5" spans="1:13" x14ac:dyDescent="0.2">
      <c r="A5" s="513" t="s">
        <v>93</v>
      </c>
      <c r="B5" s="513"/>
      <c r="C5" s="513"/>
      <c r="D5" s="99" t="s">
        <v>90</v>
      </c>
      <c r="E5" s="517" t="s">
        <v>139</v>
      </c>
      <c r="F5" s="518"/>
      <c r="G5" s="518"/>
      <c r="H5" s="518"/>
      <c r="I5" s="518"/>
      <c r="J5" s="518"/>
      <c r="K5" s="518"/>
      <c r="L5" s="518"/>
      <c r="M5" s="519"/>
    </row>
    <row r="6" spans="1:13" x14ac:dyDescent="0.2">
      <c r="A6" s="513" t="s">
        <v>94</v>
      </c>
      <c r="B6" s="513"/>
      <c r="C6" s="513"/>
      <c r="D6" s="99" t="s">
        <v>90</v>
      </c>
      <c r="E6" s="529">
        <v>45286</v>
      </c>
      <c r="F6" s="530"/>
      <c r="G6" s="530"/>
      <c r="H6" s="530"/>
      <c r="I6" s="530"/>
      <c r="J6" s="530"/>
      <c r="K6" s="530"/>
      <c r="L6" s="530"/>
      <c r="M6" s="531"/>
    </row>
    <row r="7" spans="1:13" x14ac:dyDescent="0.2">
      <c r="A7" s="513" t="s">
        <v>95</v>
      </c>
      <c r="B7" s="513"/>
      <c r="C7" s="513"/>
      <c r="D7" s="99" t="s">
        <v>90</v>
      </c>
      <c r="E7" s="517" t="s">
        <v>140</v>
      </c>
      <c r="F7" s="518"/>
      <c r="G7" s="518"/>
      <c r="H7" s="518"/>
      <c r="I7" s="518"/>
      <c r="J7" s="518"/>
      <c r="K7" s="518"/>
      <c r="L7" s="518"/>
      <c r="M7" s="519"/>
    </row>
    <row r="8" spans="1:13" x14ac:dyDescent="0.2">
      <c r="A8" s="513" t="s">
        <v>26</v>
      </c>
      <c r="B8" s="513"/>
      <c r="C8" s="513"/>
      <c r="D8" s="99" t="s">
        <v>90</v>
      </c>
      <c r="E8" s="520">
        <v>101065975</v>
      </c>
      <c r="F8" s="521"/>
      <c r="G8" s="521"/>
      <c r="H8" s="521"/>
      <c r="I8" s="521"/>
      <c r="J8" s="521"/>
      <c r="K8" s="521"/>
      <c r="L8" s="521"/>
      <c r="M8" s="522"/>
    </row>
    <row r="9" spans="1:13" ht="17.45" customHeight="1" x14ac:dyDescent="0.2">
      <c r="A9" s="532" t="s">
        <v>138</v>
      </c>
      <c r="B9" s="533"/>
      <c r="C9" s="533"/>
      <c r="D9" s="533"/>
      <c r="E9" s="533"/>
      <c r="F9" s="533"/>
      <c r="G9" s="533"/>
      <c r="H9" s="533"/>
      <c r="I9" s="533"/>
      <c r="J9" s="533"/>
      <c r="K9" s="533"/>
      <c r="L9" s="533"/>
      <c r="M9" s="534"/>
    </row>
    <row r="10" spans="1:13" ht="30" customHeight="1" x14ac:dyDescent="0.2">
      <c r="A10" s="527" t="s">
        <v>99</v>
      </c>
      <c r="B10" s="523" t="s">
        <v>100</v>
      </c>
      <c r="C10" s="525" t="s">
        <v>101</v>
      </c>
      <c r="D10" s="490" t="s">
        <v>102</v>
      </c>
      <c r="E10" s="491"/>
      <c r="F10" s="491"/>
      <c r="G10" s="492"/>
      <c r="H10" s="490" t="s">
        <v>103</v>
      </c>
      <c r="I10" s="492"/>
      <c r="J10" s="490" t="s">
        <v>104</v>
      </c>
      <c r="K10" s="492"/>
      <c r="L10" s="490" t="s">
        <v>105</v>
      </c>
      <c r="M10" s="492"/>
    </row>
    <row r="11" spans="1:13" ht="30" customHeight="1" x14ac:dyDescent="0.2">
      <c r="A11" s="528"/>
      <c r="B11" s="524"/>
      <c r="C11" s="526"/>
      <c r="D11" s="100" t="s">
        <v>106</v>
      </c>
      <c r="E11" s="100" t="s">
        <v>107</v>
      </c>
      <c r="F11" s="100" t="s">
        <v>40</v>
      </c>
      <c r="G11" s="100" t="s">
        <v>125</v>
      </c>
      <c r="H11" s="100" t="s">
        <v>107</v>
      </c>
      <c r="I11" s="100" t="s">
        <v>41</v>
      </c>
      <c r="J11" s="100" t="s">
        <v>107</v>
      </c>
      <c r="K11" s="100" t="s">
        <v>41</v>
      </c>
      <c r="L11" s="100" t="s">
        <v>107</v>
      </c>
      <c r="M11" s="100" t="s">
        <v>41</v>
      </c>
    </row>
    <row r="12" spans="1:13" x14ac:dyDescent="0.2">
      <c r="A12" s="101">
        <v>1</v>
      </c>
      <c r="B12" s="102"/>
      <c r="C12" s="103" t="s">
        <v>132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</row>
    <row r="13" spans="1:13" ht="20.100000000000001" customHeight="1" x14ac:dyDescent="0.2">
      <c r="A13" s="105"/>
      <c r="B13" s="106">
        <v>10</v>
      </c>
      <c r="C13" s="187" t="s">
        <v>169</v>
      </c>
      <c r="D13" s="107" t="s">
        <v>71</v>
      </c>
      <c r="E13" s="108">
        <v>24</v>
      </c>
      <c r="F13" s="109">
        <v>44891.63</v>
      </c>
      <c r="G13" s="109">
        <f>E13*F13</f>
        <v>1077399.1199999999</v>
      </c>
      <c r="H13" s="109">
        <v>18.810000000000002</v>
      </c>
      <c r="I13" s="109">
        <f>H13*F13</f>
        <v>844411.56030000001</v>
      </c>
      <c r="J13" s="191">
        <f>'FORM B-(Wage Reg.)'!F25/52</f>
        <v>1</v>
      </c>
      <c r="K13" s="167">
        <f>J13*F13</f>
        <v>44891.63</v>
      </c>
      <c r="L13" s="109">
        <f>H13+J13</f>
        <v>19.810000000000002</v>
      </c>
      <c r="M13" s="109">
        <f>I13+K13</f>
        <v>889303.19030000002</v>
      </c>
    </row>
    <row r="14" spans="1:13" ht="20.100000000000001" customHeight="1" x14ac:dyDescent="0.2">
      <c r="A14" s="105"/>
      <c r="B14" s="106">
        <v>10010</v>
      </c>
      <c r="C14" s="187" t="s">
        <v>133</v>
      </c>
      <c r="D14" s="107" t="s">
        <v>108</v>
      </c>
      <c r="E14" s="108">
        <v>1</v>
      </c>
      <c r="F14" s="109">
        <v>1</v>
      </c>
      <c r="G14" s="109">
        <f>E14*F14</f>
        <v>1</v>
      </c>
      <c r="H14" s="109">
        <v>50933</v>
      </c>
      <c r="I14" s="109">
        <f t="shared" ref="I14:I16" si="0">H14*F14</f>
        <v>50933</v>
      </c>
      <c r="J14" s="167">
        <f>DIFF!E14</f>
        <v>3929.25</v>
      </c>
      <c r="K14" s="167">
        <f>J14*F14</f>
        <v>3929.25</v>
      </c>
      <c r="L14" s="109">
        <f>H14+J14</f>
        <v>54862.25</v>
      </c>
      <c r="M14" s="109">
        <f t="shared" ref="M14:M15" si="1">I14+K14</f>
        <v>54862.25</v>
      </c>
    </row>
    <row r="15" spans="1:13" ht="20.100000000000001" customHeight="1" x14ac:dyDescent="0.2">
      <c r="A15" s="105"/>
      <c r="B15" s="106">
        <v>10011</v>
      </c>
      <c r="C15" s="187" t="s">
        <v>173</v>
      </c>
      <c r="D15" s="107" t="s">
        <v>108</v>
      </c>
      <c r="E15" s="151">
        <v>1</v>
      </c>
      <c r="F15" s="109">
        <v>1</v>
      </c>
      <c r="G15" s="109">
        <f>E15*F15</f>
        <v>1</v>
      </c>
      <c r="H15" s="109">
        <v>32000</v>
      </c>
      <c r="I15" s="109">
        <f t="shared" si="0"/>
        <v>32000</v>
      </c>
      <c r="J15" s="167">
        <v>0</v>
      </c>
      <c r="K15" s="167">
        <f>J15*F15</f>
        <v>0</v>
      </c>
      <c r="L15" s="109">
        <f>H15+J15</f>
        <v>32000</v>
      </c>
      <c r="M15" s="109">
        <f t="shared" si="1"/>
        <v>32000</v>
      </c>
    </row>
    <row r="16" spans="1:13" ht="20.100000000000001" customHeight="1" x14ac:dyDescent="0.2">
      <c r="A16" s="105"/>
      <c r="B16" s="106">
        <v>10012</v>
      </c>
      <c r="C16" s="187" t="s">
        <v>256</v>
      </c>
      <c r="D16" s="107" t="s">
        <v>257</v>
      </c>
      <c r="E16" s="151">
        <v>500000</v>
      </c>
      <c r="F16" s="109">
        <v>1</v>
      </c>
      <c r="G16" s="109">
        <f>E16*F16</f>
        <v>500000</v>
      </c>
      <c r="H16" s="109">
        <v>27699</v>
      </c>
      <c r="I16" s="109">
        <f t="shared" si="0"/>
        <v>27699</v>
      </c>
      <c r="J16" s="167">
        <v>0</v>
      </c>
      <c r="K16" s="167">
        <f>J16*F16</f>
        <v>0</v>
      </c>
      <c r="L16" s="109">
        <f>H16+J16</f>
        <v>27699</v>
      </c>
      <c r="M16" s="109">
        <f t="shared" ref="M16" si="2">I16+K16</f>
        <v>27699</v>
      </c>
    </row>
    <row r="17" spans="1:13" ht="20.100000000000001" customHeight="1" x14ac:dyDescent="0.2">
      <c r="A17" s="484"/>
      <c r="B17" s="493" t="s">
        <v>109</v>
      </c>
      <c r="C17" s="495" t="s">
        <v>110</v>
      </c>
      <c r="D17" s="496"/>
      <c r="E17" s="496"/>
      <c r="F17" s="494"/>
      <c r="G17" s="164">
        <f>SUM(G13:G16)</f>
        <v>1577401.1199999999</v>
      </c>
      <c r="H17" s="497" t="str">
        <f>"Claimed for"&amp;" "&amp;'working sheet'!B10&amp;" Month"</f>
        <v>Claimed for AUGUST-2025 Month</v>
      </c>
      <c r="I17" s="498"/>
      <c r="J17" s="499"/>
      <c r="K17" s="165">
        <f>ROUND(SUM(K13:K16),0)</f>
        <v>48821</v>
      </c>
      <c r="L17" s="503" t="s">
        <v>111</v>
      </c>
      <c r="M17" s="504"/>
    </row>
    <row r="18" spans="1:13" ht="20.100000000000001" customHeight="1" x14ac:dyDescent="0.2">
      <c r="A18" s="484"/>
      <c r="B18" s="493"/>
      <c r="C18" s="505" t="s">
        <v>152</v>
      </c>
      <c r="D18" s="506"/>
      <c r="E18" s="506"/>
      <c r="F18" s="507"/>
      <c r="G18" s="166">
        <f>G17*18%</f>
        <v>283932.20159999997</v>
      </c>
      <c r="H18" s="497"/>
      <c r="I18" s="498"/>
      <c r="J18" s="499"/>
      <c r="K18" s="165">
        <f>ROUND(K17*18%,0)</f>
        <v>8788</v>
      </c>
      <c r="L18" s="508" t="s">
        <v>111</v>
      </c>
      <c r="M18" s="509"/>
    </row>
    <row r="19" spans="1:13" ht="20.100000000000001" customHeight="1" x14ac:dyDescent="0.2">
      <c r="A19" s="485"/>
      <c r="B19" s="494"/>
      <c r="C19" s="505" t="s">
        <v>112</v>
      </c>
      <c r="D19" s="506"/>
      <c r="E19" s="506"/>
      <c r="F19" s="507"/>
      <c r="G19" s="166">
        <f>SUM(G17:G18)</f>
        <v>1861333.3215999999</v>
      </c>
      <c r="H19" s="500"/>
      <c r="I19" s="501"/>
      <c r="J19" s="502"/>
      <c r="K19" s="165">
        <f>SUM(K17:K18)</f>
        <v>57609</v>
      </c>
      <c r="L19" s="508" t="s">
        <v>111</v>
      </c>
      <c r="M19" s="509"/>
    </row>
    <row r="20" spans="1:13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11"/>
      <c r="L20" s="110"/>
      <c r="M20" s="110"/>
    </row>
    <row r="21" spans="1:13" x14ac:dyDescent="0.2">
      <c r="A21" s="110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</row>
    <row r="22" spans="1:13" x14ac:dyDescent="0.2">
      <c r="A22" s="110"/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</row>
    <row r="23" spans="1:13" x14ac:dyDescent="0.2">
      <c r="A23" s="487" t="str">
        <f>"Total Bill Amount in words : "&amp;" "&amp;[2]!SpellNumber(K19)</f>
        <v xml:space="preserve">Total Bill Amount in words :  Rupees FiftySeven Thousand Six Hundred Nine Only </v>
      </c>
      <c r="B23" s="488"/>
      <c r="C23" s="488"/>
      <c r="D23" s="488"/>
      <c r="E23" s="488"/>
      <c r="F23" s="488"/>
      <c r="G23" s="488"/>
      <c r="H23" s="488"/>
      <c r="I23" s="488"/>
      <c r="J23" s="488"/>
      <c r="K23" s="488"/>
      <c r="L23" s="488"/>
      <c r="M23" s="489"/>
    </row>
    <row r="24" spans="1:13" x14ac:dyDescent="0.2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</row>
    <row r="25" spans="1:13" x14ac:dyDescent="0.2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</row>
    <row r="26" spans="1:13" x14ac:dyDescent="0.2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</row>
    <row r="27" spans="1:13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</row>
    <row r="28" spans="1:13" x14ac:dyDescent="0.2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</row>
    <row r="29" spans="1:13" x14ac:dyDescent="0.2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</row>
    <row r="30" spans="1:13" ht="15" x14ac:dyDescent="0.25">
      <c r="A30" s="486" t="s">
        <v>135</v>
      </c>
      <c r="B30" s="486"/>
      <c r="C30" s="486"/>
      <c r="D30" s="93"/>
      <c r="E30" s="93"/>
      <c r="F30" s="93"/>
      <c r="G30" s="93"/>
      <c r="H30" s="112"/>
      <c r="I30" s="93"/>
      <c r="J30" s="486" t="s">
        <v>98</v>
      </c>
      <c r="K30" s="486"/>
      <c r="L30" s="486"/>
      <c r="M30" s="486"/>
    </row>
    <row r="38" ht="15" customHeight="1" x14ac:dyDescent="0.2"/>
  </sheetData>
  <mergeCells count="35"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</mergeCells>
  <printOptions horizontalCentered="1"/>
  <pageMargins left="0.25" right="0.25" top="0.75" bottom="0.75" header="0.3" footer="0.3"/>
  <pageSetup scale="8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6"/>
  <sheetViews>
    <sheetView view="pageLayout" zoomScaleNormal="90" workbookViewId="0">
      <selection activeCell="E28" sqref="E28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spans="1:12" ht="21" x14ac:dyDescent="0.2">
      <c r="A1" s="536" t="s">
        <v>96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</row>
    <row r="2" spans="1:12" ht="21" x14ac:dyDescent="0.2">
      <c r="A2" s="536" t="s">
        <v>168</v>
      </c>
      <c r="B2" s="536"/>
      <c r="C2" s="536"/>
      <c r="D2" s="536"/>
      <c r="E2" s="536"/>
      <c r="F2" s="536"/>
      <c r="G2" s="536"/>
      <c r="H2" s="536"/>
      <c r="I2" s="536"/>
      <c r="J2" s="536"/>
      <c r="K2" s="536"/>
      <c r="L2" s="536"/>
    </row>
    <row r="3" spans="1:12" ht="18.75" x14ac:dyDescent="0.3">
      <c r="A3" s="540" t="str">
        <f>('working sheet'!B5)</f>
        <v>01 Aug 2025 To 31 Aug 2025</v>
      </c>
      <c r="B3" s="540"/>
      <c r="C3" s="540"/>
      <c r="D3" s="540"/>
      <c r="E3" s="540"/>
      <c r="F3" s="540"/>
      <c r="G3" s="540"/>
      <c r="H3" s="540"/>
      <c r="I3" s="540"/>
      <c r="J3" s="540"/>
      <c r="K3" s="540"/>
      <c r="L3" s="540"/>
    </row>
    <row r="4" spans="1:12" ht="18.75" x14ac:dyDescent="0.2">
      <c r="A4" s="539" t="s">
        <v>97</v>
      </c>
      <c r="B4" s="539"/>
      <c r="C4" s="539"/>
      <c r="D4" s="539"/>
      <c r="E4" s="539"/>
      <c r="F4" s="539"/>
      <c r="G4" s="539"/>
      <c r="H4" s="539"/>
      <c r="I4" s="539"/>
      <c r="J4" s="539"/>
      <c r="K4" s="539"/>
      <c r="L4" s="539"/>
    </row>
    <row r="5" spans="1:12" ht="18.75" x14ac:dyDescent="0.2">
      <c r="A5" s="156"/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</row>
    <row r="6" spans="1:12" ht="64.5" customHeight="1" x14ac:dyDescent="0.2">
      <c r="A6" s="154" t="s">
        <v>153</v>
      </c>
      <c r="B6" s="154" t="s">
        <v>154</v>
      </c>
      <c r="C6" s="155" t="s">
        <v>155</v>
      </c>
      <c r="D6" s="155" t="s">
        <v>167</v>
      </c>
      <c r="E6" s="155" t="str">
        <f>'working sheet'!E2</f>
        <v>OLD WAGES AS ON 01.04.2023</v>
      </c>
      <c r="F6" s="155" t="str">
        <f>'working sheet'!F2</f>
        <v>NEW WAGES AS ON 01.04.2025</v>
      </c>
      <c r="G6" s="155" t="s">
        <v>156</v>
      </c>
      <c r="H6" s="155" t="s">
        <v>157</v>
      </c>
      <c r="I6" s="155" t="s">
        <v>158</v>
      </c>
      <c r="J6" s="155" t="s">
        <v>159</v>
      </c>
      <c r="K6" s="155" t="s">
        <v>160</v>
      </c>
      <c r="L6" s="155" t="s">
        <v>161</v>
      </c>
    </row>
    <row r="7" spans="1:12" ht="39.950000000000003" customHeight="1" x14ac:dyDescent="0.2">
      <c r="A7" s="153">
        <v>1</v>
      </c>
      <c r="B7" s="94" t="s">
        <v>164</v>
      </c>
      <c r="C7" s="153" t="s">
        <v>162</v>
      </c>
      <c r="D7" s="157">
        <v>2</v>
      </c>
      <c r="E7" s="157">
        <f>'working sheet'!E3</f>
        <v>695</v>
      </c>
      <c r="F7" s="157">
        <f>'working sheet'!F3</f>
        <v>760</v>
      </c>
      <c r="G7" s="157">
        <f>F7-E7</f>
        <v>65</v>
      </c>
      <c r="H7" s="157">
        <f>'FORM B-(Wage Reg.)'!F25</f>
        <v>52</v>
      </c>
      <c r="I7" s="157">
        <f>G7*H7</f>
        <v>3380</v>
      </c>
      <c r="J7" s="157">
        <f>I7*13%</f>
        <v>439.40000000000003</v>
      </c>
      <c r="K7" s="157">
        <f>I7*3.25%</f>
        <v>109.85000000000001</v>
      </c>
      <c r="L7" s="158">
        <f>+I7+J7+K7</f>
        <v>3929.25</v>
      </c>
    </row>
    <row r="8" spans="1:12" ht="39.950000000000003" customHeight="1" x14ac:dyDescent="0.2">
      <c r="A8" s="541" t="s">
        <v>163</v>
      </c>
      <c r="B8" s="542"/>
      <c r="C8" s="542"/>
      <c r="D8" s="542"/>
      <c r="E8" s="542"/>
      <c r="F8" s="542"/>
      <c r="G8" s="542"/>
      <c r="H8" s="542"/>
      <c r="I8" s="542"/>
      <c r="J8" s="542"/>
      <c r="K8" s="543"/>
      <c r="L8" s="159">
        <f>SUM(L7:L7)</f>
        <v>3929.25</v>
      </c>
    </row>
    <row r="9" spans="1:12" ht="15.75" x14ac:dyDescent="0.25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</row>
    <row r="10" spans="1:12" ht="15.75" x14ac:dyDescent="0.25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</row>
    <row r="11" spans="1:12" ht="15.75" x14ac:dyDescent="0.25">
      <c r="A11" s="95"/>
      <c r="B11" s="537" t="s">
        <v>180</v>
      </c>
      <c r="C11" s="537"/>
      <c r="D11" s="537"/>
      <c r="E11" s="188">
        <f>L8</f>
        <v>3929.25</v>
      </c>
      <c r="F11" s="95"/>
      <c r="G11" s="95"/>
      <c r="H11" s="95"/>
      <c r="I11" s="95"/>
      <c r="J11" s="95"/>
      <c r="K11" s="95"/>
      <c r="L11" s="95"/>
    </row>
    <row r="12" spans="1:12" ht="15.75" x14ac:dyDescent="0.25">
      <c r="A12" s="95"/>
      <c r="B12" s="537" t="s">
        <v>181</v>
      </c>
      <c r="C12" s="537"/>
      <c r="D12" s="537"/>
      <c r="E12" s="189">
        <v>0</v>
      </c>
      <c r="F12" s="95"/>
      <c r="G12" s="95"/>
      <c r="H12" s="95"/>
      <c r="I12" s="95"/>
      <c r="J12" s="95"/>
      <c r="K12" s="95"/>
      <c r="L12" s="95"/>
    </row>
    <row r="13" spans="1:12" ht="15.75" x14ac:dyDescent="0.25">
      <c r="A13" s="95"/>
      <c r="B13" s="537" t="s">
        <v>325</v>
      </c>
      <c r="C13" s="537"/>
      <c r="D13" s="537"/>
      <c r="E13" s="189">
        <v>0</v>
      </c>
      <c r="F13" s="95"/>
      <c r="G13" s="95"/>
      <c r="H13" s="95"/>
      <c r="I13" s="95"/>
      <c r="J13" s="95"/>
      <c r="K13" s="95"/>
      <c r="L13" s="95"/>
    </row>
    <row r="14" spans="1:12" ht="15.75" x14ac:dyDescent="0.25">
      <c r="A14" s="95"/>
      <c r="B14" s="538" t="s">
        <v>179</v>
      </c>
      <c r="C14" s="538"/>
      <c r="D14" s="538"/>
      <c r="E14" s="190">
        <f>SUM(E11:E12)</f>
        <v>3929.25</v>
      </c>
      <c r="F14" s="95"/>
      <c r="G14" s="95"/>
      <c r="H14" s="95"/>
      <c r="I14" s="95"/>
      <c r="J14" s="95"/>
      <c r="K14" s="95"/>
      <c r="L14" s="95"/>
    </row>
    <row r="15" spans="1:12" ht="15.75" x14ac:dyDescent="0.25">
      <c r="A15" s="95"/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</row>
    <row r="16" spans="1:12" ht="15.75" x14ac:dyDescent="0.25">
      <c r="A16" s="535" t="s">
        <v>135</v>
      </c>
      <c r="B16" s="535"/>
      <c r="C16" s="535"/>
      <c r="D16" s="96"/>
      <c r="E16" s="96"/>
      <c r="F16" s="96"/>
      <c r="G16" s="96"/>
      <c r="H16" s="96"/>
      <c r="I16" s="535" t="s">
        <v>165</v>
      </c>
      <c r="J16" s="535"/>
      <c r="K16" s="535"/>
      <c r="L16" s="535"/>
    </row>
  </sheetData>
  <mergeCells count="11"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 r:id="rId1"/>
  <headerFooter>
    <oddFooter xml:space="preserve">&amp;C
&amp;1#&amp;"Calibri,Regular"&amp;10&amp;K000000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7:M14"/>
  <sheetViews>
    <sheetView view="pageLayout" topLeftCell="K1" zoomScaleNormal="100" workbookViewId="0">
      <selection activeCell="R52" sqref="R52"/>
    </sheetView>
  </sheetViews>
  <sheetFormatPr defaultRowHeight="12.75" x14ac:dyDescent="0.2"/>
  <sheetData>
    <row r="7" spans="5:13" x14ac:dyDescent="0.2">
      <c r="E7">
        <v>44891.63</v>
      </c>
    </row>
    <row r="9" spans="5:13" x14ac:dyDescent="0.2">
      <c r="J9" s="163" t="s">
        <v>170</v>
      </c>
      <c r="K9" s="163" t="s">
        <v>171</v>
      </c>
      <c r="L9" s="163"/>
      <c r="M9" s="163" t="s">
        <v>172</v>
      </c>
    </row>
    <row r="10" spans="5:13" x14ac:dyDescent="0.2">
      <c r="E10" s="161">
        <v>26</v>
      </c>
      <c r="F10" s="161">
        <v>695</v>
      </c>
      <c r="G10" s="161">
        <f>F10*E10</f>
        <v>18070</v>
      </c>
      <c r="H10" s="161">
        <v>1950</v>
      </c>
      <c r="I10" s="162">
        <f>G10*3.25%</f>
        <v>587.27499999999998</v>
      </c>
      <c r="J10" s="160">
        <f>G10*8.33%</f>
        <v>1505.231</v>
      </c>
      <c r="K10" s="160">
        <f>G10*4.81%</f>
        <v>869.16699999999992</v>
      </c>
      <c r="L10" s="160">
        <f>SUM(G10:K10)</f>
        <v>22981.673000000003</v>
      </c>
      <c r="M10">
        <f>L10*8%</f>
        <v>1838.5338400000003</v>
      </c>
    </row>
    <row r="13" spans="5:13" x14ac:dyDescent="0.2">
      <c r="K13" s="160">
        <f>G10+H10+I10+M10</f>
        <v>22445.808840000002</v>
      </c>
    </row>
    <row r="14" spans="5:13" x14ac:dyDescent="0.2">
      <c r="K14">
        <f>K13*2</f>
        <v>44891.617680000003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  <pageSetUpPr fitToPage="1"/>
  </sheetPr>
  <dimension ref="A1:AJ28"/>
  <sheetViews>
    <sheetView view="pageLayout" zoomScale="63" zoomScaleNormal="85" zoomScalePageLayoutView="63" workbookViewId="0">
      <selection activeCell="AM1" sqref="AM1"/>
    </sheetView>
  </sheetViews>
  <sheetFormatPr defaultRowHeight="12.75" x14ac:dyDescent="0.2"/>
  <cols>
    <col min="1" max="2" width="9.7109375" customWidth="1"/>
    <col min="3" max="3" width="26" customWidth="1"/>
    <col min="4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width="7" bestFit="1" customWidth="1"/>
    <col min="13" max="17" width="7.85546875" customWidth="1"/>
    <col min="18" max="18" width="12" customWidth="1"/>
    <col min="19" max="19" width="5.85546875" bestFit="1" customWidth="1"/>
    <col min="20" max="20" width="4.7109375" bestFit="1" customWidth="1"/>
    <col min="21" max="21" width="4" bestFit="1" customWidth="1"/>
    <col min="22" max="22" width="7" bestFit="1" customWidth="1"/>
    <col min="23" max="23" width="4" bestFit="1" customWidth="1"/>
    <col min="24" max="24" width="7.85546875" bestFit="1" customWidth="1"/>
    <col min="25" max="25" width="6.5703125" customWidth="1"/>
    <col min="26" max="26" width="8.42578125" customWidth="1"/>
    <col min="27" max="27" width="12.28515625" customWidth="1"/>
    <col min="28" max="29" width="8.42578125" customWidth="1"/>
    <col min="30" max="30" width="10" customWidth="1"/>
    <col min="31" max="31" width="10.28515625" customWidth="1"/>
    <col min="32" max="32" width="10.42578125" customWidth="1"/>
    <col min="33" max="33" width="8.42578125" bestFit="1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width="7" bestFit="1" customWidth="1"/>
    <col min="269" max="273" width="7.85546875" customWidth="1"/>
    <col min="274" max="274" width="12" customWidth="1"/>
    <col min="275" max="275" width="5.85546875" bestFit="1" customWidth="1"/>
    <col min="276" max="276" width="4.7109375" bestFit="1" customWidth="1"/>
    <col min="277" max="277" width="4" bestFit="1" customWidth="1"/>
    <col min="278" max="278" width="7" bestFit="1" customWidth="1"/>
    <col min="279" max="279" width="4" bestFit="1" customWidth="1"/>
    <col min="280" max="280" width="7.85546875" bestFit="1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width="8.42578125" bestFit="1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width="7" bestFit="1" customWidth="1"/>
    <col min="525" max="529" width="7.85546875" customWidth="1"/>
    <col min="530" max="530" width="12" customWidth="1"/>
    <col min="531" max="531" width="5.85546875" bestFit="1" customWidth="1"/>
    <col min="532" max="532" width="4.7109375" bestFit="1" customWidth="1"/>
    <col min="533" max="533" width="4" bestFit="1" customWidth="1"/>
    <col min="534" max="534" width="7" bestFit="1" customWidth="1"/>
    <col min="535" max="535" width="4" bestFit="1" customWidth="1"/>
    <col min="536" max="536" width="7.85546875" bestFit="1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width="8.42578125" bestFit="1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width="7" bestFit="1" customWidth="1"/>
    <col min="781" max="785" width="7.85546875" customWidth="1"/>
    <col min="786" max="786" width="12" customWidth="1"/>
    <col min="787" max="787" width="5.85546875" bestFit="1" customWidth="1"/>
    <col min="788" max="788" width="4.7109375" bestFit="1" customWidth="1"/>
    <col min="789" max="789" width="4" bestFit="1" customWidth="1"/>
    <col min="790" max="790" width="7" bestFit="1" customWidth="1"/>
    <col min="791" max="791" width="4" bestFit="1" customWidth="1"/>
    <col min="792" max="792" width="7.85546875" bestFit="1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width="8.42578125" bestFit="1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width="7" bestFit="1" customWidth="1"/>
    <col min="1037" max="1041" width="7.85546875" customWidth="1"/>
    <col min="1042" max="1042" width="12" customWidth="1"/>
    <col min="1043" max="1043" width="5.85546875" bestFit="1" customWidth="1"/>
    <col min="1044" max="1044" width="4.7109375" bestFit="1" customWidth="1"/>
    <col min="1045" max="1045" width="4" bestFit="1" customWidth="1"/>
    <col min="1046" max="1046" width="7" bestFit="1" customWidth="1"/>
    <col min="1047" max="1047" width="4" bestFit="1" customWidth="1"/>
    <col min="1048" max="1048" width="7.85546875" bestFit="1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width="8.42578125" bestFit="1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width="7" bestFit="1" customWidth="1"/>
    <col min="1293" max="1297" width="7.85546875" customWidth="1"/>
    <col min="1298" max="1298" width="12" customWidth="1"/>
    <col min="1299" max="1299" width="5.85546875" bestFit="1" customWidth="1"/>
    <col min="1300" max="1300" width="4.7109375" bestFit="1" customWidth="1"/>
    <col min="1301" max="1301" width="4" bestFit="1" customWidth="1"/>
    <col min="1302" max="1302" width="7" bestFit="1" customWidth="1"/>
    <col min="1303" max="1303" width="4" bestFit="1" customWidth="1"/>
    <col min="1304" max="1304" width="7.85546875" bestFit="1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width="8.42578125" bestFit="1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width="7" bestFit="1" customWidth="1"/>
    <col min="1549" max="1553" width="7.85546875" customWidth="1"/>
    <col min="1554" max="1554" width="12" customWidth="1"/>
    <col min="1555" max="1555" width="5.85546875" bestFit="1" customWidth="1"/>
    <col min="1556" max="1556" width="4.7109375" bestFit="1" customWidth="1"/>
    <col min="1557" max="1557" width="4" bestFit="1" customWidth="1"/>
    <col min="1558" max="1558" width="7" bestFit="1" customWidth="1"/>
    <col min="1559" max="1559" width="4" bestFit="1" customWidth="1"/>
    <col min="1560" max="1560" width="7.85546875" bestFit="1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width="8.42578125" bestFit="1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width="7" bestFit="1" customWidth="1"/>
    <col min="1805" max="1809" width="7.85546875" customWidth="1"/>
    <col min="1810" max="1810" width="12" customWidth="1"/>
    <col min="1811" max="1811" width="5.85546875" bestFit="1" customWidth="1"/>
    <col min="1812" max="1812" width="4.7109375" bestFit="1" customWidth="1"/>
    <col min="1813" max="1813" width="4" bestFit="1" customWidth="1"/>
    <col min="1814" max="1814" width="7" bestFit="1" customWidth="1"/>
    <col min="1815" max="1815" width="4" bestFit="1" customWidth="1"/>
    <col min="1816" max="1816" width="7.85546875" bestFit="1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width="8.42578125" bestFit="1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width="7" bestFit="1" customWidth="1"/>
    <col min="2061" max="2065" width="7.85546875" customWidth="1"/>
    <col min="2066" max="2066" width="12" customWidth="1"/>
    <col min="2067" max="2067" width="5.85546875" bestFit="1" customWidth="1"/>
    <col min="2068" max="2068" width="4.7109375" bestFit="1" customWidth="1"/>
    <col min="2069" max="2069" width="4" bestFit="1" customWidth="1"/>
    <col min="2070" max="2070" width="7" bestFit="1" customWidth="1"/>
    <col min="2071" max="2071" width="4" bestFit="1" customWidth="1"/>
    <col min="2072" max="2072" width="7.85546875" bestFit="1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width="8.42578125" bestFit="1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width="7" bestFit="1" customWidth="1"/>
    <col min="2317" max="2321" width="7.85546875" customWidth="1"/>
    <col min="2322" max="2322" width="12" customWidth="1"/>
    <col min="2323" max="2323" width="5.85546875" bestFit="1" customWidth="1"/>
    <col min="2324" max="2324" width="4.7109375" bestFit="1" customWidth="1"/>
    <col min="2325" max="2325" width="4" bestFit="1" customWidth="1"/>
    <col min="2326" max="2326" width="7" bestFit="1" customWidth="1"/>
    <col min="2327" max="2327" width="4" bestFit="1" customWidth="1"/>
    <col min="2328" max="2328" width="7.85546875" bestFit="1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width="8.42578125" bestFit="1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width="7" bestFit="1" customWidth="1"/>
    <col min="2573" max="2577" width="7.85546875" customWidth="1"/>
    <col min="2578" max="2578" width="12" customWidth="1"/>
    <col min="2579" max="2579" width="5.85546875" bestFit="1" customWidth="1"/>
    <col min="2580" max="2580" width="4.7109375" bestFit="1" customWidth="1"/>
    <col min="2581" max="2581" width="4" bestFit="1" customWidth="1"/>
    <col min="2582" max="2582" width="7" bestFit="1" customWidth="1"/>
    <col min="2583" max="2583" width="4" bestFit="1" customWidth="1"/>
    <col min="2584" max="2584" width="7.85546875" bestFit="1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width="8.42578125" bestFit="1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width="7" bestFit="1" customWidth="1"/>
    <col min="2829" max="2833" width="7.85546875" customWidth="1"/>
    <col min="2834" max="2834" width="12" customWidth="1"/>
    <col min="2835" max="2835" width="5.85546875" bestFit="1" customWidth="1"/>
    <col min="2836" max="2836" width="4.7109375" bestFit="1" customWidth="1"/>
    <col min="2837" max="2837" width="4" bestFit="1" customWidth="1"/>
    <col min="2838" max="2838" width="7" bestFit="1" customWidth="1"/>
    <col min="2839" max="2839" width="4" bestFit="1" customWidth="1"/>
    <col min="2840" max="2840" width="7.85546875" bestFit="1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width="8.42578125" bestFit="1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width="7" bestFit="1" customWidth="1"/>
    <col min="3085" max="3089" width="7.85546875" customWidth="1"/>
    <col min="3090" max="3090" width="12" customWidth="1"/>
    <col min="3091" max="3091" width="5.85546875" bestFit="1" customWidth="1"/>
    <col min="3092" max="3092" width="4.7109375" bestFit="1" customWidth="1"/>
    <col min="3093" max="3093" width="4" bestFit="1" customWidth="1"/>
    <col min="3094" max="3094" width="7" bestFit="1" customWidth="1"/>
    <col min="3095" max="3095" width="4" bestFit="1" customWidth="1"/>
    <col min="3096" max="3096" width="7.85546875" bestFit="1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width="8.42578125" bestFit="1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width="7" bestFit="1" customWidth="1"/>
    <col min="3341" max="3345" width="7.85546875" customWidth="1"/>
    <col min="3346" max="3346" width="12" customWidth="1"/>
    <col min="3347" max="3347" width="5.85546875" bestFit="1" customWidth="1"/>
    <col min="3348" max="3348" width="4.7109375" bestFit="1" customWidth="1"/>
    <col min="3349" max="3349" width="4" bestFit="1" customWidth="1"/>
    <col min="3350" max="3350" width="7" bestFit="1" customWidth="1"/>
    <col min="3351" max="3351" width="4" bestFit="1" customWidth="1"/>
    <col min="3352" max="3352" width="7.85546875" bestFit="1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width="8.42578125" bestFit="1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width="7" bestFit="1" customWidth="1"/>
    <col min="3597" max="3601" width="7.85546875" customWidth="1"/>
    <col min="3602" max="3602" width="12" customWidth="1"/>
    <col min="3603" max="3603" width="5.85546875" bestFit="1" customWidth="1"/>
    <col min="3604" max="3604" width="4.7109375" bestFit="1" customWidth="1"/>
    <col min="3605" max="3605" width="4" bestFit="1" customWidth="1"/>
    <col min="3606" max="3606" width="7" bestFit="1" customWidth="1"/>
    <col min="3607" max="3607" width="4" bestFit="1" customWidth="1"/>
    <col min="3608" max="3608" width="7.85546875" bestFit="1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width="8.42578125" bestFit="1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width="7" bestFit="1" customWidth="1"/>
    <col min="3853" max="3857" width="7.85546875" customWidth="1"/>
    <col min="3858" max="3858" width="12" customWidth="1"/>
    <col min="3859" max="3859" width="5.85546875" bestFit="1" customWidth="1"/>
    <col min="3860" max="3860" width="4.7109375" bestFit="1" customWidth="1"/>
    <col min="3861" max="3861" width="4" bestFit="1" customWidth="1"/>
    <col min="3862" max="3862" width="7" bestFit="1" customWidth="1"/>
    <col min="3863" max="3863" width="4" bestFit="1" customWidth="1"/>
    <col min="3864" max="3864" width="7.85546875" bestFit="1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width="8.42578125" bestFit="1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width="7" bestFit="1" customWidth="1"/>
    <col min="4109" max="4113" width="7.85546875" customWidth="1"/>
    <col min="4114" max="4114" width="12" customWidth="1"/>
    <col min="4115" max="4115" width="5.85546875" bestFit="1" customWidth="1"/>
    <col min="4116" max="4116" width="4.7109375" bestFit="1" customWidth="1"/>
    <col min="4117" max="4117" width="4" bestFit="1" customWidth="1"/>
    <col min="4118" max="4118" width="7" bestFit="1" customWidth="1"/>
    <col min="4119" max="4119" width="4" bestFit="1" customWidth="1"/>
    <col min="4120" max="4120" width="7.85546875" bestFit="1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width="8.42578125" bestFit="1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width="7" bestFit="1" customWidth="1"/>
    <col min="4365" max="4369" width="7.85546875" customWidth="1"/>
    <col min="4370" max="4370" width="12" customWidth="1"/>
    <col min="4371" max="4371" width="5.85546875" bestFit="1" customWidth="1"/>
    <col min="4372" max="4372" width="4.7109375" bestFit="1" customWidth="1"/>
    <col min="4373" max="4373" width="4" bestFit="1" customWidth="1"/>
    <col min="4374" max="4374" width="7" bestFit="1" customWidth="1"/>
    <col min="4375" max="4375" width="4" bestFit="1" customWidth="1"/>
    <col min="4376" max="4376" width="7.85546875" bestFit="1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width="8.42578125" bestFit="1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width="7" bestFit="1" customWidth="1"/>
    <col min="4621" max="4625" width="7.85546875" customWidth="1"/>
    <col min="4626" max="4626" width="12" customWidth="1"/>
    <col min="4627" max="4627" width="5.85546875" bestFit="1" customWidth="1"/>
    <col min="4628" max="4628" width="4.7109375" bestFit="1" customWidth="1"/>
    <col min="4629" max="4629" width="4" bestFit="1" customWidth="1"/>
    <col min="4630" max="4630" width="7" bestFit="1" customWidth="1"/>
    <col min="4631" max="4631" width="4" bestFit="1" customWidth="1"/>
    <col min="4632" max="4632" width="7.85546875" bestFit="1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width="8.42578125" bestFit="1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width="7" bestFit="1" customWidth="1"/>
    <col min="4877" max="4881" width="7.85546875" customWidth="1"/>
    <col min="4882" max="4882" width="12" customWidth="1"/>
    <col min="4883" max="4883" width="5.85546875" bestFit="1" customWidth="1"/>
    <col min="4884" max="4884" width="4.7109375" bestFit="1" customWidth="1"/>
    <col min="4885" max="4885" width="4" bestFit="1" customWidth="1"/>
    <col min="4886" max="4886" width="7" bestFit="1" customWidth="1"/>
    <col min="4887" max="4887" width="4" bestFit="1" customWidth="1"/>
    <col min="4888" max="4888" width="7.85546875" bestFit="1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width="8.42578125" bestFit="1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width="7" bestFit="1" customWidth="1"/>
    <col min="5133" max="5137" width="7.85546875" customWidth="1"/>
    <col min="5138" max="5138" width="12" customWidth="1"/>
    <col min="5139" max="5139" width="5.85546875" bestFit="1" customWidth="1"/>
    <col min="5140" max="5140" width="4.7109375" bestFit="1" customWidth="1"/>
    <col min="5141" max="5141" width="4" bestFit="1" customWidth="1"/>
    <col min="5142" max="5142" width="7" bestFit="1" customWidth="1"/>
    <col min="5143" max="5143" width="4" bestFit="1" customWidth="1"/>
    <col min="5144" max="5144" width="7.85546875" bestFit="1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width="8.42578125" bestFit="1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width="7" bestFit="1" customWidth="1"/>
    <col min="5389" max="5393" width="7.85546875" customWidth="1"/>
    <col min="5394" max="5394" width="12" customWidth="1"/>
    <col min="5395" max="5395" width="5.85546875" bestFit="1" customWidth="1"/>
    <col min="5396" max="5396" width="4.7109375" bestFit="1" customWidth="1"/>
    <col min="5397" max="5397" width="4" bestFit="1" customWidth="1"/>
    <col min="5398" max="5398" width="7" bestFit="1" customWidth="1"/>
    <col min="5399" max="5399" width="4" bestFit="1" customWidth="1"/>
    <col min="5400" max="5400" width="7.85546875" bestFit="1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width="8.42578125" bestFit="1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width="7" bestFit="1" customWidth="1"/>
    <col min="5645" max="5649" width="7.85546875" customWidth="1"/>
    <col min="5650" max="5650" width="12" customWidth="1"/>
    <col min="5651" max="5651" width="5.85546875" bestFit="1" customWidth="1"/>
    <col min="5652" max="5652" width="4.7109375" bestFit="1" customWidth="1"/>
    <col min="5653" max="5653" width="4" bestFit="1" customWidth="1"/>
    <col min="5654" max="5654" width="7" bestFit="1" customWidth="1"/>
    <col min="5655" max="5655" width="4" bestFit="1" customWidth="1"/>
    <col min="5656" max="5656" width="7.85546875" bestFit="1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width="8.42578125" bestFit="1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width="7" bestFit="1" customWidth="1"/>
    <col min="5901" max="5905" width="7.85546875" customWidth="1"/>
    <col min="5906" max="5906" width="12" customWidth="1"/>
    <col min="5907" max="5907" width="5.85546875" bestFit="1" customWidth="1"/>
    <col min="5908" max="5908" width="4.7109375" bestFit="1" customWidth="1"/>
    <col min="5909" max="5909" width="4" bestFit="1" customWidth="1"/>
    <col min="5910" max="5910" width="7" bestFit="1" customWidth="1"/>
    <col min="5911" max="5911" width="4" bestFit="1" customWidth="1"/>
    <col min="5912" max="5912" width="7.85546875" bestFit="1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width="8.42578125" bestFit="1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width="7" bestFit="1" customWidth="1"/>
    <col min="6157" max="6161" width="7.85546875" customWidth="1"/>
    <col min="6162" max="6162" width="12" customWidth="1"/>
    <col min="6163" max="6163" width="5.85546875" bestFit="1" customWidth="1"/>
    <col min="6164" max="6164" width="4.7109375" bestFit="1" customWidth="1"/>
    <col min="6165" max="6165" width="4" bestFit="1" customWidth="1"/>
    <col min="6166" max="6166" width="7" bestFit="1" customWidth="1"/>
    <col min="6167" max="6167" width="4" bestFit="1" customWidth="1"/>
    <col min="6168" max="6168" width="7.85546875" bestFit="1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width="8.42578125" bestFit="1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width="7" bestFit="1" customWidth="1"/>
    <col min="6413" max="6417" width="7.85546875" customWidth="1"/>
    <col min="6418" max="6418" width="12" customWidth="1"/>
    <col min="6419" max="6419" width="5.85546875" bestFit="1" customWidth="1"/>
    <col min="6420" max="6420" width="4.7109375" bestFit="1" customWidth="1"/>
    <col min="6421" max="6421" width="4" bestFit="1" customWidth="1"/>
    <col min="6422" max="6422" width="7" bestFit="1" customWidth="1"/>
    <col min="6423" max="6423" width="4" bestFit="1" customWidth="1"/>
    <col min="6424" max="6424" width="7.85546875" bestFit="1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width="8.42578125" bestFit="1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width="7" bestFit="1" customWidth="1"/>
    <col min="6669" max="6673" width="7.85546875" customWidth="1"/>
    <col min="6674" max="6674" width="12" customWidth="1"/>
    <col min="6675" max="6675" width="5.85546875" bestFit="1" customWidth="1"/>
    <col min="6676" max="6676" width="4.7109375" bestFit="1" customWidth="1"/>
    <col min="6677" max="6677" width="4" bestFit="1" customWidth="1"/>
    <col min="6678" max="6678" width="7" bestFit="1" customWidth="1"/>
    <col min="6679" max="6679" width="4" bestFit="1" customWidth="1"/>
    <col min="6680" max="6680" width="7.85546875" bestFit="1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width="8.42578125" bestFit="1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width="7" bestFit="1" customWidth="1"/>
    <col min="6925" max="6929" width="7.85546875" customWidth="1"/>
    <col min="6930" max="6930" width="12" customWidth="1"/>
    <col min="6931" max="6931" width="5.85546875" bestFit="1" customWidth="1"/>
    <col min="6932" max="6932" width="4.7109375" bestFit="1" customWidth="1"/>
    <col min="6933" max="6933" width="4" bestFit="1" customWidth="1"/>
    <col min="6934" max="6934" width="7" bestFit="1" customWidth="1"/>
    <col min="6935" max="6935" width="4" bestFit="1" customWidth="1"/>
    <col min="6936" max="6936" width="7.85546875" bestFit="1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width="8.42578125" bestFit="1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width="7" bestFit="1" customWidth="1"/>
    <col min="7181" max="7185" width="7.85546875" customWidth="1"/>
    <col min="7186" max="7186" width="12" customWidth="1"/>
    <col min="7187" max="7187" width="5.85546875" bestFit="1" customWidth="1"/>
    <col min="7188" max="7188" width="4.7109375" bestFit="1" customWidth="1"/>
    <col min="7189" max="7189" width="4" bestFit="1" customWidth="1"/>
    <col min="7190" max="7190" width="7" bestFit="1" customWidth="1"/>
    <col min="7191" max="7191" width="4" bestFit="1" customWidth="1"/>
    <col min="7192" max="7192" width="7.85546875" bestFit="1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width="8.42578125" bestFit="1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width="7" bestFit="1" customWidth="1"/>
    <col min="7437" max="7441" width="7.85546875" customWidth="1"/>
    <col min="7442" max="7442" width="12" customWidth="1"/>
    <col min="7443" max="7443" width="5.85546875" bestFit="1" customWidth="1"/>
    <col min="7444" max="7444" width="4.7109375" bestFit="1" customWidth="1"/>
    <col min="7445" max="7445" width="4" bestFit="1" customWidth="1"/>
    <col min="7446" max="7446" width="7" bestFit="1" customWidth="1"/>
    <col min="7447" max="7447" width="4" bestFit="1" customWidth="1"/>
    <col min="7448" max="7448" width="7.85546875" bestFit="1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width="8.42578125" bestFit="1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width="7" bestFit="1" customWidth="1"/>
    <col min="7693" max="7697" width="7.85546875" customWidth="1"/>
    <col min="7698" max="7698" width="12" customWidth="1"/>
    <col min="7699" max="7699" width="5.85546875" bestFit="1" customWidth="1"/>
    <col min="7700" max="7700" width="4.7109375" bestFit="1" customWidth="1"/>
    <col min="7701" max="7701" width="4" bestFit="1" customWidth="1"/>
    <col min="7702" max="7702" width="7" bestFit="1" customWidth="1"/>
    <col min="7703" max="7703" width="4" bestFit="1" customWidth="1"/>
    <col min="7704" max="7704" width="7.85546875" bestFit="1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width="8.42578125" bestFit="1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width="7" bestFit="1" customWidth="1"/>
    <col min="7949" max="7953" width="7.85546875" customWidth="1"/>
    <col min="7954" max="7954" width="12" customWidth="1"/>
    <col min="7955" max="7955" width="5.85546875" bestFit="1" customWidth="1"/>
    <col min="7956" max="7956" width="4.7109375" bestFit="1" customWidth="1"/>
    <col min="7957" max="7957" width="4" bestFit="1" customWidth="1"/>
    <col min="7958" max="7958" width="7" bestFit="1" customWidth="1"/>
    <col min="7959" max="7959" width="4" bestFit="1" customWidth="1"/>
    <col min="7960" max="7960" width="7.85546875" bestFit="1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width="8.42578125" bestFit="1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width="7" bestFit="1" customWidth="1"/>
    <col min="8205" max="8209" width="7.85546875" customWidth="1"/>
    <col min="8210" max="8210" width="12" customWidth="1"/>
    <col min="8211" max="8211" width="5.85546875" bestFit="1" customWidth="1"/>
    <col min="8212" max="8212" width="4.7109375" bestFit="1" customWidth="1"/>
    <col min="8213" max="8213" width="4" bestFit="1" customWidth="1"/>
    <col min="8214" max="8214" width="7" bestFit="1" customWidth="1"/>
    <col min="8215" max="8215" width="4" bestFit="1" customWidth="1"/>
    <col min="8216" max="8216" width="7.85546875" bestFit="1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width="8.42578125" bestFit="1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width="7" bestFit="1" customWidth="1"/>
    <col min="8461" max="8465" width="7.85546875" customWidth="1"/>
    <col min="8466" max="8466" width="12" customWidth="1"/>
    <col min="8467" max="8467" width="5.85546875" bestFit="1" customWidth="1"/>
    <col min="8468" max="8468" width="4.7109375" bestFit="1" customWidth="1"/>
    <col min="8469" max="8469" width="4" bestFit="1" customWidth="1"/>
    <col min="8470" max="8470" width="7" bestFit="1" customWidth="1"/>
    <col min="8471" max="8471" width="4" bestFit="1" customWidth="1"/>
    <col min="8472" max="8472" width="7.85546875" bestFit="1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width="8.42578125" bestFit="1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width="7" bestFit="1" customWidth="1"/>
    <col min="8717" max="8721" width="7.85546875" customWidth="1"/>
    <col min="8722" max="8722" width="12" customWidth="1"/>
    <col min="8723" max="8723" width="5.85546875" bestFit="1" customWidth="1"/>
    <col min="8724" max="8724" width="4.7109375" bestFit="1" customWidth="1"/>
    <col min="8725" max="8725" width="4" bestFit="1" customWidth="1"/>
    <col min="8726" max="8726" width="7" bestFit="1" customWidth="1"/>
    <col min="8727" max="8727" width="4" bestFit="1" customWidth="1"/>
    <col min="8728" max="8728" width="7.85546875" bestFit="1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width="8.42578125" bestFit="1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width="7" bestFit="1" customWidth="1"/>
    <col min="8973" max="8977" width="7.85546875" customWidth="1"/>
    <col min="8978" max="8978" width="12" customWidth="1"/>
    <col min="8979" max="8979" width="5.85546875" bestFit="1" customWidth="1"/>
    <col min="8980" max="8980" width="4.7109375" bestFit="1" customWidth="1"/>
    <col min="8981" max="8981" width="4" bestFit="1" customWidth="1"/>
    <col min="8982" max="8982" width="7" bestFit="1" customWidth="1"/>
    <col min="8983" max="8983" width="4" bestFit="1" customWidth="1"/>
    <col min="8984" max="8984" width="7.85546875" bestFit="1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width="8.42578125" bestFit="1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width="7" bestFit="1" customWidth="1"/>
    <col min="9229" max="9233" width="7.85546875" customWidth="1"/>
    <col min="9234" max="9234" width="12" customWidth="1"/>
    <col min="9235" max="9235" width="5.85546875" bestFit="1" customWidth="1"/>
    <col min="9236" max="9236" width="4.7109375" bestFit="1" customWidth="1"/>
    <col min="9237" max="9237" width="4" bestFit="1" customWidth="1"/>
    <col min="9238" max="9238" width="7" bestFit="1" customWidth="1"/>
    <col min="9239" max="9239" width="4" bestFit="1" customWidth="1"/>
    <col min="9240" max="9240" width="7.85546875" bestFit="1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width="8.42578125" bestFit="1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width="7" bestFit="1" customWidth="1"/>
    <col min="9485" max="9489" width="7.85546875" customWidth="1"/>
    <col min="9490" max="9490" width="12" customWidth="1"/>
    <col min="9491" max="9491" width="5.85546875" bestFit="1" customWidth="1"/>
    <col min="9492" max="9492" width="4.7109375" bestFit="1" customWidth="1"/>
    <col min="9493" max="9493" width="4" bestFit="1" customWidth="1"/>
    <col min="9494" max="9494" width="7" bestFit="1" customWidth="1"/>
    <col min="9495" max="9495" width="4" bestFit="1" customWidth="1"/>
    <col min="9496" max="9496" width="7.85546875" bestFit="1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width="8.42578125" bestFit="1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width="7" bestFit="1" customWidth="1"/>
    <col min="9741" max="9745" width="7.85546875" customWidth="1"/>
    <col min="9746" max="9746" width="12" customWidth="1"/>
    <col min="9747" max="9747" width="5.85546875" bestFit="1" customWidth="1"/>
    <col min="9748" max="9748" width="4.7109375" bestFit="1" customWidth="1"/>
    <col min="9749" max="9749" width="4" bestFit="1" customWidth="1"/>
    <col min="9750" max="9750" width="7" bestFit="1" customWidth="1"/>
    <col min="9751" max="9751" width="4" bestFit="1" customWidth="1"/>
    <col min="9752" max="9752" width="7.85546875" bestFit="1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width="8.42578125" bestFit="1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width="7" bestFit="1" customWidth="1"/>
    <col min="9997" max="10001" width="7.85546875" customWidth="1"/>
    <col min="10002" max="10002" width="12" customWidth="1"/>
    <col min="10003" max="10003" width="5.85546875" bestFit="1" customWidth="1"/>
    <col min="10004" max="10004" width="4.7109375" bestFit="1" customWidth="1"/>
    <col min="10005" max="10005" width="4" bestFit="1" customWidth="1"/>
    <col min="10006" max="10006" width="7" bestFit="1" customWidth="1"/>
    <col min="10007" max="10007" width="4" bestFit="1" customWidth="1"/>
    <col min="10008" max="10008" width="7.85546875" bestFit="1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width="8.42578125" bestFit="1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width="7" bestFit="1" customWidth="1"/>
    <col min="10253" max="10257" width="7.85546875" customWidth="1"/>
    <col min="10258" max="10258" width="12" customWidth="1"/>
    <col min="10259" max="10259" width="5.85546875" bestFit="1" customWidth="1"/>
    <col min="10260" max="10260" width="4.7109375" bestFit="1" customWidth="1"/>
    <col min="10261" max="10261" width="4" bestFit="1" customWidth="1"/>
    <col min="10262" max="10262" width="7" bestFit="1" customWidth="1"/>
    <col min="10263" max="10263" width="4" bestFit="1" customWidth="1"/>
    <col min="10264" max="10264" width="7.85546875" bestFit="1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width="8.42578125" bestFit="1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width="7" bestFit="1" customWidth="1"/>
    <col min="10509" max="10513" width="7.85546875" customWidth="1"/>
    <col min="10514" max="10514" width="12" customWidth="1"/>
    <col min="10515" max="10515" width="5.85546875" bestFit="1" customWidth="1"/>
    <col min="10516" max="10516" width="4.7109375" bestFit="1" customWidth="1"/>
    <col min="10517" max="10517" width="4" bestFit="1" customWidth="1"/>
    <col min="10518" max="10518" width="7" bestFit="1" customWidth="1"/>
    <col min="10519" max="10519" width="4" bestFit="1" customWidth="1"/>
    <col min="10520" max="10520" width="7.85546875" bestFit="1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width="8.42578125" bestFit="1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width="7" bestFit="1" customWidth="1"/>
    <col min="10765" max="10769" width="7.85546875" customWidth="1"/>
    <col min="10770" max="10770" width="12" customWidth="1"/>
    <col min="10771" max="10771" width="5.85546875" bestFit="1" customWidth="1"/>
    <col min="10772" max="10772" width="4.7109375" bestFit="1" customWidth="1"/>
    <col min="10773" max="10773" width="4" bestFit="1" customWidth="1"/>
    <col min="10774" max="10774" width="7" bestFit="1" customWidth="1"/>
    <col min="10775" max="10775" width="4" bestFit="1" customWidth="1"/>
    <col min="10776" max="10776" width="7.85546875" bestFit="1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width="8.42578125" bestFit="1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width="7" bestFit="1" customWidth="1"/>
    <col min="11021" max="11025" width="7.85546875" customWidth="1"/>
    <col min="11026" max="11026" width="12" customWidth="1"/>
    <col min="11027" max="11027" width="5.85546875" bestFit="1" customWidth="1"/>
    <col min="11028" max="11028" width="4.7109375" bestFit="1" customWidth="1"/>
    <col min="11029" max="11029" width="4" bestFit="1" customWidth="1"/>
    <col min="11030" max="11030" width="7" bestFit="1" customWidth="1"/>
    <col min="11031" max="11031" width="4" bestFit="1" customWidth="1"/>
    <col min="11032" max="11032" width="7.85546875" bestFit="1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width="8.42578125" bestFit="1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width="7" bestFit="1" customWidth="1"/>
    <col min="11277" max="11281" width="7.85546875" customWidth="1"/>
    <col min="11282" max="11282" width="12" customWidth="1"/>
    <col min="11283" max="11283" width="5.85546875" bestFit="1" customWidth="1"/>
    <col min="11284" max="11284" width="4.7109375" bestFit="1" customWidth="1"/>
    <col min="11285" max="11285" width="4" bestFit="1" customWidth="1"/>
    <col min="11286" max="11286" width="7" bestFit="1" customWidth="1"/>
    <col min="11287" max="11287" width="4" bestFit="1" customWidth="1"/>
    <col min="11288" max="11288" width="7.85546875" bestFit="1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width="8.42578125" bestFit="1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width="7" bestFit="1" customWidth="1"/>
    <col min="11533" max="11537" width="7.85546875" customWidth="1"/>
    <col min="11538" max="11538" width="12" customWidth="1"/>
    <col min="11539" max="11539" width="5.85546875" bestFit="1" customWidth="1"/>
    <col min="11540" max="11540" width="4.7109375" bestFit="1" customWidth="1"/>
    <col min="11541" max="11541" width="4" bestFit="1" customWidth="1"/>
    <col min="11542" max="11542" width="7" bestFit="1" customWidth="1"/>
    <col min="11543" max="11543" width="4" bestFit="1" customWidth="1"/>
    <col min="11544" max="11544" width="7.85546875" bestFit="1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width="8.42578125" bestFit="1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width="7" bestFit="1" customWidth="1"/>
    <col min="11789" max="11793" width="7.85546875" customWidth="1"/>
    <col min="11794" max="11794" width="12" customWidth="1"/>
    <col min="11795" max="11795" width="5.85546875" bestFit="1" customWidth="1"/>
    <col min="11796" max="11796" width="4.7109375" bestFit="1" customWidth="1"/>
    <col min="11797" max="11797" width="4" bestFit="1" customWidth="1"/>
    <col min="11798" max="11798" width="7" bestFit="1" customWidth="1"/>
    <col min="11799" max="11799" width="4" bestFit="1" customWidth="1"/>
    <col min="11800" max="11800" width="7.85546875" bestFit="1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width="8.42578125" bestFit="1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width="7" bestFit="1" customWidth="1"/>
    <col min="12045" max="12049" width="7.85546875" customWidth="1"/>
    <col min="12050" max="12050" width="12" customWidth="1"/>
    <col min="12051" max="12051" width="5.85546875" bestFit="1" customWidth="1"/>
    <col min="12052" max="12052" width="4.7109375" bestFit="1" customWidth="1"/>
    <col min="12053" max="12053" width="4" bestFit="1" customWidth="1"/>
    <col min="12054" max="12054" width="7" bestFit="1" customWidth="1"/>
    <col min="12055" max="12055" width="4" bestFit="1" customWidth="1"/>
    <col min="12056" max="12056" width="7.85546875" bestFit="1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width="8.42578125" bestFit="1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width="7" bestFit="1" customWidth="1"/>
    <col min="12301" max="12305" width="7.85546875" customWidth="1"/>
    <col min="12306" max="12306" width="12" customWidth="1"/>
    <col min="12307" max="12307" width="5.85546875" bestFit="1" customWidth="1"/>
    <col min="12308" max="12308" width="4.7109375" bestFit="1" customWidth="1"/>
    <col min="12309" max="12309" width="4" bestFit="1" customWidth="1"/>
    <col min="12310" max="12310" width="7" bestFit="1" customWidth="1"/>
    <col min="12311" max="12311" width="4" bestFit="1" customWidth="1"/>
    <col min="12312" max="12312" width="7.85546875" bestFit="1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width="8.42578125" bestFit="1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width="7" bestFit="1" customWidth="1"/>
    <col min="12557" max="12561" width="7.85546875" customWidth="1"/>
    <col min="12562" max="12562" width="12" customWidth="1"/>
    <col min="12563" max="12563" width="5.85546875" bestFit="1" customWidth="1"/>
    <col min="12564" max="12564" width="4.7109375" bestFit="1" customWidth="1"/>
    <col min="12565" max="12565" width="4" bestFit="1" customWidth="1"/>
    <col min="12566" max="12566" width="7" bestFit="1" customWidth="1"/>
    <col min="12567" max="12567" width="4" bestFit="1" customWidth="1"/>
    <col min="12568" max="12568" width="7.85546875" bestFit="1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width="8.42578125" bestFit="1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width="7" bestFit="1" customWidth="1"/>
    <col min="12813" max="12817" width="7.85546875" customWidth="1"/>
    <col min="12818" max="12818" width="12" customWidth="1"/>
    <col min="12819" max="12819" width="5.85546875" bestFit="1" customWidth="1"/>
    <col min="12820" max="12820" width="4.7109375" bestFit="1" customWidth="1"/>
    <col min="12821" max="12821" width="4" bestFit="1" customWidth="1"/>
    <col min="12822" max="12822" width="7" bestFit="1" customWidth="1"/>
    <col min="12823" max="12823" width="4" bestFit="1" customWidth="1"/>
    <col min="12824" max="12824" width="7.85546875" bestFit="1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width="8.42578125" bestFit="1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width="7" bestFit="1" customWidth="1"/>
    <col min="13069" max="13073" width="7.85546875" customWidth="1"/>
    <col min="13074" max="13074" width="12" customWidth="1"/>
    <col min="13075" max="13075" width="5.85546875" bestFit="1" customWidth="1"/>
    <col min="13076" max="13076" width="4.7109375" bestFit="1" customWidth="1"/>
    <col min="13077" max="13077" width="4" bestFit="1" customWidth="1"/>
    <col min="13078" max="13078" width="7" bestFit="1" customWidth="1"/>
    <col min="13079" max="13079" width="4" bestFit="1" customWidth="1"/>
    <col min="13080" max="13080" width="7.85546875" bestFit="1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width="8.42578125" bestFit="1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width="7" bestFit="1" customWidth="1"/>
    <col min="13325" max="13329" width="7.85546875" customWidth="1"/>
    <col min="13330" max="13330" width="12" customWidth="1"/>
    <col min="13331" max="13331" width="5.85546875" bestFit="1" customWidth="1"/>
    <col min="13332" max="13332" width="4.7109375" bestFit="1" customWidth="1"/>
    <col min="13333" max="13333" width="4" bestFit="1" customWidth="1"/>
    <col min="13334" max="13334" width="7" bestFit="1" customWidth="1"/>
    <col min="13335" max="13335" width="4" bestFit="1" customWidth="1"/>
    <col min="13336" max="13336" width="7.85546875" bestFit="1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width="8.42578125" bestFit="1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width="7" bestFit="1" customWidth="1"/>
    <col min="13581" max="13585" width="7.85546875" customWidth="1"/>
    <col min="13586" max="13586" width="12" customWidth="1"/>
    <col min="13587" max="13587" width="5.85546875" bestFit="1" customWidth="1"/>
    <col min="13588" max="13588" width="4.7109375" bestFit="1" customWidth="1"/>
    <col min="13589" max="13589" width="4" bestFit="1" customWidth="1"/>
    <col min="13590" max="13590" width="7" bestFit="1" customWidth="1"/>
    <col min="13591" max="13591" width="4" bestFit="1" customWidth="1"/>
    <col min="13592" max="13592" width="7.85546875" bestFit="1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width="8.42578125" bestFit="1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width="7" bestFit="1" customWidth="1"/>
    <col min="13837" max="13841" width="7.85546875" customWidth="1"/>
    <col min="13842" max="13842" width="12" customWidth="1"/>
    <col min="13843" max="13843" width="5.85546875" bestFit="1" customWidth="1"/>
    <col min="13844" max="13844" width="4.7109375" bestFit="1" customWidth="1"/>
    <col min="13845" max="13845" width="4" bestFit="1" customWidth="1"/>
    <col min="13846" max="13846" width="7" bestFit="1" customWidth="1"/>
    <col min="13847" max="13847" width="4" bestFit="1" customWidth="1"/>
    <col min="13848" max="13848" width="7.85546875" bestFit="1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width="8.42578125" bestFit="1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width="7" bestFit="1" customWidth="1"/>
    <col min="14093" max="14097" width="7.85546875" customWidth="1"/>
    <col min="14098" max="14098" width="12" customWidth="1"/>
    <col min="14099" max="14099" width="5.85546875" bestFit="1" customWidth="1"/>
    <col min="14100" max="14100" width="4.7109375" bestFit="1" customWidth="1"/>
    <col min="14101" max="14101" width="4" bestFit="1" customWidth="1"/>
    <col min="14102" max="14102" width="7" bestFit="1" customWidth="1"/>
    <col min="14103" max="14103" width="4" bestFit="1" customWidth="1"/>
    <col min="14104" max="14104" width="7.85546875" bestFit="1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width="8.42578125" bestFit="1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width="7" bestFit="1" customWidth="1"/>
    <col min="14349" max="14353" width="7.85546875" customWidth="1"/>
    <col min="14354" max="14354" width="12" customWidth="1"/>
    <col min="14355" max="14355" width="5.85546875" bestFit="1" customWidth="1"/>
    <col min="14356" max="14356" width="4.7109375" bestFit="1" customWidth="1"/>
    <col min="14357" max="14357" width="4" bestFit="1" customWidth="1"/>
    <col min="14358" max="14358" width="7" bestFit="1" customWidth="1"/>
    <col min="14359" max="14359" width="4" bestFit="1" customWidth="1"/>
    <col min="14360" max="14360" width="7.85546875" bestFit="1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width="8.42578125" bestFit="1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width="7" bestFit="1" customWidth="1"/>
    <col min="14605" max="14609" width="7.85546875" customWidth="1"/>
    <col min="14610" max="14610" width="12" customWidth="1"/>
    <col min="14611" max="14611" width="5.85546875" bestFit="1" customWidth="1"/>
    <col min="14612" max="14612" width="4.7109375" bestFit="1" customWidth="1"/>
    <col min="14613" max="14613" width="4" bestFit="1" customWidth="1"/>
    <col min="14614" max="14614" width="7" bestFit="1" customWidth="1"/>
    <col min="14615" max="14615" width="4" bestFit="1" customWidth="1"/>
    <col min="14616" max="14616" width="7.85546875" bestFit="1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width="8.42578125" bestFit="1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width="7" bestFit="1" customWidth="1"/>
    <col min="14861" max="14865" width="7.85546875" customWidth="1"/>
    <col min="14866" max="14866" width="12" customWidth="1"/>
    <col min="14867" max="14867" width="5.85546875" bestFit="1" customWidth="1"/>
    <col min="14868" max="14868" width="4.7109375" bestFit="1" customWidth="1"/>
    <col min="14869" max="14869" width="4" bestFit="1" customWidth="1"/>
    <col min="14870" max="14870" width="7" bestFit="1" customWidth="1"/>
    <col min="14871" max="14871" width="4" bestFit="1" customWidth="1"/>
    <col min="14872" max="14872" width="7.85546875" bestFit="1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width="8.42578125" bestFit="1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width="7" bestFit="1" customWidth="1"/>
    <col min="15117" max="15121" width="7.85546875" customWidth="1"/>
    <col min="15122" max="15122" width="12" customWidth="1"/>
    <col min="15123" max="15123" width="5.85546875" bestFit="1" customWidth="1"/>
    <col min="15124" max="15124" width="4.7109375" bestFit="1" customWidth="1"/>
    <col min="15125" max="15125" width="4" bestFit="1" customWidth="1"/>
    <col min="15126" max="15126" width="7" bestFit="1" customWidth="1"/>
    <col min="15127" max="15127" width="4" bestFit="1" customWidth="1"/>
    <col min="15128" max="15128" width="7.85546875" bestFit="1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width="8.42578125" bestFit="1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width="7" bestFit="1" customWidth="1"/>
    <col min="15373" max="15377" width="7.85546875" customWidth="1"/>
    <col min="15378" max="15378" width="12" customWidth="1"/>
    <col min="15379" max="15379" width="5.85546875" bestFit="1" customWidth="1"/>
    <col min="15380" max="15380" width="4.7109375" bestFit="1" customWidth="1"/>
    <col min="15381" max="15381" width="4" bestFit="1" customWidth="1"/>
    <col min="15382" max="15382" width="7" bestFit="1" customWidth="1"/>
    <col min="15383" max="15383" width="4" bestFit="1" customWidth="1"/>
    <col min="15384" max="15384" width="7.85546875" bestFit="1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width="8.42578125" bestFit="1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width="7" bestFit="1" customWidth="1"/>
    <col min="15629" max="15633" width="7.85546875" customWidth="1"/>
    <col min="15634" max="15634" width="12" customWidth="1"/>
    <col min="15635" max="15635" width="5.85546875" bestFit="1" customWidth="1"/>
    <col min="15636" max="15636" width="4.7109375" bestFit="1" customWidth="1"/>
    <col min="15637" max="15637" width="4" bestFit="1" customWidth="1"/>
    <col min="15638" max="15638" width="7" bestFit="1" customWidth="1"/>
    <col min="15639" max="15639" width="4" bestFit="1" customWidth="1"/>
    <col min="15640" max="15640" width="7.85546875" bestFit="1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width="8.42578125" bestFit="1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width="7" bestFit="1" customWidth="1"/>
    <col min="15885" max="15889" width="7.85546875" customWidth="1"/>
    <col min="15890" max="15890" width="12" customWidth="1"/>
    <col min="15891" max="15891" width="5.85546875" bestFit="1" customWidth="1"/>
    <col min="15892" max="15892" width="4.7109375" bestFit="1" customWidth="1"/>
    <col min="15893" max="15893" width="4" bestFit="1" customWidth="1"/>
    <col min="15894" max="15894" width="7" bestFit="1" customWidth="1"/>
    <col min="15895" max="15895" width="4" bestFit="1" customWidth="1"/>
    <col min="15896" max="15896" width="7.85546875" bestFit="1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width="8.42578125" bestFit="1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width="7" bestFit="1" customWidth="1"/>
    <col min="16141" max="16145" width="7.85546875" customWidth="1"/>
    <col min="16146" max="16146" width="12" customWidth="1"/>
    <col min="16147" max="16147" width="5.85546875" bestFit="1" customWidth="1"/>
    <col min="16148" max="16148" width="4.7109375" bestFit="1" customWidth="1"/>
    <col min="16149" max="16149" width="4" bestFit="1" customWidth="1"/>
    <col min="16150" max="16150" width="7" bestFit="1" customWidth="1"/>
    <col min="16151" max="16151" width="4" bestFit="1" customWidth="1"/>
    <col min="16152" max="16152" width="7.85546875" bestFit="1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width="8.42578125" bestFit="1" customWidth="1"/>
    <col min="16162" max="16163" width="17.5703125" customWidth="1"/>
  </cols>
  <sheetData>
    <row r="1" spans="1:36" ht="18.75" customHeight="1" x14ac:dyDescent="0.25">
      <c r="A1" s="562" t="s">
        <v>184</v>
      </c>
      <c r="B1" s="562"/>
      <c r="C1" s="563"/>
      <c r="D1" s="563"/>
      <c r="E1" s="563"/>
      <c r="F1" s="563"/>
      <c r="G1" s="563"/>
      <c r="H1" s="563"/>
      <c r="I1" s="563"/>
      <c r="J1" s="563"/>
      <c r="K1" s="563"/>
      <c r="L1" s="563"/>
      <c r="M1" s="563"/>
      <c r="N1" s="563"/>
      <c r="O1" s="563"/>
      <c r="P1" s="563"/>
      <c r="Q1" s="563"/>
      <c r="R1" s="563"/>
      <c r="S1" s="563"/>
      <c r="T1" s="563"/>
      <c r="U1" s="563"/>
      <c r="V1" s="563"/>
      <c r="W1" s="563"/>
      <c r="X1" s="563"/>
      <c r="Y1" s="563"/>
      <c r="Z1" s="563"/>
      <c r="AA1" s="563"/>
      <c r="AB1" s="563"/>
      <c r="AC1" s="563"/>
      <c r="AD1" s="563"/>
      <c r="AE1" s="563"/>
      <c r="AF1" s="563"/>
      <c r="AI1" s="238" t="s">
        <v>185</v>
      </c>
      <c r="AJ1" s="238"/>
    </row>
    <row r="2" spans="1:36" ht="18.75" customHeight="1" x14ac:dyDescent="0.25">
      <c r="A2" s="562" t="s">
        <v>186</v>
      </c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62"/>
      <c r="R2" s="562"/>
      <c r="S2" s="562"/>
      <c r="T2" s="562"/>
      <c r="U2" s="562"/>
      <c r="V2" s="562"/>
      <c r="W2" s="562"/>
      <c r="X2" s="562"/>
      <c r="Y2" s="562"/>
      <c r="Z2" s="562"/>
      <c r="AA2" s="562"/>
      <c r="AB2" s="562"/>
      <c r="AC2" s="562"/>
      <c r="AD2" s="562"/>
      <c r="AE2" s="562"/>
      <c r="AF2" s="562"/>
      <c r="AI2" s="238"/>
      <c r="AJ2" s="238"/>
    </row>
    <row r="3" spans="1:36" ht="10.5" customHeight="1" x14ac:dyDescent="0.25">
      <c r="A3" s="195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I3" s="238"/>
      <c r="AJ3" s="238"/>
    </row>
    <row r="4" spans="1:36" s="239" customFormat="1" ht="30.75" customHeight="1" x14ac:dyDescent="0.2">
      <c r="A4" s="561" t="s">
        <v>327</v>
      </c>
      <c r="B4" s="561"/>
      <c r="C4" s="561"/>
      <c r="D4" s="561"/>
      <c r="E4" s="561"/>
      <c r="F4" s="561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  <c r="U4" s="561"/>
      <c r="V4" s="561"/>
      <c r="W4" s="561"/>
      <c r="X4" s="561"/>
      <c r="Y4" s="561"/>
      <c r="Z4" s="561"/>
      <c r="AA4" s="561"/>
      <c r="AB4" s="561"/>
      <c r="AC4" s="561"/>
      <c r="AD4" s="561"/>
      <c r="AE4" s="561"/>
      <c r="AF4" s="561"/>
      <c r="AI4" s="199">
        <v>1</v>
      </c>
      <c r="AJ4" s="5" t="s">
        <v>187</v>
      </c>
    </row>
    <row r="5" spans="1:36" s="240" customFormat="1" ht="22.5" customHeight="1" x14ac:dyDescent="0.2">
      <c r="A5" s="561"/>
      <c r="B5" s="561"/>
      <c r="C5" s="561"/>
      <c r="D5" s="561"/>
      <c r="E5" s="561"/>
      <c r="F5" s="561"/>
      <c r="G5" s="561"/>
      <c r="H5" s="564" t="s">
        <v>188</v>
      </c>
      <c r="I5" s="565"/>
      <c r="J5" s="565"/>
      <c r="K5" s="565"/>
      <c r="L5" s="565"/>
      <c r="M5" s="564" t="s">
        <v>189</v>
      </c>
      <c r="N5" s="565"/>
      <c r="O5" s="565"/>
      <c r="P5" s="565"/>
      <c r="Q5" s="565"/>
      <c r="R5" s="565"/>
      <c r="S5" s="565"/>
      <c r="T5" s="565"/>
      <c r="U5" s="566"/>
      <c r="V5" s="561" t="s">
        <v>190</v>
      </c>
      <c r="W5" s="561"/>
      <c r="X5" s="561"/>
      <c r="Y5" s="561"/>
      <c r="Z5" s="561"/>
      <c r="AA5" s="561" t="s">
        <v>191</v>
      </c>
      <c r="AB5" s="561"/>
      <c r="AC5" s="561"/>
      <c r="AD5" s="561"/>
      <c r="AE5" s="561"/>
      <c r="AF5" s="561"/>
      <c r="AI5" s="199">
        <v>2</v>
      </c>
      <c r="AJ5" s="5" t="s">
        <v>192</v>
      </c>
    </row>
    <row r="6" spans="1:36" s="240" customFormat="1" ht="22.5" customHeight="1" x14ac:dyDescent="0.2">
      <c r="A6" s="413" t="s">
        <v>326</v>
      </c>
      <c r="B6" s="413"/>
      <c r="C6" s="413"/>
      <c r="D6" s="413"/>
      <c r="E6" s="413"/>
      <c r="F6" s="413"/>
      <c r="G6" s="413"/>
      <c r="H6" s="567"/>
      <c r="I6" s="568"/>
      <c r="J6" s="568"/>
      <c r="K6" s="568"/>
      <c r="L6" s="568"/>
      <c r="M6" s="567" t="s">
        <v>322</v>
      </c>
      <c r="N6" s="568"/>
      <c r="O6" s="568"/>
      <c r="P6" s="568"/>
      <c r="Q6" s="568"/>
      <c r="R6" s="568"/>
      <c r="S6" s="568"/>
      <c r="T6" s="568"/>
      <c r="U6" s="571"/>
      <c r="V6" s="557"/>
      <c r="W6" s="557"/>
      <c r="X6" s="557"/>
      <c r="Y6" s="557"/>
      <c r="Z6" s="557"/>
      <c r="AA6" s="557"/>
      <c r="AB6" s="557"/>
      <c r="AC6" s="557"/>
      <c r="AD6" s="557"/>
      <c r="AE6" s="557"/>
      <c r="AF6" s="557"/>
      <c r="AI6" s="199">
        <v>3</v>
      </c>
      <c r="AJ6" s="5" t="s">
        <v>193</v>
      </c>
    </row>
    <row r="7" spans="1:36" s="240" customFormat="1" ht="22.5" customHeight="1" x14ac:dyDescent="0.2">
      <c r="A7" s="413" t="s">
        <v>194</v>
      </c>
      <c r="B7" s="413"/>
      <c r="C7" s="413"/>
      <c r="D7" s="413"/>
      <c r="E7" s="413"/>
      <c r="F7" s="413"/>
      <c r="G7" s="413"/>
      <c r="H7" s="569"/>
      <c r="I7" s="570"/>
      <c r="J7" s="570"/>
      <c r="K7" s="570"/>
      <c r="L7" s="570"/>
      <c r="M7" s="569"/>
      <c r="N7" s="570"/>
      <c r="O7" s="570"/>
      <c r="P7" s="570"/>
      <c r="Q7" s="570"/>
      <c r="R7" s="570"/>
      <c r="S7" s="570"/>
      <c r="T7" s="570"/>
      <c r="U7" s="572"/>
      <c r="V7" s="557"/>
      <c r="W7" s="557"/>
      <c r="X7" s="557"/>
      <c r="Y7" s="557"/>
      <c r="Z7" s="557"/>
      <c r="AA7" s="557"/>
      <c r="AB7" s="557"/>
      <c r="AC7" s="557"/>
      <c r="AD7" s="557"/>
      <c r="AE7" s="557"/>
      <c r="AF7" s="557"/>
      <c r="AI7" s="199">
        <v>4</v>
      </c>
      <c r="AJ7" s="5" t="s">
        <v>195</v>
      </c>
    </row>
    <row r="8" spans="1:36" s="240" customFormat="1" ht="22.5" customHeight="1" x14ac:dyDescent="0.2">
      <c r="A8" s="413" t="s">
        <v>196</v>
      </c>
      <c r="B8" s="413"/>
      <c r="C8" s="413"/>
      <c r="D8" s="413"/>
      <c r="E8" s="413"/>
      <c r="F8" s="413"/>
      <c r="G8" s="413"/>
      <c r="H8" s="558"/>
      <c r="I8" s="559"/>
      <c r="J8" s="559"/>
      <c r="K8" s="559"/>
      <c r="L8" s="559"/>
      <c r="M8" s="558"/>
      <c r="N8" s="559"/>
      <c r="O8" s="559"/>
      <c r="P8" s="559"/>
      <c r="Q8" s="559"/>
      <c r="R8" s="559"/>
      <c r="S8" s="559"/>
      <c r="T8" s="559"/>
      <c r="U8" s="560"/>
      <c r="V8" s="553"/>
      <c r="W8" s="561"/>
      <c r="X8" s="561"/>
      <c r="Y8" s="561"/>
      <c r="Z8" s="561"/>
      <c r="AA8" s="553"/>
      <c r="AB8" s="553"/>
      <c r="AC8" s="553"/>
      <c r="AD8" s="553"/>
      <c r="AE8" s="553"/>
      <c r="AF8" s="553"/>
      <c r="AI8" s="199">
        <v>5</v>
      </c>
      <c r="AJ8" s="5" t="s">
        <v>197</v>
      </c>
    </row>
    <row r="9" spans="1:36" s="240" customFormat="1" ht="13.5" customHeight="1" x14ac:dyDescent="0.2">
      <c r="A9" s="197"/>
      <c r="B9" s="197"/>
      <c r="C9" s="197"/>
      <c r="D9" s="197"/>
      <c r="E9" s="197"/>
      <c r="F9" s="197"/>
      <c r="G9" s="197"/>
      <c r="H9" s="198"/>
      <c r="I9" s="198"/>
      <c r="J9" s="198"/>
      <c r="K9" s="198"/>
      <c r="L9" s="198"/>
      <c r="M9" s="198"/>
      <c r="N9" s="198"/>
      <c r="O9" s="198"/>
      <c r="P9" s="198"/>
      <c r="Q9" s="198"/>
      <c r="R9" s="199"/>
      <c r="S9" s="199"/>
      <c r="T9" s="199"/>
      <c r="U9" s="199"/>
      <c r="V9" s="198"/>
      <c r="W9" s="199"/>
      <c r="X9" s="199"/>
      <c r="Y9" s="199"/>
      <c r="Z9" s="199"/>
      <c r="AA9" s="198"/>
      <c r="AB9" s="198"/>
      <c r="AC9" s="198"/>
      <c r="AD9" s="198"/>
      <c r="AE9" s="198"/>
      <c r="AF9" s="198"/>
      <c r="AI9" s="199"/>
      <c r="AJ9" s="5"/>
    </row>
    <row r="10" spans="1:36" s="240" customFormat="1" ht="30" customHeight="1" x14ac:dyDescent="0.2">
      <c r="A10" s="544" t="s">
        <v>198</v>
      </c>
      <c r="B10" s="544"/>
      <c r="C10" s="544"/>
      <c r="D10" s="544"/>
      <c r="E10" s="544"/>
      <c r="F10" s="544"/>
      <c r="G10" s="544"/>
      <c r="H10" s="544"/>
      <c r="I10" s="201" t="s">
        <v>199</v>
      </c>
      <c r="J10" s="544" t="s">
        <v>46</v>
      </c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544"/>
      <c r="Z10" s="544"/>
      <c r="AA10" s="544"/>
      <c r="AB10" s="544"/>
      <c r="AC10" s="544"/>
      <c r="AD10" s="544"/>
      <c r="AE10" s="544"/>
      <c r="AF10" s="544"/>
      <c r="AI10" s="199">
        <v>6</v>
      </c>
      <c r="AJ10" s="5" t="s">
        <v>200</v>
      </c>
    </row>
    <row r="11" spans="1:36" s="240" customFormat="1" ht="11.25" customHeight="1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2"/>
      <c r="T11" s="203"/>
      <c r="U11" s="203"/>
      <c r="V11" s="203"/>
      <c r="W11" s="203"/>
      <c r="X11" s="203"/>
      <c r="Y11" s="149"/>
      <c r="Z11" s="204"/>
      <c r="AA11" s="205"/>
      <c r="AB11" s="206"/>
      <c r="AC11" s="206"/>
      <c r="AD11" s="206"/>
      <c r="AE11" s="204"/>
      <c r="AF11" s="204"/>
      <c r="AI11" s="199"/>
      <c r="AJ11" s="5"/>
    </row>
    <row r="12" spans="1:36" s="240" customFormat="1" ht="30" customHeight="1" x14ac:dyDescent="0.2">
      <c r="A12" s="556" t="s">
        <v>201</v>
      </c>
      <c r="B12" s="556"/>
      <c r="C12" s="556"/>
      <c r="D12" s="556"/>
      <c r="E12" s="556"/>
      <c r="F12" s="556"/>
      <c r="G12" s="556"/>
      <c r="H12" s="556"/>
      <c r="I12" s="201" t="s">
        <v>199</v>
      </c>
      <c r="J12" s="544" t="s">
        <v>126</v>
      </c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4"/>
      <c r="V12" s="544"/>
      <c r="W12" s="544"/>
      <c r="X12" s="544"/>
      <c r="Y12" s="544"/>
      <c r="Z12" s="544"/>
      <c r="AA12" s="544"/>
      <c r="AB12" s="544"/>
      <c r="AC12" s="544"/>
      <c r="AD12" s="544"/>
      <c r="AE12" s="544"/>
      <c r="AF12" s="544"/>
      <c r="AI12" s="199">
        <v>7</v>
      </c>
      <c r="AJ12" s="5" t="s">
        <v>202</v>
      </c>
    </row>
    <row r="13" spans="1:36" s="240" customFormat="1" ht="8.25" customHeight="1" x14ac:dyDescent="0.2">
      <c r="A13" s="208"/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I13" s="199"/>
      <c r="AJ13" s="5"/>
    </row>
    <row r="14" spans="1:36" s="240" customFormat="1" ht="30" customHeight="1" x14ac:dyDescent="0.2">
      <c r="A14" s="544" t="s">
        <v>203</v>
      </c>
      <c r="B14" s="544"/>
      <c r="C14" s="544"/>
      <c r="D14" s="544"/>
      <c r="E14" s="544"/>
      <c r="F14" s="544"/>
      <c r="G14" s="544"/>
      <c r="H14" s="544"/>
      <c r="I14" s="201" t="s">
        <v>199</v>
      </c>
      <c r="J14" s="544" t="s">
        <v>204</v>
      </c>
      <c r="K14" s="544"/>
      <c r="L14" s="544"/>
      <c r="M14" s="544"/>
      <c r="N14" s="544"/>
      <c r="O14" s="544"/>
      <c r="P14" s="544"/>
      <c r="Q14" s="544"/>
      <c r="R14" s="544"/>
      <c r="S14" s="544"/>
      <c r="T14" s="544"/>
      <c r="U14" s="544"/>
      <c r="V14" s="544"/>
      <c r="W14" s="544"/>
      <c r="X14" s="544"/>
      <c r="Y14" s="544"/>
      <c r="Z14" s="544"/>
      <c r="AA14" s="544"/>
      <c r="AB14" s="544"/>
      <c r="AC14" s="544"/>
      <c r="AD14" s="544"/>
      <c r="AE14" s="544"/>
      <c r="AF14" s="544"/>
      <c r="AI14" s="199"/>
      <c r="AJ14" s="5"/>
    </row>
    <row r="15" spans="1:36" s="240" customFormat="1" ht="6" customHeight="1" x14ac:dyDescent="0.2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I15" s="199"/>
      <c r="AJ15" s="5"/>
    </row>
    <row r="16" spans="1:36" s="240" customFormat="1" ht="30" customHeight="1" x14ac:dyDescent="0.2">
      <c r="A16" s="544" t="s">
        <v>205</v>
      </c>
      <c r="B16" s="544"/>
      <c r="C16" s="544"/>
      <c r="D16" s="544"/>
      <c r="E16" s="544"/>
      <c r="F16" s="544"/>
      <c r="G16" s="544"/>
      <c r="H16" s="544"/>
      <c r="I16" s="201" t="s">
        <v>199</v>
      </c>
      <c r="J16" s="544"/>
      <c r="K16" s="544"/>
      <c r="L16" s="544"/>
      <c r="M16" s="544"/>
      <c r="N16" s="544"/>
      <c r="O16" s="544"/>
      <c r="P16" s="544"/>
      <c r="Q16" s="544"/>
      <c r="R16" s="544"/>
      <c r="S16" s="544"/>
      <c r="T16" s="544"/>
      <c r="U16" s="544"/>
      <c r="V16" s="544"/>
      <c r="W16" s="544"/>
      <c r="X16" s="544"/>
      <c r="Y16" s="555" t="s">
        <v>206</v>
      </c>
      <c r="Z16" s="555"/>
      <c r="AA16" s="555"/>
      <c r="AB16" s="554" t="s">
        <v>331</v>
      </c>
      <c r="AC16" s="554"/>
      <c r="AD16" s="554"/>
      <c r="AE16" s="555"/>
      <c r="AF16" s="555"/>
      <c r="AI16" s="199"/>
      <c r="AJ16" s="5"/>
    </row>
    <row r="17" spans="1:36" s="240" customFormat="1" ht="8.25" customHeight="1" x14ac:dyDescent="0.25">
      <c r="A17" s="203"/>
      <c r="B17" s="203"/>
      <c r="C17" s="203"/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197"/>
      <c r="T17" s="197"/>
      <c r="U17" s="197"/>
      <c r="V17" s="197"/>
      <c r="W17" s="197"/>
      <c r="X17" s="207"/>
      <c r="Y17" s="204"/>
      <c r="Z17" s="207"/>
      <c r="AA17" s="207"/>
      <c r="AB17" s="207"/>
      <c r="AC17" s="207"/>
      <c r="AD17" s="207"/>
      <c r="AE17" s="207"/>
      <c r="AF17" s="207"/>
      <c r="AI17" s="199"/>
      <c r="AJ17" s="5"/>
    </row>
    <row r="18" spans="1:36" s="240" customFormat="1" ht="40.5" customHeight="1" x14ac:dyDescent="0.2">
      <c r="A18" s="544" t="s">
        <v>207</v>
      </c>
      <c r="B18" s="544"/>
      <c r="C18" s="544"/>
      <c r="D18" s="544"/>
      <c r="E18" s="544"/>
      <c r="F18" s="544"/>
      <c r="G18" s="544"/>
      <c r="H18" s="544"/>
      <c r="I18" s="201" t="s">
        <v>199</v>
      </c>
      <c r="J18" s="544" t="s">
        <v>208</v>
      </c>
      <c r="K18" s="544"/>
      <c r="L18" s="544"/>
      <c r="M18" s="544"/>
      <c r="N18" s="544"/>
      <c r="O18" s="544"/>
      <c r="P18" s="544"/>
      <c r="Q18" s="544"/>
      <c r="R18" s="544"/>
      <c r="S18" s="544"/>
      <c r="T18" s="544"/>
      <c r="U18" s="544"/>
      <c r="V18" s="544"/>
      <c r="W18" s="544"/>
      <c r="X18" s="544"/>
      <c r="Y18" s="207" t="s">
        <v>209</v>
      </c>
      <c r="Z18" s="201"/>
      <c r="AA18" s="201"/>
      <c r="AB18" s="201"/>
      <c r="AC18" s="201"/>
      <c r="AD18" s="201"/>
      <c r="AE18" s="201"/>
      <c r="AF18" s="201"/>
      <c r="AI18" s="199"/>
      <c r="AJ18" s="5"/>
    </row>
    <row r="19" spans="1:36" s="240" customFormat="1" ht="8.25" customHeight="1" x14ac:dyDescent="0.2">
      <c r="A19" s="209"/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  <c r="O19" s="209"/>
      <c r="P19" s="209"/>
      <c r="Q19" s="209"/>
      <c r="R19" s="209"/>
      <c r="S19" s="210"/>
      <c r="T19" s="210"/>
      <c r="U19" s="210"/>
      <c r="V19" s="210"/>
      <c r="W19" s="210"/>
      <c r="X19" s="210"/>
      <c r="Y19" s="211"/>
      <c r="Z19" s="210"/>
      <c r="AA19" s="210"/>
      <c r="AB19" s="210"/>
      <c r="AC19" s="210"/>
      <c r="AD19" s="210"/>
      <c r="AE19" s="210"/>
      <c r="AF19" s="210"/>
      <c r="AI19" s="199"/>
      <c r="AJ19" s="5"/>
    </row>
    <row r="20" spans="1:36" ht="21" customHeight="1" x14ac:dyDescent="0.25">
      <c r="A20" s="550" t="s">
        <v>100</v>
      </c>
      <c r="B20" s="550" t="s">
        <v>210</v>
      </c>
      <c r="C20" s="546" t="s">
        <v>211</v>
      </c>
      <c r="D20" s="550" t="s">
        <v>212</v>
      </c>
      <c r="E20" s="550" t="s">
        <v>213</v>
      </c>
      <c r="F20" s="546" t="s">
        <v>214</v>
      </c>
      <c r="G20" s="547" t="s">
        <v>215</v>
      </c>
      <c r="H20" s="550" t="s">
        <v>216</v>
      </c>
      <c r="I20" s="550" t="s">
        <v>194</v>
      </c>
      <c r="J20" s="547" t="s">
        <v>217</v>
      </c>
      <c r="K20" s="547" t="s">
        <v>218</v>
      </c>
      <c r="L20" s="552" t="s">
        <v>219</v>
      </c>
      <c r="M20" s="552" t="s">
        <v>220</v>
      </c>
      <c r="N20" s="547" t="s">
        <v>221</v>
      </c>
      <c r="O20" s="547" t="s">
        <v>222</v>
      </c>
      <c r="P20" s="547" t="s">
        <v>223</v>
      </c>
      <c r="Q20" s="547" t="s">
        <v>224</v>
      </c>
      <c r="R20" s="546" t="s">
        <v>225</v>
      </c>
      <c r="S20" s="549" t="s">
        <v>226</v>
      </c>
      <c r="T20" s="549"/>
      <c r="U20" s="549"/>
      <c r="V20" s="549"/>
      <c r="W20" s="549"/>
      <c r="X20" s="549"/>
      <c r="Y20" s="549"/>
      <c r="Z20" s="549"/>
      <c r="AA20" s="546" t="s">
        <v>227</v>
      </c>
      <c r="AB20" s="546" t="s">
        <v>228</v>
      </c>
      <c r="AC20" s="545" t="s">
        <v>323</v>
      </c>
      <c r="AD20" s="546" t="s">
        <v>229</v>
      </c>
      <c r="AE20" s="546" t="s">
        <v>230</v>
      </c>
      <c r="AF20" s="546" t="s">
        <v>231</v>
      </c>
      <c r="AI20" s="199"/>
      <c r="AJ20" s="5"/>
    </row>
    <row r="21" spans="1:36" ht="76.5" customHeight="1" x14ac:dyDescent="0.2">
      <c r="A21" s="551"/>
      <c r="B21" s="551"/>
      <c r="C21" s="546"/>
      <c r="D21" s="551"/>
      <c r="E21" s="551"/>
      <c r="F21" s="546"/>
      <c r="G21" s="548"/>
      <c r="H21" s="551"/>
      <c r="I21" s="551"/>
      <c r="J21" s="548"/>
      <c r="K21" s="548"/>
      <c r="L21" s="552"/>
      <c r="M21" s="552"/>
      <c r="N21" s="548"/>
      <c r="O21" s="548"/>
      <c r="P21" s="548"/>
      <c r="Q21" s="548"/>
      <c r="R21" s="546"/>
      <c r="S21" s="254" t="s">
        <v>232</v>
      </c>
      <c r="T21" s="254" t="s">
        <v>233</v>
      </c>
      <c r="U21" s="254" t="s">
        <v>234</v>
      </c>
      <c r="V21" s="254" t="s">
        <v>235</v>
      </c>
      <c r="W21" s="254" t="s">
        <v>236</v>
      </c>
      <c r="X21" s="259" t="s">
        <v>237</v>
      </c>
      <c r="Y21" s="254" t="s">
        <v>238</v>
      </c>
      <c r="Z21" s="259" t="s">
        <v>239</v>
      </c>
      <c r="AA21" s="546"/>
      <c r="AB21" s="546"/>
      <c r="AC21" s="545"/>
      <c r="AD21" s="546"/>
      <c r="AE21" s="546"/>
      <c r="AF21" s="546"/>
    </row>
    <row r="22" spans="1:36" s="239" customFormat="1" ht="22.5" customHeight="1" x14ac:dyDescent="0.2">
      <c r="A22" s="252">
        <v>1</v>
      </c>
      <c r="B22" s="252" t="s">
        <v>240</v>
      </c>
      <c r="C22" s="251">
        <v>2</v>
      </c>
      <c r="D22" s="257">
        <v>3</v>
      </c>
      <c r="E22" s="257" t="s">
        <v>241</v>
      </c>
      <c r="F22" s="251">
        <v>4</v>
      </c>
      <c r="G22" s="251">
        <v>5</v>
      </c>
      <c r="H22" s="251">
        <v>6</v>
      </c>
      <c r="I22" s="251">
        <v>7</v>
      </c>
      <c r="J22" s="251">
        <v>8</v>
      </c>
      <c r="K22" s="251">
        <v>9</v>
      </c>
      <c r="L22" s="251">
        <v>10</v>
      </c>
      <c r="M22" s="251" t="s">
        <v>242</v>
      </c>
      <c r="N22" s="251" t="s">
        <v>243</v>
      </c>
      <c r="O22" s="251" t="s">
        <v>244</v>
      </c>
      <c r="P22" s="251" t="s">
        <v>245</v>
      </c>
      <c r="Q22" s="251" t="s">
        <v>246</v>
      </c>
      <c r="R22" s="251">
        <v>11</v>
      </c>
      <c r="S22" s="251">
        <v>12</v>
      </c>
      <c r="T22" s="251">
        <v>13</v>
      </c>
      <c r="U22" s="251">
        <v>14</v>
      </c>
      <c r="V22" s="251">
        <v>15</v>
      </c>
      <c r="W22" s="251">
        <v>16</v>
      </c>
      <c r="X22" s="258">
        <v>17</v>
      </c>
      <c r="Y22" s="251">
        <v>18</v>
      </c>
      <c r="Z22" s="251">
        <v>19</v>
      </c>
      <c r="AA22" s="251">
        <v>20</v>
      </c>
      <c r="AB22" s="251">
        <v>21</v>
      </c>
      <c r="AC22" s="251">
        <v>22</v>
      </c>
      <c r="AD22" s="251">
        <v>23</v>
      </c>
      <c r="AE22" s="251">
        <v>24</v>
      </c>
      <c r="AF22" s="251">
        <v>25</v>
      </c>
    </row>
    <row r="23" spans="1:36" s="242" customFormat="1" ht="66" customHeight="1" x14ac:dyDescent="0.2">
      <c r="A23" s="260">
        <v>1</v>
      </c>
      <c r="B23" s="260" t="s">
        <v>247</v>
      </c>
      <c r="C23" s="269" t="s">
        <v>248</v>
      </c>
      <c r="D23" s="261">
        <v>760</v>
      </c>
      <c r="E23" s="265">
        <v>19760</v>
      </c>
      <c r="F23" s="262">
        <v>26</v>
      </c>
      <c r="G23" s="263"/>
      <c r="H23" s="265">
        <v>19760</v>
      </c>
      <c r="I23" s="265"/>
      <c r="J23" s="260"/>
      <c r="K23" s="260"/>
      <c r="L23" s="260"/>
      <c r="M23" s="260"/>
      <c r="N23" s="260"/>
      <c r="O23" s="260"/>
      <c r="P23" s="260"/>
      <c r="Q23" s="260"/>
      <c r="R23" s="264">
        <v>19760</v>
      </c>
      <c r="S23" s="265">
        <v>1800</v>
      </c>
      <c r="T23" s="260">
        <v>149</v>
      </c>
      <c r="U23" s="260"/>
      <c r="V23" s="260"/>
      <c r="W23" s="260"/>
      <c r="X23" s="260"/>
      <c r="Y23" s="265"/>
      <c r="Z23" s="264">
        <v>1949</v>
      </c>
      <c r="AA23" s="266">
        <v>17811</v>
      </c>
      <c r="AB23" s="265">
        <f>IF(H23&gt;15000,15000*13%,H23*13%)</f>
        <v>1950</v>
      </c>
      <c r="AC23" s="212">
        <f>IF(H23&gt;21000,21000*3.25%,H23*3.25%)</f>
        <v>642.20000000000005</v>
      </c>
      <c r="AD23" s="255" t="s">
        <v>329</v>
      </c>
      <c r="AE23" s="255"/>
      <c r="AF23" s="213" t="s">
        <v>249</v>
      </c>
      <c r="AG23" s="241"/>
      <c r="AH23" s="241"/>
      <c r="AI23" s="241"/>
      <c r="AJ23" s="241"/>
    </row>
    <row r="24" spans="1:36" s="242" customFormat="1" ht="66" customHeight="1" thickBot="1" x14ac:dyDescent="0.25">
      <c r="A24" s="260">
        <v>2</v>
      </c>
      <c r="B24" s="260" t="s">
        <v>250</v>
      </c>
      <c r="C24" s="269" t="s">
        <v>251</v>
      </c>
      <c r="D24" s="261">
        <v>760</v>
      </c>
      <c r="E24" s="265">
        <v>19760</v>
      </c>
      <c r="F24" s="262">
        <v>26</v>
      </c>
      <c r="G24" s="263"/>
      <c r="H24" s="265">
        <v>19760</v>
      </c>
      <c r="I24" s="265"/>
      <c r="J24" s="260"/>
      <c r="K24" s="260"/>
      <c r="L24" s="260"/>
      <c r="M24" s="260"/>
      <c r="N24" s="260"/>
      <c r="O24" s="260"/>
      <c r="P24" s="260"/>
      <c r="Q24" s="260"/>
      <c r="R24" s="264">
        <v>19760</v>
      </c>
      <c r="S24" s="265">
        <v>1800</v>
      </c>
      <c r="T24" s="260">
        <v>149</v>
      </c>
      <c r="U24" s="260"/>
      <c r="V24" s="260"/>
      <c r="W24" s="260"/>
      <c r="X24" s="260"/>
      <c r="Y24" s="265"/>
      <c r="Z24" s="264">
        <v>1949</v>
      </c>
      <c r="AA24" s="266">
        <v>17811</v>
      </c>
      <c r="AB24" s="265">
        <f>IF(H24&gt;15000,15000*13%,H24*13%)</f>
        <v>1950</v>
      </c>
      <c r="AC24" s="212">
        <f>IF(H24&gt;21000,21000*3.25%,H24*3.25%)</f>
        <v>642.20000000000005</v>
      </c>
      <c r="AD24" s="255" t="s">
        <v>330</v>
      </c>
      <c r="AE24" s="255"/>
      <c r="AF24" s="213" t="s">
        <v>249</v>
      </c>
      <c r="AG24" s="241"/>
      <c r="AH24" s="241"/>
      <c r="AI24" s="241"/>
      <c r="AJ24" s="241"/>
    </row>
    <row r="25" spans="1:36" s="196" customFormat="1" ht="30" customHeight="1" thickBot="1" x14ac:dyDescent="0.25">
      <c r="A25" s="256"/>
      <c r="B25" s="270"/>
      <c r="C25" s="267" t="s">
        <v>161</v>
      </c>
      <c r="D25" s="214">
        <f t="shared" ref="D25:H25" si="0">SUM(D23:D24)</f>
        <v>1520</v>
      </c>
      <c r="E25" s="214">
        <f t="shared" si="0"/>
        <v>39520</v>
      </c>
      <c r="F25" s="214">
        <f t="shared" si="0"/>
        <v>52</v>
      </c>
      <c r="G25" s="214">
        <f t="shared" si="0"/>
        <v>0</v>
      </c>
      <c r="H25" s="214">
        <f t="shared" si="0"/>
        <v>39520</v>
      </c>
      <c r="I25" s="268">
        <v>0</v>
      </c>
      <c r="J25" s="268">
        <v>0</v>
      </c>
      <c r="K25" s="268">
        <v>0</v>
      </c>
      <c r="L25" s="268">
        <v>0</v>
      </c>
      <c r="M25" s="268">
        <v>0</v>
      </c>
      <c r="N25" s="268">
        <v>0</v>
      </c>
      <c r="O25" s="268">
        <v>0</v>
      </c>
      <c r="P25" s="268">
        <v>0</v>
      </c>
      <c r="Q25" s="268">
        <v>0</v>
      </c>
      <c r="R25" s="214">
        <f t="shared" ref="R25:T25" si="1">SUM(R23:R24)</f>
        <v>39520</v>
      </c>
      <c r="S25" s="214">
        <f t="shared" si="1"/>
        <v>3600</v>
      </c>
      <c r="T25" s="214">
        <f t="shared" si="1"/>
        <v>298</v>
      </c>
      <c r="U25" s="268">
        <v>0</v>
      </c>
      <c r="V25" s="268">
        <v>0</v>
      </c>
      <c r="W25" s="268">
        <v>0</v>
      </c>
      <c r="X25" s="268">
        <v>0</v>
      </c>
      <c r="Y25" s="268">
        <v>0</v>
      </c>
      <c r="Z25" s="214">
        <f t="shared" ref="Z25" si="2">SUM(Z23:Z24)</f>
        <v>3898</v>
      </c>
      <c r="AA25" s="214">
        <f t="shared" ref="AA25" si="3">SUM(AA23:AA24)</f>
        <v>35622</v>
      </c>
      <c r="AB25" s="214">
        <f t="shared" ref="AB25:AC25" si="4">SUM(AB23:AB24)</f>
        <v>3900</v>
      </c>
      <c r="AC25" s="214">
        <f t="shared" si="4"/>
        <v>1284.4000000000001</v>
      </c>
      <c r="AD25" s="268"/>
      <c r="AE25" s="268"/>
      <c r="AF25" s="253"/>
    </row>
    <row r="26" spans="1:36" s="196" customFormat="1" ht="30" customHeight="1" x14ac:dyDescent="0.2">
      <c r="C26" s="243"/>
      <c r="D26" s="244"/>
      <c r="E26" s="244"/>
      <c r="F26" s="245"/>
      <c r="G26" s="245"/>
      <c r="H26" s="245"/>
      <c r="I26" s="245"/>
      <c r="J26" s="245"/>
      <c r="K26" s="245"/>
      <c r="L26" s="245"/>
      <c r="M26" s="245"/>
      <c r="N26" s="245"/>
      <c r="O26" s="245"/>
      <c r="P26" s="245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</row>
    <row r="27" spans="1:36" x14ac:dyDescent="0.2">
      <c r="R27" s="246"/>
    </row>
    <row r="28" spans="1:36" s="247" customFormat="1" ht="18.75" x14ac:dyDescent="0.3"/>
  </sheetData>
  <mergeCells count="56">
    <mergeCell ref="A20:A21"/>
    <mergeCell ref="G20:G21"/>
    <mergeCell ref="J20:J21"/>
    <mergeCell ref="E20:E21"/>
    <mergeCell ref="N20:N21"/>
    <mergeCell ref="B20:B21"/>
    <mergeCell ref="M20:M21"/>
    <mergeCell ref="P20:P21"/>
    <mergeCell ref="K20:K21"/>
    <mergeCell ref="H20:H21"/>
    <mergeCell ref="I20:I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  <mergeCell ref="A7:G7"/>
    <mergeCell ref="A8:G8"/>
    <mergeCell ref="H8:L8"/>
    <mergeCell ref="M8:U8"/>
    <mergeCell ref="V8:Z8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18:H18"/>
    <mergeCell ref="J18:X18"/>
    <mergeCell ref="AC20:AC21"/>
    <mergeCell ref="AF20:AF21"/>
    <mergeCell ref="AD20:AD21"/>
    <mergeCell ref="AB20:AB21"/>
    <mergeCell ref="AE20:AE21"/>
    <mergeCell ref="O20:O21"/>
    <mergeCell ref="R20:R21"/>
    <mergeCell ref="S20:Z20"/>
    <mergeCell ref="AA20:AA21"/>
    <mergeCell ref="Q20:Q21"/>
    <mergeCell ref="C20:C21"/>
    <mergeCell ref="D20:D21"/>
    <mergeCell ref="F20:F21"/>
    <mergeCell ref="L20:L21"/>
  </mergeCells>
  <printOptions horizontalCentered="1"/>
  <pageMargins left="0.25" right="0.25" top="0.75" bottom="0.75" header="0.3" footer="0.3"/>
  <pageSetup paperSize="9" scale="55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F16"/>
  <sheetViews>
    <sheetView view="pageLayout" zoomScaleNormal="100" workbookViewId="0">
      <selection activeCell="B54" sqref="B54"/>
    </sheetView>
  </sheetViews>
  <sheetFormatPr defaultRowHeight="12.75" x14ac:dyDescent="0.2"/>
  <cols>
    <col min="1" max="1" width="29.140625" customWidth="1"/>
    <col min="2" max="2" width="26.7109375" customWidth="1"/>
    <col min="3" max="3" width="15.5703125" bestFit="1" customWidth="1"/>
    <col min="5" max="5" width="29.140625" bestFit="1" customWidth="1"/>
    <col min="6" max="6" width="30" bestFit="1" customWidth="1"/>
    <col min="7" max="7" width="11.5703125" customWidth="1"/>
  </cols>
  <sheetData>
    <row r="2" spans="1:6" x14ac:dyDescent="0.2">
      <c r="A2" s="29"/>
      <c r="E2" t="s">
        <v>166</v>
      </c>
      <c r="F2" s="193" t="s">
        <v>324</v>
      </c>
    </row>
    <row r="3" spans="1:6" x14ac:dyDescent="0.2">
      <c r="A3" s="29"/>
      <c r="B3" s="160"/>
      <c r="E3">
        <v>695</v>
      </c>
      <c r="F3">
        <v>760</v>
      </c>
    </row>
    <row r="4" spans="1:6" x14ac:dyDescent="0.2">
      <c r="A4" s="29" t="s">
        <v>1</v>
      </c>
      <c r="B4" s="215">
        <v>45902</v>
      </c>
    </row>
    <row r="5" spans="1:6" x14ac:dyDescent="0.2">
      <c r="A5" s="29" t="s">
        <v>252</v>
      </c>
      <c r="B5" t="str">
        <f>WgPrd</f>
        <v>01 Aug 2025 To 31 Aug 2025</v>
      </c>
    </row>
    <row r="6" spans="1:6" x14ac:dyDescent="0.2">
      <c r="A6" s="193" t="s">
        <v>89</v>
      </c>
      <c r="B6" s="193" t="s">
        <v>332</v>
      </c>
    </row>
    <row r="7" spans="1:6" x14ac:dyDescent="0.2">
      <c r="A7" s="29" t="s">
        <v>253</v>
      </c>
      <c r="B7">
        <f>B2/52</f>
        <v>0</v>
      </c>
    </row>
    <row r="8" spans="1:6" x14ac:dyDescent="0.2">
      <c r="A8" s="193" t="s">
        <v>91</v>
      </c>
      <c r="B8" s="248">
        <v>45902</v>
      </c>
    </row>
    <row r="9" spans="1:6" x14ac:dyDescent="0.2">
      <c r="A9" s="193" t="s">
        <v>254</v>
      </c>
      <c r="B9">
        <v>20</v>
      </c>
      <c r="C9" t="str">
        <f>A9&amp;B9</f>
        <v>RA BILL NO-20</v>
      </c>
    </row>
    <row r="10" spans="1:6" x14ac:dyDescent="0.2">
      <c r="A10" s="193" t="s">
        <v>255</v>
      </c>
      <c r="B10" s="194" t="s">
        <v>333</v>
      </c>
    </row>
    <row r="12" spans="1:6" x14ac:dyDescent="0.2">
      <c r="A12" t="s">
        <v>310</v>
      </c>
      <c r="B12">
        <v>4302507009888</v>
      </c>
      <c r="C12" t="s">
        <v>311</v>
      </c>
      <c r="D12" s="249" t="s">
        <v>328</v>
      </c>
    </row>
    <row r="13" spans="1:6" x14ac:dyDescent="0.2">
      <c r="A13" t="s">
        <v>312</v>
      </c>
      <c r="B13">
        <v>7500</v>
      </c>
      <c r="C13" t="s">
        <v>312</v>
      </c>
      <c r="D13">
        <v>43365</v>
      </c>
    </row>
    <row r="14" spans="1:6" x14ac:dyDescent="0.2">
      <c r="A14" t="s">
        <v>277</v>
      </c>
      <c r="B14" s="192">
        <v>45877</v>
      </c>
      <c r="C14" t="s">
        <v>277</v>
      </c>
      <c r="D14" s="192">
        <v>45877</v>
      </c>
    </row>
    <row r="16" spans="1:6" x14ac:dyDescent="0.2">
      <c r="A16" s="193" t="s">
        <v>313</v>
      </c>
      <c r="B16" s="237" cm="1">
        <f t="array" ref="B16:D16">'Tax Invoice'!J42:L42</f>
        <v>57609</v>
      </c>
      <c r="C16">
        <v>0</v>
      </c>
      <c r="D1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4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96"/>
  <sheetViews>
    <sheetView topLeftCell="A76" workbookViewId="0">
      <selection activeCell="H6" sqref="H6"/>
    </sheetView>
  </sheetViews>
  <sheetFormatPr defaultRowHeight="12.75" x14ac:dyDescent="0.2"/>
  <cols>
    <col min="2" max="2" width="10.140625" bestFit="1" customWidth="1"/>
    <col min="3" max="3" width="8.28515625" customWidth="1"/>
    <col min="4" max="4" width="5.42578125" customWidth="1"/>
    <col min="7" max="7" width="12.42578125" customWidth="1"/>
    <col min="8" max="8" width="9.28515625" customWidth="1"/>
    <col min="9" max="9" width="10.140625" bestFit="1" customWidth="1"/>
    <col min="11" max="11" width="9.140625" customWidth="1"/>
    <col min="258" max="258" width="10.140625" bestFit="1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width="10.140625" bestFit="1" customWidth="1"/>
    <col min="514" max="514" width="10.140625" bestFit="1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width="10.140625" bestFit="1" customWidth="1"/>
    <col min="770" max="770" width="10.140625" bestFit="1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width="10.140625" bestFit="1" customWidth="1"/>
    <col min="1026" max="1026" width="10.140625" bestFit="1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width="10.140625" bestFit="1" customWidth="1"/>
    <col min="1282" max="1282" width="10.140625" bestFit="1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width="10.140625" bestFit="1" customWidth="1"/>
    <col min="1538" max="1538" width="10.140625" bestFit="1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width="10.140625" bestFit="1" customWidth="1"/>
    <col min="1794" max="1794" width="10.140625" bestFit="1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width="10.140625" bestFit="1" customWidth="1"/>
    <col min="2050" max="2050" width="10.140625" bestFit="1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width="10.140625" bestFit="1" customWidth="1"/>
    <col min="2306" max="2306" width="10.140625" bestFit="1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width="10.140625" bestFit="1" customWidth="1"/>
    <col min="2562" max="2562" width="10.140625" bestFit="1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width="10.140625" bestFit="1" customWidth="1"/>
    <col min="2818" max="2818" width="10.140625" bestFit="1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width="10.140625" bestFit="1" customWidth="1"/>
    <col min="3074" max="3074" width="10.140625" bestFit="1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width="10.140625" bestFit="1" customWidth="1"/>
    <col min="3330" max="3330" width="10.140625" bestFit="1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width="10.140625" bestFit="1" customWidth="1"/>
    <col min="3586" max="3586" width="10.140625" bestFit="1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width="10.140625" bestFit="1" customWidth="1"/>
    <col min="3842" max="3842" width="10.140625" bestFit="1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width="10.140625" bestFit="1" customWidth="1"/>
    <col min="4098" max="4098" width="10.140625" bestFit="1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width="10.140625" bestFit="1" customWidth="1"/>
    <col min="4354" max="4354" width="10.140625" bestFit="1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width="10.140625" bestFit="1" customWidth="1"/>
    <col min="4610" max="4610" width="10.140625" bestFit="1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width="10.140625" bestFit="1" customWidth="1"/>
    <col min="4866" max="4866" width="10.140625" bestFit="1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width="10.140625" bestFit="1" customWidth="1"/>
    <col min="5122" max="5122" width="10.140625" bestFit="1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width="10.140625" bestFit="1" customWidth="1"/>
    <col min="5378" max="5378" width="10.140625" bestFit="1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width="10.140625" bestFit="1" customWidth="1"/>
    <col min="5634" max="5634" width="10.140625" bestFit="1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width="10.140625" bestFit="1" customWidth="1"/>
    <col min="5890" max="5890" width="10.140625" bestFit="1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width="10.140625" bestFit="1" customWidth="1"/>
    <col min="6146" max="6146" width="10.140625" bestFit="1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width="10.140625" bestFit="1" customWidth="1"/>
    <col min="6402" max="6402" width="10.140625" bestFit="1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width="10.140625" bestFit="1" customWidth="1"/>
    <col min="6658" max="6658" width="10.140625" bestFit="1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width="10.140625" bestFit="1" customWidth="1"/>
    <col min="6914" max="6914" width="10.140625" bestFit="1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width="10.140625" bestFit="1" customWidth="1"/>
    <col min="7170" max="7170" width="10.140625" bestFit="1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width="10.140625" bestFit="1" customWidth="1"/>
    <col min="7426" max="7426" width="10.140625" bestFit="1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width="10.140625" bestFit="1" customWidth="1"/>
    <col min="7682" max="7682" width="10.140625" bestFit="1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width="10.140625" bestFit="1" customWidth="1"/>
    <col min="7938" max="7938" width="10.140625" bestFit="1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width="10.140625" bestFit="1" customWidth="1"/>
    <col min="8194" max="8194" width="10.140625" bestFit="1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width="10.140625" bestFit="1" customWidth="1"/>
    <col min="8450" max="8450" width="10.140625" bestFit="1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width="10.140625" bestFit="1" customWidth="1"/>
    <col min="8706" max="8706" width="10.140625" bestFit="1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width="10.140625" bestFit="1" customWidth="1"/>
    <col min="8962" max="8962" width="10.140625" bestFit="1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width="10.140625" bestFit="1" customWidth="1"/>
    <col min="9218" max="9218" width="10.140625" bestFit="1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width="10.140625" bestFit="1" customWidth="1"/>
    <col min="9474" max="9474" width="10.140625" bestFit="1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width="10.140625" bestFit="1" customWidth="1"/>
    <col min="9730" max="9730" width="10.140625" bestFit="1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width="10.140625" bestFit="1" customWidth="1"/>
    <col min="9986" max="9986" width="10.140625" bestFit="1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width="10.140625" bestFit="1" customWidth="1"/>
    <col min="10242" max="10242" width="10.140625" bestFit="1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width="10.140625" bestFit="1" customWidth="1"/>
    <col min="10498" max="10498" width="10.140625" bestFit="1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width="10.140625" bestFit="1" customWidth="1"/>
    <col min="10754" max="10754" width="10.140625" bestFit="1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width="10.140625" bestFit="1" customWidth="1"/>
    <col min="11010" max="11010" width="10.140625" bestFit="1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width="10.140625" bestFit="1" customWidth="1"/>
    <col min="11266" max="11266" width="10.140625" bestFit="1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width="10.140625" bestFit="1" customWidth="1"/>
    <col min="11522" max="11522" width="10.140625" bestFit="1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width="10.140625" bestFit="1" customWidth="1"/>
    <col min="11778" max="11778" width="10.140625" bestFit="1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width="10.140625" bestFit="1" customWidth="1"/>
    <col min="12034" max="12034" width="10.140625" bestFit="1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width="10.140625" bestFit="1" customWidth="1"/>
    <col min="12290" max="12290" width="10.140625" bestFit="1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width="10.140625" bestFit="1" customWidth="1"/>
    <col min="12546" max="12546" width="10.140625" bestFit="1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width="10.140625" bestFit="1" customWidth="1"/>
    <col min="12802" max="12802" width="10.140625" bestFit="1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width="10.140625" bestFit="1" customWidth="1"/>
    <col min="13058" max="13058" width="10.140625" bestFit="1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width="10.140625" bestFit="1" customWidth="1"/>
    <col min="13314" max="13314" width="10.140625" bestFit="1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width="10.140625" bestFit="1" customWidth="1"/>
    <col min="13570" max="13570" width="10.140625" bestFit="1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width="10.140625" bestFit="1" customWidth="1"/>
    <col min="13826" max="13826" width="10.140625" bestFit="1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width="10.140625" bestFit="1" customWidth="1"/>
    <col min="14082" max="14082" width="10.140625" bestFit="1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width="10.140625" bestFit="1" customWidth="1"/>
    <col min="14338" max="14338" width="10.140625" bestFit="1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width="10.140625" bestFit="1" customWidth="1"/>
    <col min="14594" max="14594" width="10.140625" bestFit="1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width="10.140625" bestFit="1" customWidth="1"/>
    <col min="14850" max="14850" width="10.140625" bestFit="1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width="10.140625" bestFit="1" customWidth="1"/>
    <col min="15106" max="15106" width="10.140625" bestFit="1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width="10.140625" bestFit="1" customWidth="1"/>
    <col min="15362" max="15362" width="10.140625" bestFit="1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width="10.140625" bestFit="1" customWidth="1"/>
    <col min="15618" max="15618" width="10.140625" bestFit="1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width="10.140625" bestFit="1" customWidth="1"/>
    <col min="15874" max="15874" width="10.140625" bestFit="1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width="10.140625" bestFit="1" customWidth="1"/>
    <col min="16130" max="16130" width="10.140625" bestFit="1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width="10.140625" bestFit="1" customWidth="1"/>
  </cols>
  <sheetData>
    <row r="1" spans="1:12" ht="15" x14ac:dyDescent="0.25">
      <c r="G1" s="216"/>
      <c r="H1" s="216" t="s">
        <v>258</v>
      </c>
    </row>
    <row r="2" spans="1:12" ht="15" x14ac:dyDescent="0.25">
      <c r="G2" s="216"/>
      <c r="H2" s="216" t="s">
        <v>259</v>
      </c>
    </row>
    <row r="3" spans="1:12" ht="15" x14ac:dyDescent="0.25">
      <c r="G3" s="216"/>
      <c r="H3" s="216" t="s">
        <v>260</v>
      </c>
    </row>
    <row r="4" spans="1:12" ht="15" x14ac:dyDescent="0.25">
      <c r="G4" s="216"/>
      <c r="H4" s="216" t="s">
        <v>261</v>
      </c>
    </row>
    <row r="5" spans="1:12" ht="15" x14ac:dyDescent="0.25">
      <c r="G5" s="216"/>
      <c r="H5" s="216" t="s">
        <v>262</v>
      </c>
    </row>
    <row r="6" spans="1:12" ht="15" x14ac:dyDescent="0.25">
      <c r="G6" s="216"/>
      <c r="H6" s="216" t="s">
        <v>263</v>
      </c>
    </row>
    <row r="8" spans="1:12" ht="15.75" customHeight="1" x14ac:dyDescent="0.2">
      <c r="A8" s="577" t="s">
        <v>264</v>
      </c>
      <c r="B8" s="577"/>
      <c r="C8" s="577"/>
      <c r="D8" s="577"/>
      <c r="E8" s="577"/>
      <c r="F8" s="577"/>
      <c r="G8" s="577"/>
      <c r="H8" s="577"/>
      <c r="I8" s="577"/>
      <c r="J8" s="577"/>
      <c r="K8" s="577"/>
    </row>
    <row r="9" spans="1:12" x14ac:dyDescent="0.2">
      <c r="B9" s="217"/>
      <c r="C9" s="217"/>
      <c r="D9" s="217"/>
      <c r="E9" s="217"/>
      <c r="F9" s="217"/>
      <c r="G9" s="21"/>
      <c r="J9" s="578" t="s">
        <v>265</v>
      </c>
      <c r="K9" s="578"/>
    </row>
    <row r="10" spans="1:12" ht="21" customHeight="1" x14ac:dyDescent="0.2">
      <c r="A10" s="579" t="str">
        <f>"Subject: Particulars of PF Contribution for the Month of "&amp;'working sheet'!B10</f>
        <v>Subject: Particulars of PF Contribution for the Month of AUGUST-2025</v>
      </c>
      <c r="B10" s="579"/>
      <c r="C10" s="579"/>
      <c r="D10" s="579"/>
      <c r="E10" s="579"/>
      <c r="F10" s="579"/>
      <c r="G10" s="579"/>
      <c r="H10" s="579"/>
      <c r="I10" s="579"/>
      <c r="J10" s="579"/>
      <c r="K10" s="579"/>
    </row>
    <row r="11" spans="1:12" ht="15" x14ac:dyDescent="0.2">
      <c r="A11" s="218" t="s">
        <v>266</v>
      </c>
      <c r="B11" s="218"/>
      <c r="C11" s="218"/>
      <c r="D11" s="218"/>
      <c r="E11" s="218"/>
      <c r="F11" s="218"/>
    </row>
    <row r="12" spans="1:12" ht="15.75" x14ac:dyDescent="0.2">
      <c r="A12" s="219" t="s">
        <v>267</v>
      </c>
      <c r="B12" s="219"/>
      <c r="C12" s="219"/>
      <c r="D12" s="219"/>
      <c r="E12" s="219"/>
    </row>
    <row r="13" spans="1:12" ht="15.75" x14ac:dyDescent="0.2">
      <c r="A13" s="219" t="s">
        <v>268</v>
      </c>
      <c r="B13" s="220"/>
      <c r="C13" s="220"/>
      <c r="D13" s="220"/>
    </row>
    <row r="14" spans="1:12" ht="15.75" x14ac:dyDescent="0.2">
      <c r="A14" s="219" t="s">
        <v>269</v>
      </c>
      <c r="B14" s="220"/>
      <c r="C14" s="220"/>
      <c r="D14" s="220"/>
    </row>
    <row r="15" spans="1:12" ht="15.75" x14ac:dyDescent="0.2">
      <c r="A15" s="219" t="s">
        <v>270</v>
      </c>
      <c r="B15" s="220"/>
      <c r="C15" s="220"/>
      <c r="D15" s="220"/>
    </row>
    <row r="16" spans="1:12" ht="15.75" x14ac:dyDescent="0.2">
      <c r="A16" s="219" t="s">
        <v>271</v>
      </c>
      <c r="B16" s="220"/>
      <c r="C16" s="220"/>
      <c r="D16" s="220"/>
      <c r="L16" s="193"/>
    </row>
    <row r="17" spans="1:12" ht="15.75" x14ac:dyDescent="0.2">
      <c r="A17" s="219" t="s">
        <v>272</v>
      </c>
      <c r="B17" s="220"/>
      <c r="C17" s="220"/>
      <c r="D17" s="220"/>
      <c r="L17" s="193"/>
    </row>
    <row r="18" spans="1:12" ht="15.75" x14ac:dyDescent="0.2">
      <c r="A18" s="219" t="s">
        <v>273</v>
      </c>
      <c r="B18" s="219"/>
      <c r="C18" s="219"/>
      <c r="D18" s="219"/>
      <c r="E18" s="219"/>
    </row>
    <row r="19" spans="1:12" ht="15.75" x14ac:dyDescent="0.2">
      <c r="A19" s="219" t="s">
        <v>305</v>
      </c>
      <c r="B19" s="220"/>
      <c r="C19" s="220"/>
      <c r="D19" s="220"/>
    </row>
    <row r="20" spans="1:12" ht="15.75" x14ac:dyDescent="0.2">
      <c r="A20" s="221" t="s">
        <v>306</v>
      </c>
      <c r="B20" s="221"/>
      <c r="C20" s="221"/>
      <c r="D20" s="221"/>
    </row>
    <row r="21" spans="1:12" ht="15.75" x14ac:dyDescent="0.2">
      <c r="A21" s="149" t="s">
        <v>274</v>
      </c>
      <c r="B21" s="149"/>
      <c r="C21" s="149"/>
      <c r="D21" s="149"/>
    </row>
    <row r="22" spans="1:12" ht="15.75" x14ac:dyDescent="0.2">
      <c r="A22" s="149" t="s">
        <v>307</v>
      </c>
      <c r="B22" s="149"/>
      <c r="C22" s="149"/>
      <c r="D22" s="149"/>
      <c r="E22" s="149"/>
    </row>
    <row r="23" spans="1:12" ht="15.75" x14ac:dyDescent="0.25">
      <c r="A23" s="193" t="s">
        <v>308</v>
      </c>
    </row>
    <row r="24" spans="1:12" ht="15.75" x14ac:dyDescent="0.2">
      <c r="A24" s="222" t="s">
        <v>309</v>
      </c>
      <c r="B24" s="222"/>
      <c r="C24" s="222"/>
      <c r="D24" s="222"/>
    </row>
    <row r="25" spans="1:12" ht="15.75" x14ac:dyDescent="0.2">
      <c r="A25" s="222" t="s">
        <v>275</v>
      </c>
      <c r="B25" s="222"/>
      <c r="C25" s="222"/>
      <c r="D25" s="222"/>
      <c r="E25" s="222"/>
    </row>
    <row r="26" spans="1:12" ht="15.75" x14ac:dyDescent="0.2">
      <c r="A26" s="207" t="str">
        <f>"      (a)  EPF Challan No. "&amp;'working sheet'!B12</f>
        <v xml:space="preserve">      (a)  EPF Challan No. 4302507009888</v>
      </c>
      <c r="B26" s="207"/>
      <c r="C26" s="207"/>
      <c r="D26" s="207"/>
      <c r="E26" s="223"/>
      <c r="F26" s="207" t="s">
        <v>276</v>
      </c>
      <c r="G26" s="223">
        <f>'working sheet'!B13</f>
        <v>7500</v>
      </c>
      <c r="H26" s="207" t="s">
        <v>277</v>
      </c>
      <c r="I26" s="224">
        <f>'working sheet'!B14</f>
        <v>45877</v>
      </c>
    </row>
    <row r="27" spans="1:12" ht="15.75" x14ac:dyDescent="0.2">
      <c r="A27" s="580" t="s">
        <v>278</v>
      </c>
      <c r="B27" s="580"/>
      <c r="C27" s="580"/>
      <c r="D27" s="580"/>
      <c r="E27" s="580"/>
      <c r="F27" s="580"/>
    </row>
    <row r="28" spans="1:12" ht="15.75" x14ac:dyDescent="0.2">
      <c r="A28" s="207" t="str">
        <f>"      (a)  ESI Challan No. "&amp;'working sheet'!D12</f>
        <v xml:space="preserve">      (a)  ESI Challan No. 08125130856092</v>
      </c>
      <c r="B28" s="207"/>
      <c r="C28" s="149"/>
      <c r="F28" s="207" t="s">
        <v>276</v>
      </c>
      <c r="G28" s="223">
        <f>'working sheet'!D13</f>
        <v>43365</v>
      </c>
      <c r="H28" s="207" t="s">
        <v>277</v>
      </c>
      <c r="I28" s="224">
        <f>'working sheet'!D14</f>
        <v>45877</v>
      </c>
    </row>
    <row r="29" spans="1:12" ht="15.75" x14ac:dyDescent="0.2">
      <c r="A29" s="580"/>
      <c r="B29" s="580"/>
      <c r="C29" s="580"/>
      <c r="D29" s="580"/>
      <c r="E29" s="580"/>
      <c r="F29" s="580"/>
    </row>
    <row r="31" spans="1:12" ht="15" x14ac:dyDescent="0.2">
      <c r="A31" s="573" t="s">
        <v>279</v>
      </c>
      <c r="B31" s="574"/>
      <c r="C31" s="575"/>
      <c r="D31" s="573" t="s">
        <v>280</v>
      </c>
      <c r="E31" s="574"/>
      <c r="F31" s="574"/>
      <c r="G31" s="575"/>
      <c r="H31" s="576" t="s">
        <v>281</v>
      </c>
      <c r="I31" s="576"/>
      <c r="J31" s="576"/>
      <c r="K31" s="576"/>
    </row>
    <row r="32" spans="1:12" ht="15.75" x14ac:dyDescent="0.2">
      <c r="A32" s="581" t="s">
        <v>282</v>
      </c>
      <c r="B32" s="581"/>
      <c r="C32" s="581"/>
      <c r="D32" s="582" t="s">
        <v>111</v>
      </c>
      <c r="E32" s="583"/>
      <c r="F32" s="583"/>
      <c r="G32" s="584"/>
      <c r="H32" s="585" t="s">
        <v>111</v>
      </c>
      <c r="I32" s="585"/>
      <c r="J32" s="585"/>
      <c r="K32" s="585"/>
    </row>
    <row r="33" spans="1:11" ht="15.75" customHeight="1" x14ac:dyDescent="0.2">
      <c r="A33" s="586" t="s">
        <v>283</v>
      </c>
      <c r="B33" s="587"/>
      <c r="C33" s="588"/>
      <c r="D33" s="589" t="s">
        <v>111</v>
      </c>
      <c r="E33" s="590"/>
      <c r="F33" s="590"/>
      <c r="G33" s="591"/>
      <c r="H33" s="585" t="s">
        <v>111</v>
      </c>
      <c r="I33" s="585"/>
      <c r="J33" s="585"/>
      <c r="K33" s="585"/>
    </row>
    <row r="34" spans="1:11" ht="15.75" x14ac:dyDescent="0.2">
      <c r="A34" s="593" t="s">
        <v>284</v>
      </c>
      <c r="B34" s="594"/>
      <c r="C34" s="595"/>
      <c r="D34" s="589">
        <v>2</v>
      </c>
      <c r="E34" s="590"/>
      <c r="F34" s="590"/>
      <c r="G34" s="591"/>
      <c r="H34" s="585">
        <v>739</v>
      </c>
      <c r="I34" s="585"/>
      <c r="J34" s="585"/>
      <c r="K34" s="585"/>
    </row>
    <row r="35" spans="1:11" ht="15.75" customHeight="1" x14ac:dyDescent="0.2">
      <c r="A35" s="593" t="s">
        <v>285</v>
      </c>
      <c r="B35" s="594"/>
      <c r="C35" s="595"/>
      <c r="D35" s="589" t="s">
        <v>111</v>
      </c>
      <c r="E35" s="590"/>
      <c r="F35" s="590"/>
      <c r="G35" s="591"/>
      <c r="H35" s="585" t="s">
        <v>111</v>
      </c>
      <c r="I35" s="585"/>
      <c r="J35" s="585"/>
      <c r="K35" s="585"/>
    </row>
    <row r="36" spans="1:11" ht="15.75" x14ac:dyDescent="0.2">
      <c r="A36" s="596" t="s">
        <v>286</v>
      </c>
      <c r="B36" s="596"/>
      <c r="C36" s="596"/>
      <c r="D36" s="597">
        <f>SUM(D32:E35)</f>
        <v>2</v>
      </c>
      <c r="E36" s="598"/>
      <c r="F36" s="598"/>
      <c r="G36" s="599"/>
      <c r="H36" s="600"/>
      <c r="I36" s="600"/>
      <c r="J36" s="600"/>
      <c r="K36" s="600"/>
    </row>
    <row r="38" spans="1:11" ht="15.75" x14ac:dyDescent="0.25">
      <c r="A38" s="225"/>
      <c r="B38" s="225"/>
      <c r="C38" s="225"/>
      <c r="D38" s="28" t="s">
        <v>287</v>
      </c>
    </row>
    <row r="41" spans="1:11" ht="21" customHeight="1" x14ac:dyDescent="0.2">
      <c r="A41" s="226" t="s">
        <v>288</v>
      </c>
      <c r="B41" s="601" t="s">
        <v>314</v>
      </c>
      <c r="C41" s="601"/>
      <c r="D41" s="217"/>
    </row>
    <row r="42" spans="1:11" ht="15.75" x14ac:dyDescent="0.2">
      <c r="A42" s="226" t="s">
        <v>289</v>
      </c>
      <c r="B42" s="250">
        <v>45877</v>
      </c>
      <c r="C42" s="217"/>
      <c r="D42" s="217"/>
    </row>
    <row r="43" spans="1:11" ht="15.75" x14ac:dyDescent="0.2">
      <c r="A43" s="226"/>
      <c r="B43" s="227"/>
      <c r="C43" s="217"/>
      <c r="D43" s="217"/>
    </row>
    <row r="44" spans="1:11" ht="15.75" x14ac:dyDescent="0.2">
      <c r="A44" s="226"/>
      <c r="B44" s="227"/>
      <c r="C44" s="217"/>
      <c r="D44" s="217"/>
    </row>
    <row r="45" spans="1:11" ht="15.75" x14ac:dyDescent="0.2">
      <c r="A45" s="226"/>
      <c r="B45" s="227"/>
      <c r="C45" s="217"/>
      <c r="D45" s="217"/>
    </row>
    <row r="46" spans="1:11" ht="15.75" x14ac:dyDescent="0.2">
      <c r="A46" s="226"/>
      <c r="B46" s="227"/>
      <c r="C46" s="217"/>
      <c r="D46" s="217"/>
    </row>
    <row r="47" spans="1:11" ht="15.75" x14ac:dyDescent="0.2">
      <c r="A47" s="226"/>
      <c r="B47" s="227"/>
      <c r="C47" s="217"/>
      <c r="D47" s="217"/>
    </row>
    <row r="49" spans="1:11" ht="15" x14ac:dyDescent="0.25">
      <c r="F49" s="216"/>
    </row>
    <row r="50" spans="1:11" ht="15" x14ac:dyDescent="0.25">
      <c r="F50" s="216"/>
    </row>
    <row r="51" spans="1:11" ht="15" x14ac:dyDescent="0.25">
      <c r="F51" s="216"/>
      <c r="H51" s="216" t="s">
        <v>258</v>
      </c>
    </row>
    <row r="52" spans="1:11" ht="15" x14ac:dyDescent="0.25">
      <c r="F52" s="216"/>
      <c r="H52" s="216" t="s">
        <v>259</v>
      </c>
    </row>
    <row r="53" spans="1:11" ht="15" x14ac:dyDescent="0.25">
      <c r="F53" s="216"/>
      <c r="H53" s="216" t="s">
        <v>260</v>
      </c>
    </row>
    <row r="54" spans="1:11" ht="15" x14ac:dyDescent="0.25">
      <c r="F54" s="216"/>
      <c r="H54" s="216" t="s">
        <v>261</v>
      </c>
    </row>
    <row r="55" spans="1:11" ht="15.75" x14ac:dyDescent="0.25">
      <c r="G55" s="228"/>
      <c r="H55" s="216" t="s">
        <v>262</v>
      </c>
    </row>
    <row r="56" spans="1:11" ht="15" x14ac:dyDescent="0.25">
      <c r="H56" s="216" t="s">
        <v>263</v>
      </c>
    </row>
    <row r="58" spans="1:11" ht="15" x14ac:dyDescent="0.25">
      <c r="A58" s="229" t="str">
        <f>"Invoice No.: "&amp;'working sheet'!B6</f>
        <v>Invoice No.: SSI/</v>
      </c>
      <c r="G58" s="230"/>
      <c r="H58" s="602">
        <f>'working sheet'!B8</f>
        <v>45902</v>
      </c>
      <c r="I58" s="602"/>
      <c r="J58" s="602"/>
      <c r="K58" s="602"/>
    </row>
    <row r="59" spans="1:11" ht="15.75" customHeight="1" x14ac:dyDescent="0.2"/>
    <row r="60" spans="1:11" ht="15.75" x14ac:dyDescent="0.2">
      <c r="A60" s="232" t="s">
        <v>315</v>
      </c>
    </row>
    <row r="61" spans="1:11" ht="15.75" x14ac:dyDescent="0.2">
      <c r="A61" s="232" t="s">
        <v>316</v>
      </c>
    </row>
    <row r="62" spans="1:11" ht="15.75" x14ac:dyDescent="0.2">
      <c r="A62" s="232" t="s">
        <v>317</v>
      </c>
      <c r="B62" s="233"/>
      <c r="C62" s="233"/>
      <c r="D62" s="233"/>
      <c r="E62" s="233"/>
    </row>
    <row r="63" spans="1:11" x14ac:dyDescent="0.2">
      <c r="A63" s="234"/>
    </row>
    <row r="64" spans="1:11" ht="15" x14ac:dyDescent="0.2">
      <c r="A64" s="592" t="s">
        <v>318</v>
      </c>
      <c r="B64" s="592"/>
      <c r="C64" s="592"/>
      <c r="D64" s="592"/>
      <c r="E64" s="592"/>
      <c r="F64" s="592"/>
      <c r="G64" s="592"/>
      <c r="H64" s="592"/>
      <c r="I64" s="592"/>
      <c r="J64" s="592"/>
      <c r="K64" s="592"/>
    </row>
    <row r="65" spans="1:9" ht="15.75" x14ac:dyDescent="0.25">
      <c r="A65" s="231"/>
    </row>
    <row r="66" spans="1:9" ht="14.25" x14ac:dyDescent="0.25">
      <c r="A66" s="235" t="str">
        <f>"Subject: "&amp;'working sheet'!C9&amp;" – Invoice No. "&amp;'working sheet'!B6&amp;" for the Month of "&amp;'working sheet'!B10&amp;" assistance for digitization services in documents"</f>
        <v>Subject: RA BILL NO-20 – Invoice No. SSI/ for the Month of AUGUST-2025 assistance for digitization services in documents</v>
      </c>
    </row>
    <row r="67" spans="1:9" ht="14.25" x14ac:dyDescent="0.25">
      <c r="A67" s="235" t="s">
        <v>321</v>
      </c>
    </row>
    <row r="69" spans="1:9" ht="14.25" x14ac:dyDescent="0.25">
      <c r="A69" s="235" t="s">
        <v>319</v>
      </c>
    </row>
    <row r="70" spans="1:9" ht="15.75" x14ac:dyDescent="0.25">
      <c r="A70" s="231"/>
      <c r="B70" s="216"/>
      <c r="C70" s="216"/>
      <c r="D70" s="216"/>
      <c r="E70" s="216"/>
      <c r="F70" s="216"/>
      <c r="G70" s="216"/>
      <c r="H70" s="216"/>
      <c r="I70" s="216"/>
    </row>
    <row r="71" spans="1:9" ht="15" x14ac:dyDescent="0.25">
      <c r="A71" s="235" t="s">
        <v>290</v>
      </c>
      <c r="B71" s="216"/>
      <c r="C71" s="216"/>
      <c r="D71" s="216"/>
      <c r="E71" s="216"/>
      <c r="F71" s="216"/>
      <c r="G71" s="216"/>
      <c r="H71" s="216"/>
      <c r="I71" s="216"/>
    </row>
    <row r="72" spans="1:9" ht="15" x14ac:dyDescent="0.25">
      <c r="A72" s="235"/>
      <c r="B72" s="216"/>
      <c r="C72" s="216"/>
      <c r="D72" s="216"/>
      <c r="E72" s="216"/>
      <c r="F72" s="216"/>
      <c r="G72" s="216"/>
      <c r="H72" s="216"/>
      <c r="I72" s="216"/>
    </row>
    <row r="73" spans="1:9" ht="15" x14ac:dyDescent="0.25">
      <c r="A73" s="235" t="str">
        <f>"We are submitting "&amp;'working sheet'!C9&amp;", Invoice No.- "&amp;'working sheet'!B6&amp;" for the period of "&amp;'working sheet'!B5&amp;" for assistance for "</f>
        <v xml:space="preserve">We are submitting RA BILL NO-20, Invoice No.- SSI/ for the period of 01 Aug 2025 To 31 Aug 2025 for assistance for </v>
      </c>
      <c r="B73" s="216"/>
      <c r="C73" s="216"/>
      <c r="D73" s="216"/>
      <c r="E73" s="216"/>
      <c r="F73" s="216"/>
      <c r="G73" s="216"/>
      <c r="H73" s="216"/>
      <c r="I73" s="216"/>
    </row>
    <row r="74" spans="1:9" ht="15" x14ac:dyDescent="0.25">
      <c r="A74" s="235" t="s">
        <v>320</v>
      </c>
      <c r="B74" s="216"/>
      <c r="C74" s="216"/>
      <c r="D74" s="216"/>
      <c r="E74" s="216"/>
      <c r="F74" s="216"/>
      <c r="G74" s="216"/>
      <c r="H74" s="216"/>
      <c r="I74" s="216"/>
    </row>
    <row r="75" spans="1:9" ht="15" x14ac:dyDescent="0.25">
      <c r="A75" s="235"/>
      <c r="B75" s="216"/>
      <c r="C75" s="216"/>
      <c r="D75" s="216"/>
      <c r="E75" s="216"/>
      <c r="F75" s="216"/>
      <c r="G75" s="216"/>
      <c r="H75" s="216"/>
      <c r="I75" s="216"/>
    </row>
    <row r="76" spans="1:9" ht="14.25" x14ac:dyDescent="0.25">
      <c r="A76" s="235" t="str">
        <f>"The  total  bill  amount  is  INR  "&amp;'working sheet'!B16</f>
        <v>The  total  bill  amount  is  INR  57609</v>
      </c>
      <c r="E76" s="236" t="e">
        <f ca="1">[2]!SpellNumber('working sheet'!B16)</f>
        <v>#NAME?</v>
      </c>
    </row>
    <row r="77" spans="1:9" ht="15.75" x14ac:dyDescent="0.25">
      <c r="A77" s="231"/>
    </row>
    <row r="78" spans="1:9" ht="14.25" x14ac:dyDescent="0.25">
      <c r="A78" s="235" t="s">
        <v>291</v>
      </c>
    </row>
    <row r="79" spans="1:9" ht="15" x14ac:dyDescent="0.25">
      <c r="A79" s="235" t="s">
        <v>292</v>
      </c>
      <c r="B79" s="216"/>
    </row>
    <row r="80" spans="1:9" ht="15" x14ac:dyDescent="0.25">
      <c r="A80" s="235" t="s">
        <v>293</v>
      </c>
      <c r="B80" s="216"/>
    </row>
    <row r="81" spans="1:3" ht="15" x14ac:dyDescent="0.25">
      <c r="A81" s="235" t="s">
        <v>294</v>
      </c>
      <c r="B81" s="216"/>
    </row>
    <row r="82" spans="1:3" ht="15" x14ac:dyDescent="0.25">
      <c r="A82" s="235" t="s">
        <v>295</v>
      </c>
      <c r="B82" s="216"/>
    </row>
    <row r="83" spans="1:3" ht="15" x14ac:dyDescent="0.25">
      <c r="A83" s="235" t="s">
        <v>296</v>
      </c>
      <c r="B83" s="216"/>
    </row>
    <row r="85" spans="1:3" ht="14.25" x14ac:dyDescent="0.25">
      <c r="A85" s="235" t="s">
        <v>297</v>
      </c>
    </row>
    <row r="87" spans="1:3" ht="15" x14ac:dyDescent="0.25">
      <c r="A87" s="235" t="s">
        <v>298</v>
      </c>
      <c r="B87" s="216"/>
      <c r="C87" s="216"/>
    </row>
    <row r="88" spans="1:3" ht="15" x14ac:dyDescent="0.25">
      <c r="A88" s="235" t="s">
        <v>299</v>
      </c>
      <c r="B88" s="216"/>
      <c r="C88" s="216"/>
    </row>
    <row r="89" spans="1:3" ht="15" x14ac:dyDescent="0.25">
      <c r="A89" s="235" t="s">
        <v>258</v>
      </c>
      <c r="B89" s="216"/>
      <c r="C89" s="216"/>
    </row>
    <row r="90" spans="1:3" ht="15" x14ac:dyDescent="0.25">
      <c r="A90" s="235" t="s">
        <v>300</v>
      </c>
      <c r="B90" s="216"/>
      <c r="C90" s="216"/>
    </row>
    <row r="91" spans="1:3" ht="14.25" x14ac:dyDescent="0.25">
      <c r="A91" s="235"/>
    </row>
    <row r="92" spans="1:3" ht="14.25" x14ac:dyDescent="0.25">
      <c r="A92" s="235"/>
    </row>
    <row r="93" spans="1:3" ht="14.25" x14ac:dyDescent="0.25">
      <c r="A93" s="235" t="s">
        <v>301</v>
      </c>
    </row>
    <row r="94" spans="1:3" ht="14.25" x14ac:dyDescent="0.25">
      <c r="A94" s="235" t="s">
        <v>302</v>
      </c>
    </row>
    <row r="95" spans="1:3" ht="14.25" x14ac:dyDescent="0.25">
      <c r="A95" s="235" t="s">
        <v>303</v>
      </c>
    </row>
    <row r="96" spans="1:3" ht="14.25" x14ac:dyDescent="0.25">
      <c r="A96" s="235" t="s">
        <v>304</v>
      </c>
    </row>
  </sheetData>
  <mergeCells count="26">
    <mergeCell ref="A64:K64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8:K58"/>
    <mergeCell ref="A32:C32"/>
    <mergeCell ref="D32:G32"/>
    <mergeCell ref="H32:K32"/>
    <mergeCell ref="A33:C33"/>
    <mergeCell ref="D33:G33"/>
    <mergeCell ref="H33:K33"/>
    <mergeCell ref="A31:C31"/>
    <mergeCell ref="D31:G31"/>
    <mergeCell ref="H31:K31"/>
    <mergeCell ref="A8:K8"/>
    <mergeCell ref="J9:K9"/>
    <mergeCell ref="A10:K10"/>
    <mergeCell ref="A27:F27"/>
    <mergeCell ref="A29:F29"/>
  </mergeCells>
  <hyperlinks>
    <hyperlink ref="H55" r:id="rId1" display="mailto:snsitech@gmail.com" xr:uid="{00000000-0004-0000-0900-000000000000}"/>
    <hyperlink ref="H56" r:id="rId2" display="http://www.snsinfotech.com/" xr:uid="{00000000-0004-0000-0900-000001000000}"/>
    <hyperlink ref="H5" r:id="rId3" display="mailto:snsitech@gmail.com" xr:uid="{00000000-0004-0000-0900-000002000000}"/>
    <hyperlink ref="H6" r:id="rId4" display="http://www.snsinfotech.com/" xr:uid="{00000000-0004-0000-0900-000003000000}"/>
  </hyperlinks>
  <pageMargins left="0.45" right="0.45" top="0.5" bottom="0.5" header="0.5" footer="0.5"/>
  <pageSetup orientation="portrait" r:id="rId5"/>
  <drawing r:id="rId6"/>
</worksheet>
</file>

<file path=docMetadata/LabelInfo.xml><?xml version="1.0" encoding="utf-8"?>
<clbl:labelList xmlns:clbl="http://schemas.microsoft.com/office/2020/mipLabelMetadata">
  <clbl:label id="{0702bf62-88e6-456d-b298-e2abb13de1ea}" enabled="1" method="Standard" siteId="{548d26ab-8caa-49e1-97c2-a1b1a06cc39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Credit Note</vt:lpstr>
      <vt:lpstr>Tax Invoice</vt:lpstr>
      <vt:lpstr>MOP</vt:lpstr>
      <vt:lpstr>Sheet1</vt:lpstr>
      <vt:lpstr>AOC</vt:lpstr>
      <vt:lpstr>DIFF</vt:lpstr>
      <vt:lpstr>Sheet2</vt:lpstr>
      <vt:lpstr>FORM B-(Wage Reg.)</vt:lpstr>
      <vt:lpstr>working sheet</vt:lpstr>
      <vt:lpstr>PERFORMA PFD</vt:lpstr>
      <vt:lpstr>CompName</vt:lpstr>
      <vt:lpstr>CompPerson</vt:lpstr>
      <vt:lpstr>CompPrincName</vt:lpstr>
      <vt:lpstr>DetRw</vt:lpstr>
      <vt:lpstr>HeadRw</vt:lpstr>
      <vt:lpstr>LIN</vt:lpstr>
      <vt:lpstr>PrincLIN</vt:lpstr>
      <vt:lpstr>'Credit Note'!Print_Area</vt:lpstr>
      <vt:lpstr>DIFF!Print_Area</vt:lpstr>
      <vt:lpstr>'FORM B-(Wage Reg.)'!Print_Area</vt:lpstr>
      <vt:lpstr>MOP!Print_Area</vt:lpstr>
      <vt:lpstr>'Tax Invoice'!Print_Area</vt:lpstr>
      <vt:lpstr>'FORM B-(Wage Reg.)'!Print_Titles</vt:lpstr>
      <vt:lpstr>SNRw</vt:lpstr>
      <vt:lpstr>WgPrd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P-III</dc:creator>
  <cp:lastModifiedBy>Abhishek Chauhan</cp:lastModifiedBy>
  <cp:lastPrinted>2025-11-19T19:46:35Z</cp:lastPrinted>
  <dcterms:created xsi:type="dcterms:W3CDTF">2006-12-28T04:05:10Z</dcterms:created>
  <dcterms:modified xsi:type="dcterms:W3CDTF">2025-11-19T19:53:18Z</dcterms:modified>
</cp:coreProperties>
</file>