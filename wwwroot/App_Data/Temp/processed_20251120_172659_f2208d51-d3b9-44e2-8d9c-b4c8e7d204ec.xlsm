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styles+xml" PartName="/xl/styles.xml"/>
  <Override ContentType="application/vnd.openxmlformats-officedocument.drawing+xml" PartName="/xl/drawings/drawing1.xml"/>
  <Default ContentType="image/png" Extension="png"/>
  <Default ContentType="image/jpeg" Extension="jpg"/>
  <Override ContentType="application/vnd.openxmlformats-officedocument.spreadsheetml.worksheet+xml" PartName="/xl/worksheets/sheet2.xml"/>
  <Override ContentType="application/vnd.openxmlformats-officedocument.drawing+xml" PartName="/xl/drawings/drawing2.xml"/>
  <Override ContentType="application/vnd.openxmlformats-officedocument.spreadsheetml.worksheet+xml" PartName="/xl/worksheets/sheet3.xml"/>
  <Override ContentType="application/vnd.openxmlformats-officedocument.drawing+xml" PartName="/xl/drawings/drawing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vmlDrawing" PartName="/xl/drawings/vmlDrawing8.vml"/>
  <Override ContentType="application/vnd.openxmlformats-officedocument.drawing+xml" PartName="/xl/drawings/drawing8.xml"/>
  <Override ContentType="application/vnd.ms-excel.controlproperties+xml" PartName="/xl/ctrlProps/ctrlProp1.xml"/>
  <Override ContentType="application/vnd.openxmlformats-officedocument.spreadsheetml.worksheet+xml" PartName="/xl/worksheets/sheet9.xml"/>
  <Override ContentType="application/vnd.openxmlformats-officedocument.drawing+xml" PartName="/xl/drawings/drawing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text/plain" PartName="/EPPlusLicense.txt"/>
  <Override ContentType="application/vnd.openxmlformats-officedocument.spreadsheetml.sharedStrings+xml" PartName="/xl/sharedStrings.xml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:r="http://schemas.openxmlformats.org/officeDocument/2006/relationships" xmlns="http://schemas.openxmlformats.org/spreadsheetml/2006/main">
  <bookViews>
    <workbookView/>
  </bookViews>
  <sheets>
    <sheet name="DEBIT NOTE" sheetId="1" r:id="rId1"/>
    <sheet name="TAX INVOICE" sheetId="2" r:id="rId3"/>
    <sheet name="MOP" sheetId="3" r:id="rId4"/>
    <sheet name="ABSTRACT" sheetId="4" r:id="rId5"/>
    <sheet name="MB" sheetId="5" r:id="rId6"/>
    <sheet name="WAGE REV." sheetId="6" r:id="rId7"/>
    <sheet name="FORM B" sheetId="7" r:id="rId8"/>
    <sheet name="Working Sheet" sheetId="8" r:id="rId9"/>
    <sheet name="PERFORMA PFD" sheetId="9" r:id="rId10"/>
    <sheet name="FORMB-DEC24" sheetId="10" r:id="rId11"/>
    <sheet name="Sheet1" sheetId="11" r:id="rId12"/>
  </sheets>
  <definedNames>
    <definedName name="_xlnm._FilterDatabase" localSheetId="6" hidden="1">'FORM B'!$A$22:$AJ$54</definedName>
    <definedName name="_xlnm._FilterDatabase" localSheetId="4" hidden="1">MB!$A$8:$I$45</definedName>
    <definedName name="_xlnm.Print_Area" localSheetId="3">ABSTRACT!$A$1:$M$79</definedName>
    <definedName name="_xlnm.Print_Area" localSheetId="0">'DEBIT NOTE'!$A$1:$J$59</definedName>
    <definedName name="_xlnm.Print_Area" localSheetId="6">'FORM B'!$A$1:$AF$51</definedName>
    <definedName name="_xlnm.Print_Area" localSheetId="9">'FORMB-DEC24'!$A$1:$AB$42</definedName>
    <definedName name="_xlnm.Print_Area" localSheetId="2">MOP!$A$1:$K$38</definedName>
    <definedName name="_xlnm.Print_Area" localSheetId="8">'PERFORMA PFD'!$A$1:$K$97</definedName>
    <definedName name="_xlnm.Print_Area" localSheetId="1">'TAX INVOICE'!$A$1:$J$55</definedName>
    <definedName name="_xlnm.Print_Area" localSheetId="5">'WAGE REV.'!$A$1:$N$26</definedName>
    <definedName name="_xlnm.Print_Titles" localSheetId="3">ABSTRACT!$1:$11</definedName>
    <definedName name="_xlnm.Print_Titles" localSheetId="6">'FORM B'!$1:$22</definedName>
    <definedName name="_xlnm.Print_Titles" localSheetId="4">MB!$1:$9</definedName>
  </definedNames>
  <calcPr fullCalcOnLoad="1" fullPrecision="1"/>
</workbook>
</file>

<file path=xl/sharedStrings.xml><?xml version="1.0" encoding="utf-8"?>
<sst xmlns="http://schemas.openxmlformats.org/spreadsheetml/2006/main" count="498" uniqueCount="498">
  <si>
    <t xml:space="preserve">                 DEBIT NOTE</t>
  </si>
  <si>
    <t xml:space="preserve">  Original for Buyer / Recipient</t>
  </si>
  <si>
    <t xml:space="preserve">  Duplicate for Transporter</t>
  </si>
  <si>
    <t xml:space="preserve">  Triplicate for Supplier</t>
  </si>
  <si>
    <t>DEBIT NOTE NUMBER</t>
  </si>
  <si>
    <t>DEBIT NOTE DATE</t>
  </si>
  <si>
    <t>INVOICE NUMBER</t>
  </si>
  <si>
    <t>INVOICE DATE</t>
  </si>
  <si>
    <t>STATE</t>
  </si>
  <si>
    <t>ANDHRA PRADESH</t>
  </si>
  <si>
    <t xml:space="preserve">STATE CODE </t>
  </si>
  <si>
    <t>DATE OF SUPPLY</t>
  </si>
  <si>
    <t>01-06-2025 TO 31-07-2025</t>
  </si>
  <si>
    <t>VENDOR CODE</t>
  </si>
  <si>
    <t>PLACE OF SUPPLY</t>
  </si>
  <si>
    <t>GAIL-RAJAHMUNDRY (K.G. BASIN)</t>
  </si>
  <si>
    <t>WORK ORDER NO</t>
  </si>
  <si>
    <t>GAIL/SR20109599/5300038948/C-43/22/SKK</t>
  </si>
  <si>
    <t>Details of Buyer</t>
  </si>
  <si>
    <t>Shipped To</t>
  </si>
  <si>
    <t>NAME</t>
  </si>
  <si>
    <t>M/S. GAIL (INDIA) LIMITED</t>
  </si>
  <si>
    <t>SINGH AND SONS INFOTECH PRIVATE LIMITED</t>
  </si>
  <si>
    <t>ADDRESS</t>
  </si>
  <si>
    <t>Gail Bhavan, A.V. Apparao Road,</t>
  </si>
  <si>
    <t>21, Indra Nagar</t>
  </si>
  <si>
    <t>Rajahmundry - 533103</t>
  </si>
  <si>
    <t>Dibiyapur - 206244</t>
  </si>
  <si>
    <t xml:space="preserve">Dist: East Godavari </t>
  </si>
  <si>
    <t>Dist: Auraiya</t>
  </si>
  <si>
    <t xml:space="preserve">STATE </t>
  </si>
  <si>
    <t>UTTAR PRADESH</t>
  </si>
  <si>
    <t>GSTIN</t>
  </si>
  <si>
    <t>37AAACG1209J1ZV</t>
  </si>
  <si>
    <t>09ABDCS1757M1ZU</t>
  </si>
  <si>
    <t>STATE CODE</t>
  </si>
  <si>
    <t>09</t>
  </si>
  <si>
    <r>
      <t xml:space="preserve">Annual Maintenance Contract for Housekeeping &amp; Sanitation Services at Gail KG Basin Terminals _x000A_M/S. GAIL (INDIA) LIMITED for the Month of </t>
    </r>
    <r>
      <rPr>
        <rFont val="Calibri"/>
        <family val="2"/>
        <b/>
        <color indexed="8"/>
        <sz val="11"/>
      </rPr>
      <t>JUN</t>
    </r>
    <r>
      <rPr>
        <rFont val="Calibri"/>
        <family val="2"/>
        <b/>
        <color indexed="8"/>
        <sz val="11"/>
      </rPr>
      <t xml:space="preserve">-2025 &amp; JULY-2025 </t>
    </r>
  </si>
  <si>
    <t>Sr. No</t>
  </si>
  <si>
    <t>Name of Product / Service</t>
  </si>
  <si>
    <t>No. of Pack</t>
  </si>
  <si>
    <t>HSN / SAC Code</t>
  </si>
  <si>
    <t>UOM</t>
  </si>
  <si>
    <t>Qty</t>
  </si>
  <si>
    <t>Amount</t>
  </si>
  <si>
    <t>Taxable Value</t>
  </si>
  <si>
    <t>GAIL KG BASIN (HOUSEKEPING MATERIALS)</t>
  </si>
  <si>
    <t>VIJJESWARAM</t>
  </si>
  <si>
    <t>LS</t>
  </si>
  <si>
    <t>KAKINADA</t>
  </si>
  <si>
    <t>TATIPAKA</t>
  </si>
  <si>
    <t>GUDIWADA</t>
  </si>
  <si>
    <t>LANCO</t>
  </si>
  <si>
    <t>VADISALERU</t>
  </si>
  <si>
    <t>TOTAL VALUE OF MATERIALS</t>
  </si>
  <si>
    <t>Total Amount Before Tax</t>
  </si>
  <si>
    <t>Add: IGST@00%</t>
  </si>
  <si>
    <t>Add: Other@00%</t>
  </si>
  <si>
    <t xml:space="preserve">Total Amount (with GST) : </t>
  </si>
  <si>
    <t>Bank Account No : 39075399225, State Bank of India, Pata</t>
  </si>
  <si>
    <t xml:space="preserve">PAN  No : ABDCS1757M</t>
  </si>
  <si>
    <t>GST Payable on Reverse Charge or Not : N.A.</t>
  </si>
  <si>
    <t>Certified that the particulars given above are true and correct.</t>
  </si>
  <si>
    <t>For Singh and Sons InfoTech Pvt. Ltd.</t>
  </si>
  <si>
    <t>Authorised Signatory</t>
  </si>
  <si>
    <t xml:space="preserve">                TAX INVOICE</t>
  </si>
  <si>
    <t>GAIL KG BASIN</t>
  </si>
  <si>
    <t>MON</t>
  </si>
  <si>
    <t>SUPERVISORS</t>
  </si>
  <si>
    <t>TOTAL VALUE OF SERVICES</t>
  </si>
  <si>
    <t>Add: IGST@18%</t>
  </si>
  <si>
    <t>Add: Others</t>
  </si>
  <si>
    <t xml:space="preserve">                  MEMORANDUM OF PAYMENT (MOP)                    </t>
  </si>
  <si>
    <t>Name of Contractor</t>
  </si>
  <si>
    <t>M/s. SINGH AND SONS INFOTECH PRIVATE LIMITED</t>
  </si>
  <si>
    <t>Nature of Work</t>
  </si>
  <si>
    <t>HIRING OF CONTRACT FOR HOUSEKEEPING SERVICES AT GAIL KG BASIN BASE STATION/TERMINALS &amp; ITS ASSOCIATED INSTALLATION FOR A PERIOD OF 2 YRS.</t>
  </si>
  <si>
    <t>Work Order No.</t>
  </si>
  <si>
    <t>GAIL/SR20109599/5300038948/C-43/22/SKK/DATED: 03.06.2023</t>
  </si>
  <si>
    <t>Contract Completion date</t>
  </si>
  <si>
    <t>04.06.2025 (24 Months from 05.06.2023)</t>
  </si>
  <si>
    <t>Contract Value Rs.</t>
  </si>
  <si>
    <t>Rs. 1,82,61,680.00</t>
  </si>
  <si>
    <t>Bank Guarantee No/ Amount/ Validity</t>
  </si>
  <si>
    <t>CTX976225400001/INR 2,38,620.00/- Validity as per GAIL rules</t>
  </si>
  <si>
    <t>Bill No &amp; Date</t>
  </si>
  <si>
    <t>Period of Measurement :</t>
  </si>
  <si>
    <t>S. No.</t>
  </si>
  <si>
    <t>Description of Work/Job Done</t>
  </si>
  <si>
    <t>Up to Prev. Bill ( Rs.)</t>
  </si>
  <si>
    <t>Current Bill (Rs.)</t>
  </si>
  <si>
    <t>Cumm Till Date (Rs.)</t>
  </si>
  <si>
    <t>Net Value of work done</t>
  </si>
  <si>
    <t>ADD:- IGST @ 18%</t>
  </si>
  <si>
    <t>ADD:- OTHERS @ 00%</t>
  </si>
  <si>
    <t>Total gross work done value (Amt. including GST)</t>
  </si>
  <si>
    <t xml:space="preserve">Deduction - TDS Against IGST @ 02% </t>
  </si>
  <si>
    <t>Deduction - Income Tax @ 02%</t>
  </si>
  <si>
    <t>Release of Retention/ PRS if any as per statement</t>
  </si>
  <si>
    <t xml:space="preserve">Net Amount Payable 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</si>
  <si>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</si>
  <si>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</si>
  <si>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</si>
  <si>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All the inspection reports including preceding activities, qualifying the stage payment have been verified.</t>
  </si>
  <si>
    <t>Sign</t>
  </si>
  <si>
    <t>For SINGH AND SONS INFOTECH</t>
  </si>
  <si>
    <t>For GAIL (INDIA) LIMITED-RAJAHMUNDRY</t>
  </si>
  <si>
    <t>Name</t>
  </si>
  <si>
    <t>Shri B.K Singh,</t>
  </si>
  <si>
    <t>Shri Y V S Murthy,</t>
  </si>
  <si>
    <t>Date</t>
  </si>
  <si>
    <t>Manager (HR)</t>
  </si>
  <si>
    <t>ABSTRACT OF COST</t>
  </si>
  <si>
    <t>:</t>
  </si>
  <si>
    <t>INVOICE DURATION</t>
  </si>
  <si>
    <t xml:space="preserve">LOA NO. </t>
  </si>
  <si>
    <t>LOA DATE</t>
  </si>
  <si>
    <t>DURATION OF WORK</t>
  </si>
  <si>
    <t>From 05.06.2023 To 04.06.2025</t>
  </si>
  <si>
    <t>VENDER CODE</t>
  </si>
  <si>
    <t xml:space="preserve">NAME OF WORK : HIRING OF CONTRACT  FOR HOUSEKEEPING SERVICES AT GAIL KG BASIN  BASE STATION/TERMINALS AND ITS ASSOCIATED INSTALLATION FOR A PERIOD OF 2 YEARS</t>
  </si>
  <si>
    <t>Item No.</t>
  </si>
  <si>
    <t>Sr.No.</t>
  </si>
  <si>
    <t>Job Description</t>
  </si>
  <si>
    <t>Total Qty./Rate / Amount as per SOR</t>
  </si>
  <si>
    <t>Qty. Consumed Upto Previous RA Bill</t>
  </si>
  <si>
    <t>Current Month RA Bill</t>
  </si>
  <si>
    <t>Total Qty Consumed Till Closure of Current Month RA Bill</t>
  </si>
  <si>
    <t>UoM</t>
  </si>
  <si>
    <t>Qty.</t>
  </si>
  <si>
    <t>Rate</t>
  </si>
  <si>
    <t>Total amount (For 2 Years)</t>
  </si>
  <si>
    <t>HOUSEKEEPING SERVICES FOR VIJJESHWARAM</t>
  </si>
  <si>
    <t>Labour Cost</t>
  </si>
  <si>
    <t>Service Charges</t>
  </si>
  <si>
    <t>Over Head Charges</t>
  </si>
  <si>
    <t>Total</t>
  </si>
  <si>
    <t>HOUSEKEEPING SERVICES FOR KAKINADA</t>
  </si>
  <si>
    <t>HOUSEKEEPING SERVICES FOR TATIPAKA</t>
  </si>
  <si>
    <t>HOUSEKEEPING SERVICES FOR GUDIWADA</t>
  </si>
  <si>
    <t>HOUSEKEEPING SERVICES FOR LANCO</t>
  </si>
  <si>
    <t>HOUSEKEEPING SERVICES FOR VADISALERU LAB</t>
  </si>
  <si>
    <t>CHARGES FOR MANPOWER (SUPERVIOR)</t>
  </si>
  <si>
    <t xml:space="preserve">As Per SOR/
QUOTED</t>
  </si>
  <si>
    <t>SUB TOTAL - 1 (INR)</t>
  </si>
  <si>
    <t>-</t>
  </si>
  <si>
    <t>IGST@18%</t>
  </si>
  <si>
    <t>GRAND TOTAL (INR)</t>
  </si>
  <si>
    <t>HOUSEKEEPING MATERIALS FOR VJM BASE</t>
  </si>
  <si>
    <t>H/K Materials For Vijjeshwaram Base</t>
  </si>
  <si>
    <t>HOUSEKEEPING MATERIALS FOR KAKINADA BASE</t>
  </si>
  <si>
    <t>H/K Materials For Kakinada Base</t>
  </si>
  <si>
    <t>HOUSEKEEPING MATERIALS FOR TATIPAKA BASE</t>
  </si>
  <si>
    <t>H/K Materials For Tatipaka Base</t>
  </si>
  <si>
    <t>HOUSEKEEPING MATERIALS FOR GUDIWADA BASE</t>
  </si>
  <si>
    <t>H/K Materials For Gudiwada Base</t>
  </si>
  <si>
    <t>HOUSEKEEPING MATERIALS FOR LANCO BASE</t>
  </si>
  <si>
    <t>H/K Materials For Lanco Base</t>
  </si>
  <si>
    <t>HOUSEKEEPING MATERIALS FOR VADISALERU BASE</t>
  </si>
  <si>
    <t>H/K Materials For Vadisaleru Base</t>
  </si>
  <si>
    <t>SUB TOTAL- 2 (INR)</t>
  </si>
  <si>
    <t>IGST@0%</t>
  </si>
  <si>
    <t>PREMIUMS &amp; SAFETY KITS</t>
  </si>
  <si>
    <t>Premiums for GPA,PMJJBY,PMSBY</t>
  </si>
  <si>
    <t>SUB TOTAL - 3 (INR)</t>
  </si>
  <si>
    <t xml:space="preserve"> TOTAL -1+2+3  (INR)</t>
  </si>
  <si>
    <t>MEASUREMENT BOOK</t>
  </si>
  <si>
    <t xml:space="preserve">SUBJECT  : HIRING OF CONTRACT FOR HOUSEKEEPING SERVICES AT GAIL KG BASIN  BASE STATION/TERMINALS AND ITS ASSOCIATED INSTALLATION FOR A PERIOD OF 2 YEARS</t>
  </si>
  <si>
    <t>W.O. NO : GAIL/SR20109599/5300038948/C-43/22/SSK Dated: 03.06.2023</t>
  </si>
  <si>
    <t xml:space="preserve">SL. NO. </t>
  </si>
  <si>
    <t>SERVICE UNIT</t>
  </si>
  <si>
    <t>Sr. No. in Employee/ Workman/ Worker Register</t>
  </si>
  <si>
    <t>NAME (SH./SMT.)</t>
  </si>
  <si>
    <t xml:space="preserve">MAXIMUM NOS. OF MANDAYS IN 
A MONTH</t>
  </si>
  <si>
    <t>BILLING QUANTITY</t>
  </si>
  <si>
    <t>TOTAL NOS. OF MANDAYS CONSUMED</t>
  </si>
  <si>
    <t>QUANTITY</t>
  </si>
  <si>
    <t>REMARKS</t>
  </si>
  <si>
    <t>VIJJESHWARAM</t>
  </si>
  <si>
    <t>GAILHKP002</t>
  </si>
  <si>
    <t>A RAM BABU</t>
  </si>
  <si>
    <t>GAILHKP016</t>
  </si>
  <si>
    <t>NAKKA JYOTHI BABU</t>
  </si>
  <si>
    <t>GAILHKP018</t>
  </si>
  <si>
    <t>PASALAPUDI SATISH</t>
  </si>
  <si>
    <t>GAILHKP019</t>
  </si>
  <si>
    <t>PASALAPUDI SUBBARAJU</t>
  </si>
  <si>
    <t>GAILHKP020</t>
  </si>
  <si>
    <t>PETTA BABI KRISHNA</t>
  </si>
  <si>
    <t>GAILHKP025</t>
  </si>
  <si>
    <t>THOTAKURA RAMA DURGARAO</t>
  </si>
  <si>
    <t>GAILHKP004</t>
  </si>
  <si>
    <t>CHETLA SUGUNA RAO</t>
  </si>
  <si>
    <t>GAILHKP005</t>
  </si>
  <si>
    <t>CHINTHALA VEERA SUBRAMANYAM</t>
  </si>
  <si>
    <t>GAILHKP008</t>
  </si>
  <si>
    <t>GOLLA MOHAN RAO</t>
  </si>
  <si>
    <t>GAILHKP010</t>
  </si>
  <si>
    <t>GUTHURTI SRINU</t>
  </si>
  <si>
    <t>GAILHKP011</t>
  </si>
  <si>
    <t>KAKI YESU</t>
  </si>
  <si>
    <t>GAILHKP017</t>
  </si>
  <si>
    <t>PALIVELA LAKSHMI</t>
  </si>
  <si>
    <t>GAILHKP012</t>
  </si>
  <si>
    <t>KOLLU SRINIVAS</t>
  </si>
  <si>
    <t>GAILHKP013</t>
  </si>
  <si>
    <t>M V L KUMAR</t>
  </si>
  <si>
    <t>GAILHKP014</t>
  </si>
  <si>
    <t>MATTAPARTHI SATYANARAYANA</t>
  </si>
  <si>
    <t>GAILHKP022</t>
  </si>
  <si>
    <t>SAVARAPU PRABHAKARA RAO</t>
  </si>
  <si>
    <t>GAILHKP030</t>
  </si>
  <si>
    <t>T RAJA SEKHAR</t>
  </si>
  <si>
    <t>GAILHKP026</t>
  </si>
  <si>
    <t>VADDI SRINIVAS</t>
  </si>
  <si>
    <t>GAILHKP031</t>
  </si>
  <si>
    <t>NAKKA SRINIVAS</t>
  </si>
  <si>
    <t>GAILHKP029</t>
  </si>
  <si>
    <t>PARASA VENKATESWARA RAO</t>
  </si>
  <si>
    <t>GAILHKP024</t>
  </si>
  <si>
    <t>THOMMANDRA SIVA RAMA KRISHNA</t>
  </si>
  <si>
    <t>GAILHKP027</t>
  </si>
  <si>
    <t>Y PHANI KUMAR</t>
  </si>
  <si>
    <t>GAILHKP021</t>
  </si>
  <si>
    <t>RAYALA RAMBABU</t>
  </si>
  <si>
    <t>UYYALA CHANDA SEKHAR</t>
  </si>
  <si>
    <t>GAILHKP003</t>
  </si>
  <si>
    <t>B NOOKA RAJU</t>
  </si>
  <si>
    <t>GAILHKP015</t>
  </si>
  <si>
    <t>NOOKELLA SITARAMAYYA</t>
  </si>
  <si>
    <t>RAJAHMUNDRY</t>
  </si>
  <si>
    <t>GAILHKP028</t>
  </si>
  <si>
    <t>Y RAJA SHEKAR</t>
  </si>
  <si>
    <t>SUMMARY</t>
  </si>
  <si>
    <t xml:space="preserve">SERVICE UNIT </t>
  </si>
  <si>
    <t xml:space="preserve">QTY PROVIDED </t>
  </si>
  <si>
    <t>GRAND TOTAL</t>
  </si>
  <si>
    <t>For SINGH AND SONS INFOTECH PVT LTD</t>
  </si>
  <si>
    <t>SL NO</t>
  </si>
  <si>
    <t>PARTICULARS</t>
  </si>
  <si>
    <t>CATEGORY</t>
  </si>
  <si>
    <t>NO OF WORKMEN</t>
  </si>
  <si>
    <t>WAGE DIFF. PER DAY</t>
  </si>
  <si>
    <t>WORKING DAYS</t>
  </si>
  <si>
    <t>DIFF. AMOUNT</t>
  </si>
  <si>
    <t>EPF @ 13%</t>
  </si>
  <si>
    <t>ESI @ 3.25%</t>
  </si>
  <si>
    <t>BONUS @ 8.33%</t>
  </si>
  <si>
    <t>LWW @ 4.81%</t>
  </si>
  <si>
    <t>TOTAL</t>
  </si>
  <si>
    <t xml:space="preserve">UNSKILLED (VIJJESWARAM) </t>
  </si>
  <si>
    <t>C AREA</t>
  </si>
  <si>
    <t xml:space="preserve">UNSKILLED (KAKINADA) </t>
  </si>
  <si>
    <t xml:space="preserve">UNSKILLED (TATIPAKA) </t>
  </si>
  <si>
    <t xml:space="preserve">UNSKILLED (GUDIWADA) </t>
  </si>
  <si>
    <t xml:space="preserve">UNSKILLED (LANCO) </t>
  </si>
  <si>
    <t>B AREA</t>
  </si>
  <si>
    <t xml:space="preserve">UNSKILLED (VADISALERU) </t>
  </si>
  <si>
    <t>SKILLED (SUPERVISOR)</t>
  </si>
  <si>
    <t>SUB TOTAL</t>
  </si>
  <si>
    <t xml:space="preserve">AMOUNT CLAIMED </t>
  </si>
  <si>
    <t>GAIL REPRESENTATIVE / EIC</t>
  </si>
  <si>
    <t xml:space="preserve">FORM B
WAGE REGISTER</t>
  </si>
  <si>
    <t>Instruction : Do not print following Instruction on Original Att. Sheet</t>
  </si>
  <si>
    <t>FORMAT OF WAGES REGISTER</t>
  </si>
  <si>
    <t>Rate of minimum Wage and since the date-01-10-2025 TO 31-03-2026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</si>
  <si>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</si>
  <si>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</si>
  <si>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</si>
  <si>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</si>
  <si>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</si>
  <si>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</si>
  <si>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Minimum Basic-C</t>
  </si>
  <si>
    <t xml:space="preserve">760/ Man Day ( Rs. 19,760/ Month ) </t>
  </si>
  <si>
    <t xml:space="preserve"> Rs. 541/ Man Day (Rs. 14,006/ Month )</t>
  </si>
  <si>
    <t xml:space="preserve">Mention Page Nos.  at bottom of the every page</t>
  </si>
  <si>
    <t>Minimum Basic-B</t>
  </si>
  <si>
    <t xml:space="preserve"> Rs. 674/ Man Day (Rs. 17,524/ Month 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</si>
  <si>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</si>
  <si>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</si>
  <si>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</si>
  <si>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</si>
  <si>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</si>
  <si>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</si>
  <si>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</si>
  <si>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SHRI B.K. SINGH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</si>
  <si>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</si>
  <si>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</si>
  <si>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</si>
  <si>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</si>
  <si>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</si>
  <si>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01 Oct 2025 To 31 Oct 2025</t>
  </si>
  <si>
    <t>Name And Address of Principal Employer</t>
  </si>
  <si>
    <t xml:space="preserve">M/S. GAIL (INDIA) LIMITED, RAJAHMUNDRY REGION
Annual Maintenance Contract for Housekeeping &amp; Sanitation Services</t>
  </si>
  <si>
    <r>
      <t>(Monthly/</t>
    </r>
    <r>
      <rPr>
        <rFont val="Calibri"/>
        <family val="2"/>
        <b/>
        <strike/>
        <color indexed="8"/>
        <sz val="16"/>
      </rPr>
      <t>Fortnightly/Weekly/Daily/Piece Rated</t>
    </r>
    <r>
      <rPr>
        <rFont val="Calibri"/>
        <family val="2"/>
        <b/>
        <color indexed="8"/>
        <sz val="16"/>
      </rPr>
      <t>)</t>
    </r>
  </si>
  <si>
    <t>Sr. No.</t>
  </si>
  <si>
    <t xml:space="preserve">Name
UAN
PF No.
ESI No.</t>
  </si>
  <si>
    <t xml:space="preserve">Rate Of
Wage (Daily)</t>
  </si>
  <si>
    <t xml:space="preserve">Rate Of
Wage (Monthly)</t>
  </si>
  <si>
    <t>No. of Days Worked</t>
  </si>
  <si>
    <t xml:space="preserve">Overtime 
hours worked</t>
  </si>
  <si>
    <t>Basic</t>
  </si>
  <si>
    <t>DA</t>
  </si>
  <si>
    <t>Payments Overtime</t>
  </si>
  <si>
    <t xml:space="preserve">Special 
Basic</t>
  </si>
  <si>
    <t>HRA</t>
  </si>
  <si>
    <t>Convey All.</t>
  </si>
  <si>
    <t>OTHER BENEFITS OR AMENITIES</t>
  </si>
  <si>
    <t>EX GRATIA BONUS</t>
  </si>
  <si>
    <t>EARNED LEAVE</t>
  </si>
  <si>
    <t>Total (06 To 10D)</t>
  </si>
  <si>
    <t>Deduction</t>
  </si>
  <si>
    <t xml:space="preserve">Net 
Payment
(11 - 19 = 20)</t>
  </si>
  <si>
    <t>Employer/Workmqan/Worker/ Share PF Welfare Fund</t>
  </si>
  <si>
    <t>Employer/Workmqan/Worker/ Share esic Welfare Fund</t>
  </si>
  <si>
    <t xml:space="preserve">Receipt by Employee / Bank 
Transaction ID</t>
  </si>
  <si>
    <t>Date Of Payment</t>
  </si>
  <si>
    <t>Remaks</t>
  </si>
  <si>
    <t>DESIGNATION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</si>
  <si>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</si>
  <si>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</si>
  <si>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</si>
  <si>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</si>
  <si>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</si>
  <si>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</si>
  <si>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</si>
  <si>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</si>
  <si>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</si>
  <si>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</si>
  <si>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</si>
  <si>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</si>
  <si>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</si>
  <si>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</si>
  <si>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 xml:space="preserve">A RAM BABU
100096311011
6207328620</t>
  </si>
  <si>
    <t>E-BANKING</t>
  </si>
  <si>
    <t>06-11-2025</t>
  </si>
  <si>
    <t>SBI</t>
  </si>
  <si>
    <t xml:space="preserve">B NOOKA RAJU
101585497354
6209624404</t>
  </si>
  <si>
    <t xml:space="preserve">CHETLA SUGUNA RAO
100121597189
6205556023</t>
  </si>
  <si>
    <t xml:space="preserve">CHINTHALA VEERA SUBRAMANYAM
100121401742
6209139426</t>
  </si>
  <si>
    <t>GAILHKP006</t>
  </si>
  <si>
    <t xml:space="preserve">D SRINIVASA RAJU
101677824368
6208831631</t>
  </si>
  <si>
    <t xml:space="preserve">GOLLA MOHAN RAO
101366599120
6207610944</t>
  </si>
  <si>
    <t xml:space="preserve">GUTHURTI SRINU
101366599177
6207078710</t>
  </si>
  <si>
    <t xml:space="preserve">KAKI YESU
101366599242
6207323268</t>
  </si>
  <si>
    <t xml:space="preserve">KOLLU SRINIVAS
101366599098
6208579140</t>
  </si>
  <si>
    <t xml:space="preserve">M V L KUMAR
102060203259
6210217715</t>
  </si>
  <si>
    <t xml:space="preserve">MATTAPARTHI SATYANARAYANA
101638625290
6209130672</t>
  </si>
  <si>
    <t xml:space="preserve">N SITARAMAYYA
101408748685
6210183412</t>
  </si>
  <si>
    <t xml:space="preserve">NAKKA JYOTHI BABU
102049476655
6208646971</t>
  </si>
  <si>
    <t xml:space="preserve">NAKKA SRINIVAS
102049476655                                                                
                  6210758565
</t>
  </si>
  <si>
    <t xml:space="preserve">PARASA VENKATESWAR RAO
102106907561
UPKNP2070240000/0001
6210392977</t>
  </si>
  <si>
    <t xml:space="preserve">PALIVELA LAKSHMI
101366599131
6207323271</t>
  </si>
  <si>
    <t xml:space="preserve">PASALAPUDI SATISH
101366599165
6208060687</t>
  </si>
  <si>
    <t xml:space="preserve">PASALAPUDI SUBBARAJU
100896463226
6207808200</t>
  </si>
  <si>
    <t xml:space="preserve">PETTA BABI KRISHNA
101366599149
6207806894</t>
  </si>
  <si>
    <t xml:space="preserve">RAYALA RAMBABU
100882959581
6207805274</t>
  </si>
  <si>
    <t xml:space="preserve">SAVARAPU PRABHAKARA RAO
101366599226
6208578953</t>
  </si>
  <si>
    <t xml:space="preserve">THOTA RAJASEKHAR
102156392365
6210498407</t>
  </si>
  <si>
    <t xml:space="preserve">THOMMANDRA SIVA RAMA KRISHNA
101366796847
6208579058</t>
  </si>
  <si>
    <t xml:space="preserve">THOTAKURA RAMA DURGARAO
101366599219
6207808213</t>
  </si>
  <si>
    <t xml:space="preserve">UYYALA CHANDA SEKHAR
102261515673
6210758565</t>
  </si>
  <si>
    <t xml:space="preserve">VADDI SRINIVAS
101231864339
6209015508</t>
  </si>
  <si>
    <t xml:space="preserve">Y PHANI KUMAR
101794201275
6209538060</t>
  </si>
  <si>
    <t xml:space="preserve">Y RAJA SHEKAR
101210702159
6209293856</t>
  </si>
  <si>
    <t>Period</t>
  </si>
  <si>
    <t>SSI/1183</t>
  </si>
  <si>
    <t>Service Month</t>
  </si>
  <si>
    <t>OCTOBER-2025</t>
  </si>
  <si>
    <t>Invoice Date</t>
  </si>
  <si>
    <t>RA BILL NO-</t>
  </si>
  <si>
    <t>Month No.</t>
  </si>
  <si>
    <t>Year</t>
  </si>
  <si>
    <t>EPF Challan No.</t>
  </si>
  <si>
    <t>ESIC Challan No.</t>
  </si>
  <si>
    <t>06225144239293</t>
  </si>
  <si>
    <t>Amount:</t>
  </si>
  <si>
    <t>17,69,632</t>
  </si>
  <si>
    <t>Date:</t>
  </si>
  <si>
    <t>14-11-2025</t>
  </si>
  <si>
    <t>Invoice Amount</t>
  </si>
  <si>
    <t xml:space="preserve">UNSKILLED (5 Locations) </t>
  </si>
  <si>
    <t>OLD WAGES UP ON 01.10.2022</t>
  </si>
  <si>
    <t>NEW WAGE AS ON 01.10.2025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</si>
  <si>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</si>
  <si>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</si>
  <si>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</si>
  <si>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</si>
  <si>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</si>
  <si>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</si>
  <si>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rFont val="Calibri"/>
        <family val="1"/>
        <b/>
        <i/>
        <sz val="12"/>
        <u val="single"/>
      </rPr>
      <t>Annexure-I</t>
    </r>
  </si>
  <si>
    <t>Proforma –“PFD”</t>
  </si>
  <si>
    <r>
      <t xml:space="preserve">1.   Name of the Firm/Agency/Contractor: </t>
    </r>
    <r>
      <rPr>
        <rFont val="Calibri"/>
        <family val="2"/>
        <b/>
        <sz val="11"/>
      </rPr>
      <t>M/s. Singh and Sons InfoTech Private Limited</t>
    </r>
  </si>
  <si>
    <t xml:space="preserve">2.   Nature of Contract: Hiring of contract services for Housekeeping of KG Basin Terminals </t>
  </si>
  <si>
    <r>
      <t xml:space="preserve">      Job/Service contract, </t>
    </r>
    <r>
      <rPr>
        <rFont val="Calibri"/>
        <family val="2"/>
        <strike/>
        <sz val="12"/>
      </rPr>
      <t>AMC, O&amp;M, Petty contract, Security, Seasonal</t>
    </r>
  </si>
  <si>
    <r>
      <t xml:space="preserve">3.   Postal address of the Contractor:  </t>
    </r>
    <r>
      <rPr>
        <rFont val="Calibri"/>
        <family val="2"/>
        <b/>
        <sz val="12"/>
      </rPr>
      <t xml:space="preserve">21, Indra Nagar, Dibiyapur, Auraiya (U.P)-206244 </t>
    </r>
  </si>
  <si>
    <r>
      <t xml:space="preserve">4.   Phone No. of the Contractor:  </t>
    </r>
    <r>
      <rPr>
        <rFont val="Calibri"/>
        <family val="2"/>
        <b/>
        <sz val="12"/>
      </rPr>
      <t>+91-8979987689</t>
    </r>
  </si>
  <si>
    <r>
      <t xml:space="preserve">5.   Fax No. of the Contractor: </t>
    </r>
    <r>
      <rPr>
        <rFont val="Calibri"/>
        <family val="2"/>
        <b/>
        <sz val="12"/>
      </rPr>
      <t>NA</t>
    </r>
  </si>
  <si>
    <r>
      <t xml:space="preserve">6.   Address of PF office from where EPF Code No. has been allotted: </t>
    </r>
    <r>
      <rPr>
        <rFont val="Calibri"/>
        <family val="2"/>
        <b/>
        <sz val="12"/>
      </rPr>
      <t>KANPUR</t>
    </r>
  </si>
  <si>
    <r>
      <t xml:space="preserve">7.   EPF Code No. allotted by PF office: </t>
    </r>
    <r>
      <rPr>
        <rFont val="Calibri"/>
        <family val="2"/>
        <b/>
        <sz val="12"/>
      </rPr>
      <t>UPKNP2070240000</t>
    </r>
  </si>
  <si>
    <r>
      <t xml:space="preserve">8.   Address of ESIC office from where ESI Code No. has been allotted: </t>
    </r>
    <r>
      <rPr>
        <rFont val="Calibri"/>
        <family val="2"/>
        <b/>
        <sz val="12"/>
      </rPr>
      <t>KANPUR</t>
    </r>
  </si>
  <si>
    <t xml:space="preserve">9.   ESI Code No. allotted by ESIC office: 62210624350010999 </t>
  </si>
  <si>
    <r>
      <t>10.</t>
    </r>
    <r>
      <rPr>
        <rFont val="Times New Roman"/>
        <family val="1"/>
        <color indexed="8"/>
        <sz val="7"/>
      </rPr>
      <t xml:space="preserve"> </t>
    </r>
    <r>
      <rPr>
        <rFont val="Calibri"/>
        <family val="2"/>
        <color indexed="8"/>
        <sz val="12"/>
      </rPr>
      <t xml:space="preserve">Period of Contract: From: </t>
    </r>
    <r>
      <rPr>
        <rFont val="Calibri"/>
        <family val="2"/>
        <b/>
        <color indexed="8"/>
        <sz val="12"/>
        <u val="single"/>
      </rPr>
      <t>From  05.06.2023 To 04.06.2025</t>
    </r>
  </si>
  <si>
    <r>
      <t xml:space="preserve">       (a)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>Extension Period of Contract, if any from:</t>
    </r>
    <r>
      <rPr>
        <rFont val="Calibri"/>
        <family val="2"/>
        <b/>
        <color indexed="8"/>
        <sz val="12"/>
      </rPr>
      <t xml:space="preserve"> </t>
    </r>
    <r>
      <rPr>
        <rFont val="Calibri"/>
        <family val="2"/>
        <b/>
        <color indexed="8"/>
        <sz val="12"/>
        <u val="single"/>
      </rPr>
      <t>NIL</t>
    </r>
  </si>
  <si>
    <r>
      <t xml:space="preserve">       (b)</t>
    </r>
    <r>
      <rPr>
        <rFont val="Times New Roman"/>
        <family val="1"/>
        <color indexed="8"/>
        <sz val="7"/>
      </rPr>
      <t xml:space="preserve">  </t>
    </r>
    <r>
      <rPr>
        <rFont val="Calibri"/>
        <family val="2"/>
        <color indexed="8"/>
        <sz val="12"/>
      </rPr>
      <t xml:space="preserve">Place where contract workmen are working: </t>
    </r>
    <r>
      <rPr>
        <rFont val="Calibri"/>
        <family val="2"/>
        <b/>
        <color indexed="8"/>
        <sz val="11"/>
        <u val="single"/>
      </rPr>
      <t xml:space="preserve"> GAIL (India) Limited, Rajahmundry, (A.P)- 533103</t>
    </r>
  </si>
  <si>
    <r>
      <t xml:space="preserve">11. Labour License No.: </t>
    </r>
    <r>
      <rPr>
        <rFont val="Calibri"/>
        <family val="2"/>
        <b/>
        <color indexed="8"/>
        <sz val="12"/>
      </rPr>
      <t>CLRA/ALCVIJAYAWADA/2023/125471/L-170 Dated: 14-JUL-2023</t>
    </r>
  </si>
  <si>
    <r>
      <t>12.</t>
    </r>
    <r>
      <rPr>
        <rFont val="Times New Roman"/>
        <family val="1"/>
        <color indexed="8"/>
        <sz val="7"/>
      </rPr>
      <t xml:space="preserve"> </t>
    </r>
    <r>
      <rPr>
        <rFont val="Aptos Display"/>
        <family val="2"/>
        <color indexed="8"/>
        <sz val="12"/>
      </rPr>
      <t xml:space="preserve">Validity period of Labour License From: </t>
    </r>
    <r>
      <rPr>
        <rFont val="Aptos Display"/>
        <family val="2"/>
        <b/>
        <color indexed="8"/>
        <sz val="12"/>
        <u val="single"/>
      </rPr>
      <t>14-JUL-2023 To 13-JUL-2024</t>
    </r>
  </si>
  <si>
    <r>
      <t>13.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EPF</t>
    </r>
  </si>
  <si>
    <t xml:space="preserve">Amount: </t>
  </si>
  <si>
    <r>
      <t>14.</t>
    </r>
    <r>
      <rPr>
        <rFont val="Times New Roman"/>
        <family val="1"/>
        <color indexed="8"/>
        <sz val="7"/>
      </rPr>
      <t xml:space="preserve"> </t>
    </r>
    <r>
      <rPr>
        <rFont val="Aptos Display"/>
        <family val="2"/>
        <color indexed="8"/>
        <sz val="12"/>
      </rPr>
      <t>Details of Deposition of contribution towards ESI</t>
    </r>
  </si>
  <si>
    <t>Category</t>
  </si>
  <si>
    <t>No. of Workers</t>
  </si>
  <si>
    <t>Prevailing Minimum Wages</t>
  </si>
  <si>
    <t>UNSKILLED</t>
  </si>
  <si>
    <t>541 &amp; 674</t>
  </si>
  <si>
    <t>SEMI SKILLED</t>
  </si>
  <si>
    <t>SKILLED</t>
  </si>
  <si>
    <t>HIGHLY SKILLED</t>
  </si>
  <si>
    <r>
      <rPr>
        <rFont val="Calibri"/>
        <family val="1"/>
        <b/>
        <sz val="12"/>
      </rPr>
      <t>Total</t>
    </r>
  </si>
  <si>
    <t>Signature of Contractor / Authorized Representative</t>
  </si>
  <si>
    <t xml:space="preserve">Place: </t>
  </si>
  <si>
    <t xml:space="preserve">Date: </t>
  </si>
  <si>
    <t>To: M/s. Gail (India) Limited,</t>
  </si>
  <si>
    <t>Rajahmundry – 533103 (A.P)</t>
  </si>
  <si>
    <t>Kind Attn.: Shri Y V S Murthy, – Manager (HR),</t>
  </si>
  <si>
    <t xml:space="preserve">at gail kg basin  base station/terminals and its associated installation for a period of 2 years.</t>
  </si>
  <si>
    <t>LOA No.: GAIL/SR20109599/5300038948/C-43/22/SKK DATED: 03/06/2023</t>
  </si>
  <si>
    <t>Dear Sir,</t>
  </si>
  <si>
    <t xml:space="preserve">for housekeeping services at gail kg basin  base station/terminals and its associated installation for a period of 2 years.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</si>
  <si>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</si>
  <si>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</si>
  <si>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</si>
  <si>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</si>
  <si>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</si>
  <si>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</si>
  <si>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</si>
  <si>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</si>
  <si>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</si>
  <si>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</si>
  <si>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</si>
  <si>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</si>
  <si>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</si>
  <si>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</si>
  <si>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t>FORM B</t>
  </si>
  <si>
    <t>[See rule 26(1)]</t>
  </si>
  <si>
    <t>REGISTER OF WAGES</t>
  </si>
  <si>
    <t>Rate of Minimum Wages and Since the Date 01/04/2023 To 30/09/2023</t>
  </si>
  <si>
    <t xml:space="preserve">Skilled </t>
  </si>
  <si>
    <t xml:space="preserve">Semi - Skilled </t>
  </si>
  <si>
    <t xml:space="preserve">Un- Skilled </t>
  </si>
  <si>
    <t xml:space="preserve">739/ Man Day ( Rs. 19795/ Month )  </t>
  </si>
  <si>
    <t>Rs. 526/ Man Day (Rs. 13703/ Month )</t>
  </si>
  <si>
    <t>Rs. 655/ Man Day (Rs. 17340/ Month )</t>
  </si>
  <si>
    <t xml:space="preserve">Overtime </t>
  </si>
  <si>
    <t xml:space="preserve">Name of establishment  :  M/S. SINGH AND SONS INFOTECH PRIVATE LIMITED                         Name of Owner :  M/S. GAIL (INDIA) LIMITED, RAJAHMUNDRY REGION                                                                                                                 LIN  :   1-2372-1520-9                                        </t>
  </si>
  <si>
    <t xml:space="preserve">Wages period:  From 01 DEC 2024 To 31 DEC 2024                                                                            (Monthly/Fortnightly/Weekly/Daily/Piece Rated)                  </t>
  </si>
  <si>
    <t>Sl. No. in Employee Register</t>
  </si>
  <si>
    <t>Work Location</t>
  </si>
  <si>
    <t xml:space="preserve">Rate of
Wage</t>
  </si>
  <si>
    <t xml:space="preserve">No. of Days
worked</t>
  </si>
  <si>
    <t xml:space="preserve">Overtime
hours
worked</t>
  </si>
  <si>
    <t xml:space="preserve">Special
Basic</t>
  </si>
  <si>
    <t xml:space="preserve">Payments
Overtime</t>
  </si>
  <si>
    <t xml:space="preserve">*Others </t>
  </si>
  <si>
    <t>Deducation</t>
  </si>
  <si>
    <t xml:space="preserve">Net
Payment</t>
  </si>
  <si>
    <t xml:space="preserve">Employer Share
PF Welfare Found</t>
  </si>
  <si>
    <t xml:space="preserve">Receipt by Employee/
Bank Transaction ID</t>
  </si>
  <si>
    <t>Date of Payment</t>
  </si>
  <si>
    <t>Remarks</t>
  </si>
  <si>
    <t>Other Fixed Allowance</t>
  </si>
  <si>
    <t>Ex Gratia Bonus @8.33%</t>
  </si>
  <si>
    <t>Leave Wages @4.81%</t>
  </si>
  <si>
    <t>Income Tax</t>
  </si>
  <si>
    <t>Others</t>
  </si>
  <si>
    <t>VADISILERU</t>
  </si>
  <si>
    <t>D SRINIVASA RAJU</t>
  </si>
  <si>
    <t>0</t>
  </si>
  <si>
    <t>GUNTURU KUMARI</t>
  </si>
  <si>
    <t>N SITARAMAYYA</t>
  </si>
  <si>
    <t>P VENKATESWARA RAO</t>
  </si>
  <si>
    <t>NEFT</t>
  </si>
  <si>
    <t>TELLAKULA OMKAR</t>
  </si>
  <si>
    <t>Name of Agency:</t>
  </si>
  <si>
    <t>Sai Commercial Carrier</t>
  </si>
  <si>
    <t>Work Order Number:</t>
  </si>
  <si>
    <t>GAIL/3130/69236/5600002905/TS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</si>
  <si>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</si>
  <si>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</si>
  <si>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</si>
  <si>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</si>
  <si>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</si>
  <si>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</si>
  <si>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</si>
  <si>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Amount (Rs.)</t>
  </si>
  <si>
    <t>01.08.2017</t>
  </si>
  <si>
    <t>For,</t>
  </si>
  <si>
    <t>S. Roy.</t>
  </si>
</sst>
</file>

<file path=xl/styles.xml><?xml version="1.0" encoding="utf-8"?>
<styleSheet xmlns="http://schemas.openxmlformats.org/spreadsheetml/2006/main">
  <numFmts count="11">
    <numFmt numFmtId="164" formatCode="[$-14009]dddd\,\ d\ mmmm\,\ yyyy;@"/>
    <numFmt numFmtId="165" formatCode="#,##0.000"/>
    <numFmt numFmtId="166" formatCode="_(* #,##0.00_);_(* \(#,##0.00\);_(* &quot;-&quot;??_);_(@_)"/>
    <numFmt numFmtId="167" formatCode="[$-14009]dd\-mm\-yyyy;@"/>
    <numFmt numFmtId="168" formatCode="0.000"/>
    <numFmt numFmtId="169" formatCode="0.0"/>
    <numFmt numFmtId="170" formatCode="00"/>
    <numFmt numFmtId="171" formatCode="[$-F800]dddd\,\ mmmm\ dd\,\ yyyy"/>
    <numFmt numFmtId="172" formatCode="[$-409]d\-mmm\-yy;@"/>
    <numFmt numFmtId="173" formatCode="#,##0.00;[Red]#,##0.00"/>
    <numFmt numFmtId="174" formatCode="[$-409]d\-mmm;@"/>
  </numFmts>
  <fonts count="75">
    <font>
      <sz val="11"/>
      <name val="Aptos Narrow"/>
    </font>
    <font>
      <sz val="10"/>
      <name val="Arial"/>
      <family val="0"/>
    </font>
    <font>
      <sz val="14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2"/>
      <name val="Arial"/>
      <family val="2"/>
    </font>
    <font>
      <sz val="10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Arial Black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theme="1"/>
      <name val="Arial"/>
      <family val="2"/>
    </font>
    <font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9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8"/>
      <color theme="10"/>
      <name val="Calibri"/>
      <family val="2"/>
      <scheme val="minor"/>
    </font>
    <font>
      <u/>
      <sz val="10"/>
      <color theme="10"/>
      <name val="Arial"/>
      <family val="2"/>
    </font>
    <font>
      <b/>
      <sz val="20"/>
      <name val="Calibri"/>
      <family val="2"/>
      <scheme val="minor"/>
    </font>
    <font>
      <b/>
      <sz val="16"/>
      <name val="Calibri"/>
      <family val="2"/>
      <scheme val="minor"/>
    </font>
    <font>
      <b/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sz val="16"/>
      <name val="Arial"/>
      <family val="2"/>
    </font>
    <font>
      <b/>
      <sz val="16"/>
      <color theme="1"/>
      <name val="Calibri"/>
      <family val="2"/>
      <scheme val="minor"/>
    </font>
    <font>
      <b/>
      <u/>
      <sz val="16"/>
      <color rgb="FFFF000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indexed="12"/>
      <name val="Calibri"/>
      <family val="2"/>
      <scheme val="minor"/>
    </font>
    <font>
      <sz val="16"/>
      <name val="Times New Roman"/>
      <family val="1"/>
    </font>
    <font>
      <sz val="12"/>
      <name val="Tahoma"/>
      <family val="2"/>
    </font>
    <font>
      <sz val="16"/>
      <color theme="1"/>
      <name val="Times New Roman"/>
      <family val="1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u/>
      <sz val="16"/>
      <name val="Calibri"/>
      <family val="2"/>
    </font>
    <font>
      <sz val="12"/>
      <name val="Calibri"/>
      <family val="2"/>
    </font>
    <font>
      <sz val="12"/>
      <color theme="1"/>
      <name val="Aptos Display"/>
      <family val="2"/>
    </font>
    <font>
      <b/>
      <sz val="10"/>
      <name val="Arial"/>
      <family val="2"/>
    </font>
    <font>
      <b/>
      <sz val="11"/>
      <name val="Calibri"/>
      <family val="2"/>
    </font>
    <font>
      <sz val="12"/>
      <color rgb="FF000000"/>
      <name val="Calibri"/>
      <family val="2"/>
    </font>
    <font>
      <b/>
      <sz val="12"/>
      <name val="Calibri"/>
      <family val="2"/>
    </font>
    <font>
      <b/>
      <sz val="12"/>
      <color rgb="FF000000"/>
      <name val="Calibri"/>
      <family val="2"/>
    </font>
    <font>
      <b/>
      <sz val="11"/>
      <color theme="1"/>
      <name val="Aptos Display"/>
      <family val="2"/>
    </font>
    <font>
      <sz val="12"/>
      <name val="Times New Roman"/>
      <family val="1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18"/>
      <name val="Cambria"/>
      <family val="1"/>
      <scheme val="major"/>
    </font>
    <font>
      <sz val="18"/>
      <color theme="1"/>
      <name val="Cambria"/>
      <family val="1"/>
      <scheme val="major"/>
    </font>
    <font>
      <sz val="22"/>
      <color theme="1"/>
      <name val="Cambria"/>
      <family val="1"/>
      <scheme val="major"/>
    </font>
    <font>
      <sz val="22"/>
      <name val="Cambria"/>
      <family val="1"/>
      <scheme val="major"/>
    </font>
    <font>
      <b/>
      <sz val="22"/>
      <color theme="1"/>
      <name val="Cambria"/>
      <family val="1"/>
      <scheme val="major"/>
    </font>
    <font>
      <b/>
      <sz val="22"/>
      <name val="Cambria"/>
      <family val="1"/>
      <scheme val="major"/>
    </font>
    <font>
      <b/>
      <sz val="22"/>
      <color indexed="8"/>
      <name val="Cambria"/>
      <family val="1"/>
      <scheme val="major"/>
    </font>
    <font>
      <sz val="20"/>
      <color theme="1"/>
      <name val="Cambria"/>
      <family val="1"/>
      <scheme val="major"/>
    </font>
    <font>
      <sz val="10"/>
      <color theme="1"/>
      <name val="Arial"/>
      <family val="2"/>
    </font>
    <font>
      <sz val="11"/>
      <name val="Arial"/>
      <family val="2"/>
    </font>
    <font>
      <b/>
      <sz val="12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79996681213"/>
        <bgColor indexed="64"/>
      </patternFill>
    </fill>
    <fill>
      <patternFill patternType="solid">
        <fgColor theme="3" tint="0.79997998476028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theme="0" tint="-0.14999000728130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7C8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5">
    <xf numFmtId="0" fontId="0"/>
    <xf numFmtId="166" applyNumberFormat="1" fontId="1" applyFont="0" fillId="0" applyFill="0" borderId="0" applyBorder="0" applyProtection="0" applyAlignment="0"/>
    <xf numFmtId="0" applyNumberFormat="0" fontId="29" applyFont="1" fillId="0" applyFill="0" borderId="0" applyBorder="0" applyProtection="0" applyAlignment="0"/>
    <xf numFmtId="0" fontId="1" applyFont="1" fillId="0" borderId="0"/>
    <xf numFmtId="0" fontId="46" applyFont="1" fillId="10" applyFill="1" borderId="0" applyAlignment="1">
      <alignment vertical="center" wrapText="1"/>
    </xf>
  </cellStyleXfs>
  <cellXfs count="723">
    <xf numFmtId="0" fontId="0" xfId="0"/>
    <xf numFmtId="0" fontId="1" applyFont="1" fillId="0" borderId="1" applyBorder="1" xfId="0" applyAlignment="1"/>
    <xf numFmtId="0" fontId="1" applyFont="1" fillId="0" borderId="2" applyBorder="1" xfId="0" applyAlignment="1"/>
    <xf numFmtId="0" fontId="1" applyFont="1" fillId="0" borderId="3" applyBorder="1" xfId="0" applyAlignment="1"/>
    <xf numFmtId="0" fontId="1" applyFont="1" fillId="0" borderId="4" applyBorder="1" xfId="0" applyAlignment="1"/>
    <xf numFmtId="0" fontId="1" applyFont="1" fillId="0" borderId="0" applyBorder="1" xfId="0" applyAlignment="1"/>
    <xf numFmtId="0" fontId="1" applyFont="1" fillId="0" borderId="5" applyBorder="1" xfId="0" applyAlignment="1"/>
    <xf numFmtId="0" fontId="1" applyFont="1" fillId="0" borderId="4" applyBorder="1" xfId="0" applyAlignment="1">
      <alignment wrapText="1"/>
    </xf>
    <xf numFmtId="0" fontId="1" applyFont="1" fillId="0" borderId="0" applyBorder="1" xfId="0" applyAlignment="1">
      <alignment wrapText="1"/>
    </xf>
    <xf numFmtId="0" fontId="1" applyFont="1" fillId="0" borderId="5" applyBorder="1" xfId="0" applyAlignment="1">
      <alignment wrapText="1"/>
    </xf>
    <xf numFmtId="0" fontId="2" applyFont="1" fillId="0" applyFill="1" borderId="6" applyBorder="1" xfId="0" applyAlignment="1"/>
    <xf numFmtId="0" fontId="2" applyFont="1" fillId="0" applyFill="1" borderId="7" applyBorder="1" xfId="0" applyAlignment="1"/>
    <xf numFmtId="0" fontId="2" applyFont="1" fillId="0" applyFill="1" borderId="8" applyBorder="1" xfId="0" applyAlignment="1"/>
    <xf numFmtId="0" fontId="3" applyFont="1" fillId="0" borderId="1" applyBorder="1" xfId="0" applyAlignment="1">
      <alignment horizontal="center" vertical="center"/>
    </xf>
    <xf numFmtId="0" fontId="3" applyFont="1" fillId="0" borderId="2" applyBorder="1" xfId="0" applyAlignment="1">
      <alignment horizontal="center" vertical="center"/>
    </xf>
    <xf numFmtId="0" fontId="3" applyFont="1" fillId="0" borderId="3" applyBorder="1" xfId="0" applyAlignment="1">
      <alignment horizontal="center" vertical="center"/>
    </xf>
    <xf numFmtId="0" fontId="4" applyFont="1" fillId="0" borderId="9" applyBorder="1" xfId="0" applyAlignment="1">
      <alignment horizontal="left"/>
    </xf>
    <xf numFmtId="0" fontId="3" applyFont="1" fillId="0" borderId="4" applyBorder="1" xfId="0" applyAlignment="1">
      <alignment horizontal="center" vertical="center"/>
    </xf>
    <xf numFmtId="0" fontId="3" applyFont="1" fillId="0" borderId="0" applyBorder="1" xfId="0" applyAlignment="1">
      <alignment horizontal="center" vertical="center"/>
    </xf>
    <xf numFmtId="0" fontId="3" applyFont="1" fillId="0" borderId="5" applyBorder="1" xfId="0" applyAlignment="1">
      <alignment horizontal="center" vertical="center"/>
    </xf>
    <xf numFmtId="0" fontId="3" applyFont="1" fillId="0" borderId="6" applyBorder="1" xfId="0" applyAlignment="1">
      <alignment horizontal="center" vertical="center"/>
    </xf>
    <xf numFmtId="0" fontId="3" applyFont="1" fillId="0" borderId="7" applyBorder="1" xfId="0" applyAlignment="1">
      <alignment horizontal="center" vertical="center"/>
    </xf>
    <xf numFmtId="0" fontId="4" applyFont="1" fillId="0" borderId="10" applyBorder="1" xfId="0" applyAlignment="1">
      <alignment horizontal="left"/>
    </xf>
    <xf numFmtId="0" fontId="5" applyFont="1" fillId="0" borderId="1" applyBorder="1" xfId="0" applyAlignment="1">
      <alignment horizontal="left" vertical="center"/>
    </xf>
    <xf numFmtId="0" fontId="5" applyFont="1" fillId="0" borderId="3" applyBorder="1" xfId="0" applyAlignment="1">
      <alignment horizontal="left" vertical="center"/>
    </xf>
    <xf numFmtId="0" fontId="6" applyFont="1" fillId="0" applyFill="1" borderId="4" applyBorder="1" xfId="0" applyAlignment="1">
      <alignment horizontal="left" vertical="center"/>
    </xf>
    <xf numFmtId="0" fontId="6" applyFont="1" fillId="0" applyFill="1" borderId="0" applyBorder="1" xfId="0" applyAlignment="1">
      <alignment horizontal="left" vertical="center"/>
    </xf>
    <xf numFmtId="0" fontId="6" applyFont="1" fillId="0" applyFill="1" borderId="5" applyBorder="1" xfId="0" applyAlignment="1">
      <alignment horizontal="left" vertical="center"/>
    </xf>
    <xf numFmtId="0" fontId="5" applyFont="1" fillId="0" applyFill="1" borderId="2" applyBorder="1" xfId="0" applyAlignment="1">
      <alignment horizontal="left" vertical="center"/>
    </xf>
    <xf numFmtId="164" applyNumberFormat="1" fontId="6" applyFont="1" fillId="0" applyFill="1" borderId="1" applyBorder="1" xfId="0" applyAlignment="1">
      <alignment horizontal="left" vertical="center"/>
    </xf>
    <xf numFmtId="164" applyNumberFormat="1" fontId="6" applyFont="1" fillId="0" applyFill="1" borderId="2" applyBorder="1" xfId="0" applyAlignment="1">
      <alignment horizontal="left" vertical="center"/>
    </xf>
    <xf numFmtId="164" applyNumberFormat="1" fontId="6" applyFont="1" fillId="0" applyFill="1" borderId="3" applyBorder="1" xfId="0" applyAlignment="1">
      <alignment horizontal="left" vertical="center"/>
    </xf>
    <xf numFmtId="0" fontId="5" applyFont="1" fillId="0" borderId="4" applyBorder="1" xfId="0" applyAlignment="1">
      <alignment horizontal="left" vertical="center"/>
    </xf>
    <xf numFmtId="0" fontId="5" applyFont="1" fillId="0" borderId="5" applyBorder="1" xfId="0" applyAlignment="1">
      <alignment horizontal="left" vertical="center"/>
    </xf>
    <xf numFmtId="164" applyNumberFormat="1" fontId="6" applyFont="1" fillId="0" applyFill="1" borderId="0" applyBorder="1" xfId="0" applyAlignment="1">
      <alignment horizontal="left" vertical="center"/>
    </xf>
    <xf numFmtId="164" applyNumberFormat="1" fontId="6" applyFont="1" fillId="0" applyFill="1" borderId="5" applyBorder="1" xfId="0" applyAlignment="1">
      <alignment horizontal="left" vertical="center"/>
    </xf>
    <xf numFmtId="0" fontId="5" applyFont="1" fillId="0" applyFill="1" borderId="0" applyBorder="1" xfId="0" applyAlignment="1">
      <alignment horizontal="left" vertical="center"/>
    </xf>
    <xf numFmtId="0" fontId="5" applyFont="1" fillId="0" borderId="6" applyBorder="1" xfId="0" applyAlignment="1">
      <alignment horizontal="left" vertical="center"/>
    </xf>
    <xf numFmtId="0" fontId="5" applyFont="1" fillId="0" borderId="8" applyBorder="1" xfId="0" applyAlignment="1">
      <alignment horizontal="left" vertical="center"/>
    </xf>
    <xf numFmtId="0" fontId="5" applyFont="1" fillId="0" borderId="7" applyBorder="1" xfId="0" applyAlignment="1">
      <alignment horizontal="left" vertical="center"/>
    </xf>
    <xf numFmtId="0" fontId="7" applyFont="1" fillId="0" borderId="0" xfId="0" applyAlignment="1"/>
    <xf numFmtId="0" fontId="8" applyFont="1" fillId="0" borderId="4" applyBorder="1" xfId="0" applyAlignment="1">
      <alignment vertical="center"/>
    </xf>
    <xf numFmtId="0" fontId="8" applyFont="1" fillId="0" borderId="0" applyBorder="1" xfId="0" applyAlignment="1">
      <alignment vertical="center"/>
    </xf>
    <xf numFmtId="0" fontId="8" applyFont="1" fillId="0" borderId="5" applyBorder="1" xfId="0" applyAlignment="1">
      <alignment vertical="center"/>
    </xf>
    <xf numFmtId="0" fontId="9" applyFont="1" fillId="0" borderId="11" applyBorder="1" xfId="0" applyAlignment="1">
      <alignment horizontal="left" vertical="center"/>
    </xf>
    <xf numFmtId="0" fontId="9" applyFont="1" fillId="0" borderId="12" applyBorder="1" xfId="0" applyAlignment="1">
      <alignment horizontal="left" vertical="center"/>
    </xf>
    <xf numFmtId="0" fontId="9" applyFont="1" fillId="0" borderId="13" applyBorder="1" xfId="0" applyAlignment="1">
      <alignment horizontal="left" vertical="center"/>
    </xf>
    <xf numFmtId="0" fontId="6" applyFont="1" fillId="0" borderId="1" applyBorder="1" xfId="0" applyAlignment="1">
      <alignment horizontal="left" vertical="center"/>
    </xf>
    <xf numFmtId="0" fontId="6" applyFont="1" fillId="0" borderId="2" applyBorder="1" xfId="0" applyAlignment="1">
      <alignment horizontal="left" vertical="center"/>
    </xf>
    <xf numFmtId="0" fontId="6" applyFont="1" fillId="0" borderId="3" applyBorder="1" xfId="0" applyAlignment="1">
      <alignment horizontal="left" vertical="center"/>
    </xf>
    <xf numFmtId="0" fontId="6" applyFont="1" fillId="0" borderId="1" applyBorder="1" xfId="0" applyAlignment="1">
      <alignment vertical="center"/>
    </xf>
    <xf numFmtId="0" fontId="6" applyFont="1" fillId="0" borderId="2" applyBorder="1" xfId="0" applyAlignment="1">
      <alignment vertical="center"/>
    </xf>
    <xf numFmtId="0" fontId="6" applyFont="1" fillId="0" borderId="3" applyBorder="1" xfId="0" applyAlignment="1">
      <alignment vertical="center"/>
    </xf>
    <xf numFmtId="0" fontId="8" applyFont="1" fillId="0" borderId="4" applyBorder="1" xfId="0" applyAlignment="1">
      <alignment horizontal="left" vertical="center"/>
    </xf>
    <xf numFmtId="0" fontId="8" applyFont="1" fillId="0" borderId="0" applyBorder="1" xfId="0" applyAlignment="1">
      <alignment horizontal="left" vertical="center"/>
    </xf>
    <xf numFmtId="0" fontId="8" applyFont="1" fillId="0" borderId="5" applyBorder="1" xfId="0" applyAlignment="1">
      <alignment horizontal="left" vertical="center"/>
    </xf>
    <xf numFmtId="0" fontId="5" applyFont="1" fillId="0" borderId="4" applyBorder="1" xfId="0" applyAlignment="1">
      <alignment vertical="center"/>
    </xf>
    <xf numFmtId="0" fontId="5" applyFont="1" fillId="0" borderId="0" applyBorder="1" xfId="0" applyAlignment="1">
      <alignment vertical="center"/>
    </xf>
    <xf numFmtId="0" fontId="5" applyFont="1" fillId="0" borderId="5" applyBorder="1" xfId="0" applyAlignment="1">
      <alignment vertical="center"/>
    </xf>
    <xf numFmtId="0" fontId="6" applyFont="1" fillId="0" borderId="4" applyBorder="1" xfId="0" applyAlignment="1">
      <alignment vertical="center"/>
    </xf>
    <xf numFmtId="0" fontId="6" applyFont="1" fillId="0" borderId="0" applyBorder="1" xfId="0" applyAlignment="1">
      <alignment vertical="center"/>
    </xf>
    <xf numFmtId="0" fontId="6" applyFont="1" fillId="0" borderId="5" applyBorder="1" xfId="0" applyAlignment="1">
      <alignment vertical="center"/>
    </xf>
    <xf numFmtId="0" fontId="8" applyFont="1" fillId="0" borderId="6" applyBorder="1" xfId="0" quotePrefix="1" applyAlignment="1">
      <alignment horizontal="left" vertical="center"/>
    </xf>
    <xf numFmtId="0" fontId="8" applyFont="1" fillId="0" borderId="7" applyBorder="1" xfId="0" quotePrefix="1" applyAlignment="1">
      <alignment horizontal="left" vertical="center"/>
    </xf>
    <xf numFmtId="0" fontId="8" applyFont="1" fillId="0" borderId="8" applyBorder="1" xfId="0" quotePrefix="1" applyAlignment="1">
      <alignment horizontal="left" vertical="center"/>
    </xf>
    <xf numFmtId="49" applyNumberFormat="1" fontId="5" applyFont="1" fillId="0" borderId="6" applyBorder="1" xfId="0" applyAlignment="1">
      <alignment vertical="center"/>
    </xf>
    <xf numFmtId="49" applyNumberFormat="1" fontId="5" applyFont="1" fillId="0" borderId="7" applyBorder="1" xfId="0" applyAlignment="1">
      <alignment vertical="center"/>
    </xf>
    <xf numFmtId="49" applyNumberFormat="1" fontId="5" applyFont="1" fillId="0" borderId="8" applyBorder="1" xfId="0" applyAlignment="1">
      <alignment vertical="center"/>
    </xf>
    <xf numFmtId="0" fontId="8" applyFont="1" fillId="0" borderId="4" applyBorder="1" xfId="0" applyAlignment="1"/>
    <xf numFmtId="0" fontId="8" applyFont="1" fillId="0" borderId="0" applyBorder="1" xfId="0" applyAlignment="1"/>
    <xf numFmtId="0" fontId="8" applyFont="1" fillId="0" borderId="5" applyBorder="1" xfId="0" applyAlignment="1"/>
    <xf numFmtId="0" fontId="10" applyFont="1" fillId="0" applyFill="1" borderId="11" applyBorder="1" xfId="0" applyAlignment="1">
      <alignment horizontal="left" vertical="center" wrapText="1"/>
    </xf>
    <xf numFmtId="0" fontId="10" applyFont="1" fillId="0" applyFill="1" borderId="12" applyBorder="1" xfId="0" applyAlignment="1">
      <alignment horizontal="left" vertical="center" wrapText="1"/>
    </xf>
    <xf numFmtId="0" fontId="10" applyFont="1" fillId="0" applyFill="1" borderId="13" applyBorder="1" xfId="0" applyAlignment="1">
      <alignment horizontal="left" vertical="center" wrapText="1"/>
    </xf>
    <xf numFmtId="0" fontId="5" applyFont="1" fillId="2" applyFill="1" borderId="9" applyBorder="1" xfId="0" applyAlignment="1">
      <alignment horizontal="center" vertical="center" wrapText="1"/>
    </xf>
    <xf numFmtId="0" fontId="5" applyFont="1" fillId="2" applyFill="1" borderId="11" applyBorder="1" xfId="0" applyAlignment="1">
      <alignment horizontal="center" vertical="center" wrapText="1"/>
    </xf>
    <xf numFmtId="0" fontId="5" applyFont="1" fillId="2" applyFill="1" borderId="12" applyBorder="1" xfId="0" applyAlignment="1">
      <alignment horizontal="center" vertical="center" wrapText="1"/>
    </xf>
    <xf numFmtId="0" fontId="5" applyFont="1" fillId="2" applyFill="1" borderId="13" applyBorder="1" xfId="0" applyAlignment="1">
      <alignment horizontal="center" vertical="center" wrapText="1"/>
    </xf>
    <xf numFmtId="0" fontId="8" applyFont="1" fillId="0" borderId="10" applyBorder="1" xfId="0" applyAlignment="1">
      <alignment horizontal="center" vertical="center"/>
    </xf>
    <xf numFmtId="0" fontId="9" applyFont="1" fillId="0" applyFill="1" borderId="1" applyBorder="1" xfId="0" applyAlignment="1">
      <alignment horizontal="left" vertical="center" wrapText="1"/>
    </xf>
    <xf numFmtId="0" fontId="9" applyFont="1" fillId="0" applyFill="1" borderId="2" applyBorder="1" xfId="0" applyAlignment="1">
      <alignment horizontal="left" vertical="center" wrapText="1"/>
    </xf>
    <xf numFmtId="0" fontId="8" applyFont="1" fillId="0" borderId="10" applyBorder="1" xfId="0" applyAlignment="1">
      <alignment vertical="center"/>
    </xf>
    <xf numFmtId="0" fontId="8" applyFont="1" fillId="0" borderId="3" applyBorder="1" xfId="0" applyAlignment="1">
      <alignment vertical="center"/>
    </xf>
    <xf numFmtId="0" fontId="8" applyFont="1" fillId="0" borderId="14" applyBorder="1" xfId="0" applyAlignment="1">
      <alignment horizontal="center" vertical="center"/>
    </xf>
    <xf numFmtId="0" fontId="5" applyFont="1" fillId="0" borderId="4" applyBorder="1" xfId="0" applyAlignment="1">
      <alignment vertical="center" wrapText="1"/>
    </xf>
    <xf numFmtId="0" fontId="5" applyFont="1" fillId="0" borderId="0" applyBorder="1" xfId="0" applyAlignment="1">
      <alignment vertical="center" wrapText="1"/>
    </xf>
    <xf numFmtId="2" applyNumberFormat="1" fontId="8" applyFont="1" fillId="0" applyFill="1" borderId="14" applyBorder="1" xfId="0" applyProtection="1" applyAlignment="1">
      <alignment horizontal="center" vertical="center" wrapText="1"/>
    </xf>
    <xf numFmtId="0" fontId="5" applyFont="1" fillId="0" borderId="14" applyBorder="1" xfId="0" applyAlignment="1">
      <alignment horizontal="center" vertical="center"/>
    </xf>
    <xf numFmtId="4" applyNumberFormat="1" fontId="8" applyFont="1" fillId="0" applyFill="1" borderId="5" applyBorder="1" xfId="0" applyProtection="1" applyAlignment="1">
      <alignment horizontal="center" vertical="center" wrapText="1"/>
    </xf>
    <xf numFmtId="4" applyNumberFormat="1" fontId="5" applyFont="1" fillId="0" applyFill="1" borderId="14" applyBorder="1" xfId="0" applyAlignment="1">
      <alignment horizontal="center" vertical="center" wrapText="1"/>
    </xf>
    <xf numFmtId="0" fontId="5" applyFont="1" fillId="0" borderId="6" applyBorder="1" xfId="0" applyAlignment="1">
      <alignment horizontal="left" vertical="center" wrapText="1"/>
    </xf>
    <xf numFmtId="0" fontId="5" applyFont="1" fillId="0" borderId="7" applyBorder="1" xfId="0" applyAlignment="1">
      <alignment horizontal="left" vertical="center" wrapText="1"/>
    </xf>
    <xf numFmtId="0" fontId="5" applyFont="1" fillId="0" borderId="8" applyBorder="1" xfId="0" applyAlignment="1">
      <alignment horizontal="left" vertical="center" wrapText="1"/>
    </xf>
    <xf numFmtId="2" applyNumberFormat="1" fontId="8" applyFont="1" fillId="0" applyFill="1" borderId="15" applyBorder="1" xfId="0" applyProtection="1" applyAlignment="1">
      <alignment horizontal="center" vertical="center" wrapText="1"/>
    </xf>
    <xf numFmtId="0" fontId="5" applyFont="1" fillId="0" borderId="15" applyBorder="1" xfId="0" applyAlignment="1">
      <alignment horizontal="center" vertical="center"/>
    </xf>
    <xf numFmtId="0" fontId="6" applyFont="1" fillId="2" applyFill="1" borderId="11" applyBorder="1" xfId="0" applyAlignment="1">
      <alignment horizontal="center" vertical="center" wrapText="1"/>
    </xf>
    <xf numFmtId="0" fontId="6" applyFont="1" fillId="2" applyFill="1" borderId="12" applyBorder="1" xfId="0" applyAlignment="1">
      <alignment horizontal="center" vertical="center" wrapText="1"/>
    </xf>
    <xf numFmtId="0" fontId="6" applyFont="1" fillId="2" applyFill="1" borderId="13" applyBorder="1" xfId="0" applyAlignment="1">
      <alignment horizontal="center" vertical="center" wrapText="1"/>
    </xf>
    <xf numFmtId="4" applyNumberFormat="1" fontId="6" applyFont="1" fillId="2" applyFill="1" borderId="9" applyBorder="1" xfId="0" applyAlignment="1">
      <alignment horizontal="center" vertical="center" wrapText="1"/>
    </xf>
    <xf numFmtId="0" fontId="5" applyFont="1" fillId="0" applyFill="1" borderId="0" applyBorder="1" xfId="0" applyAlignment="1">
      <alignment horizontal="left" vertical="center" wrapText="1"/>
    </xf>
    <xf numFmtId="2" applyNumberFormat="1" fontId="8" applyFont="1" fillId="0" applyFill="1" borderId="0" applyBorder="1" xfId="0" applyProtection="1" applyAlignment="1">
      <alignment horizontal="center" vertical="center" wrapText="1"/>
    </xf>
    <xf numFmtId="0" fontId="5" applyFont="1" fillId="0" borderId="0" applyBorder="1" xfId="0" applyAlignment="1">
      <alignment horizontal="center" vertical="center"/>
    </xf>
    <xf numFmtId="0" fontId="6" applyFont="1" fillId="0" borderId="9" applyBorder="1" xfId="0" applyAlignment="1">
      <alignment horizontal="left" vertical="center"/>
    </xf>
    <xf numFmtId="4" applyNumberFormat="1" fontId="6" applyFont="1" fillId="0" borderId="9" applyBorder="1" xfId="0" applyAlignment="1">
      <alignment horizontal="center" vertical="center"/>
    </xf>
    <xf numFmtId="0" fontId="5" applyFont="1" fillId="0" applyFill="1" borderId="11" applyBorder="1" xfId="0" applyAlignment="1">
      <alignment horizontal="center" vertical="center" wrapText="1"/>
    </xf>
    <xf numFmtId="0" fontId="5" applyFont="1" fillId="0" applyFill="1" borderId="12" applyBorder="1" xfId="0" applyAlignment="1">
      <alignment horizontal="center" vertical="center" wrapText="1"/>
    </xf>
    <xf numFmtId="0" fontId="5" applyFont="1" fillId="0" applyFill="1" borderId="13" applyBorder="1" xfId="0" applyAlignment="1">
      <alignment horizontal="center" vertical="center" wrapText="1"/>
    </xf>
    <xf numFmtId="0" fontId="6" applyFont="1" fillId="0" applyFill="1" borderId="11" applyBorder="1" xfId="0" applyAlignment="1">
      <alignment horizontal="left" vertical="center" wrapText="1"/>
    </xf>
    <xf numFmtId="0" fontId="6" applyFont="1" fillId="0" applyFill="1" borderId="12" applyBorder="1" xfId="0" applyAlignment="1">
      <alignment horizontal="left" vertical="center" wrapText="1"/>
    </xf>
    <xf numFmtId="0" fontId="6" applyFont="1" fillId="0" applyFill="1" borderId="12" applyBorder="1" xfId="0" applyAlignment="1">
      <alignment vertical="center" wrapText="1"/>
    </xf>
    <xf numFmtId="0" fontId="6" applyFont="1" fillId="0" borderId="12" applyBorder="1" xfId="0" applyAlignment="1">
      <alignment horizontal="left" vertical="center"/>
    </xf>
    <xf numFmtId="2" applyNumberFormat="1" fontId="6" applyFont="1" fillId="0" borderId="12" applyBorder="1" xfId="0" applyAlignment="1">
      <alignment horizontal="center" vertical="center"/>
    </xf>
    <xf numFmtId="2" applyNumberFormat="1" fontId="6" applyFont="1" fillId="0" borderId="13" applyBorder="1" xfId="0" applyAlignment="1">
      <alignment horizontal="center" vertical="center"/>
    </xf>
    <xf numFmtId="0" fontId="11" applyFont="1" fillId="0" applyFill="1" borderId="11" applyBorder="1" xfId="0" applyAlignment="1">
      <alignment horizontal="center" vertical="center" wrapText="1"/>
    </xf>
    <xf numFmtId="0" fontId="11" applyFont="1" fillId="0" applyFill="1" borderId="12" applyBorder="1" xfId="0" applyAlignment="1">
      <alignment horizontal="center" vertical="center" wrapText="1"/>
    </xf>
    <xf numFmtId="0" fontId="11" applyFont="1" fillId="0" applyFill="1" borderId="13" applyBorder="1" xfId="0" applyAlignment="1">
      <alignment horizontal="center" vertical="center" wrapText="1"/>
    </xf>
    <xf numFmtId="0" fontId="8" applyFont="1" fillId="0" borderId="1" applyBorder="1" xfId="0" applyAlignment="1">
      <alignment horizontal="left" vertical="center"/>
    </xf>
    <xf numFmtId="0" fontId="8" applyFont="1" fillId="0" borderId="2" applyBorder="1" xfId="0" applyAlignment="1">
      <alignment horizontal="left" vertical="center"/>
    </xf>
    <xf numFmtId="0" fontId="8" applyFont="1" fillId="0" borderId="3" applyBorder="1" xfId="0" applyAlignment="1">
      <alignment horizontal="left" vertical="center"/>
    </xf>
    <xf numFmtId="0" fontId="8" applyFont="1" fillId="0" borderId="0" applyBorder="1" xfId="0" applyAlignment="1">
      <alignment horizontal="center" vertical="center"/>
    </xf>
    <xf numFmtId="0" fontId="8" applyFont="1" fillId="0" borderId="5" applyBorder="1" xfId="0" applyAlignment="1">
      <alignment horizontal="center" vertical="center"/>
    </xf>
    <xf numFmtId="0" fontId="8" applyFont="1" fillId="0" borderId="6" applyBorder="1" xfId="0" applyAlignment="1"/>
    <xf numFmtId="0" fontId="8" applyFont="1" fillId="0" borderId="7" applyBorder="1" xfId="0" applyAlignment="1"/>
    <xf numFmtId="0" fontId="8" applyFont="1" fillId="0" borderId="7" applyBorder="1" xfId="0" applyAlignment="1">
      <alignment horizontal="center" vertical="center"/>
    </xf>
    <xf numFmtId="0" fontId="8" applyFont="1" fillId="0" borderId="8" applyBorder="1" xfId="0" applyAlignment="1">
      <alignment horizontal="center" vertical="center"/>
    </xf>
    <xf numFmtId="0" fontId="12" applyFont="1" fillId="0" borderId="4" applyBorder="1" xfId="0" applyAlignment="1">
      <alignment horizontal="center" vertical="center"/>
    </xf>
    <xf numFmtId="0" fontId="12" applyFont="1" fillId="0" borderId="0" applyBorder="1" xfId="0" applyAlignment="1">
      <alignment horizontal="center" vertical="center"/>
    </xf>
    <xf numFmtId="0" fontId="12" applyFont="1" fillId="0" borderId="5" applyBorder="1" xfId="0" applyAlignment="1">
      <alignment horizontal="center" vertical="center"/>
    </xf>
    <xf numFmtId="0" fontId="12" applyFont="1" fillId="0" borderId="6" applyBorder="1" xfId="0" applyAlignment="1">
      <alignment horizontal="center" vertical="center"/>
    </xf>
    <xf numFmtId="0" fontId="12" applyFont="1" fillId="0" borderId="7" applyBorder="1" xfId="0" applyAlignment="1">
      <alignment horizontal="center" vertical="center"/>
    </xf>
    <xf numFmtId="0" fontId="12" applyFont="1" fillId="0" borderId="8" applyBorder="1" xfId="0" applyAlignment="1">
      <alignment horizontal="center" vertical="center"/>
    </xf>
    <xf numFmtId="0" fontId="13" applyFont="1" fillId="0" applyFill="1" borderId="0" applyBorder="1" xfId="0" applyAlignment="1">
      <alignment horizontal="left" vertical="center"/>
    </xf>
    <xf numFmtId="2" applyNumberFormat="1" fontId="14" applyFont="1" fillId="0" borderId="0" applyBorder="1" xfId="0" applyAlignment="1">
      <alignment horizontal="center" vertical="center"/>
    </xf>
    <xf numFmtId="0" fontId="15" applyFont="1" fillId="0" borderId="1" applyBorder="1" xfId="0" applyAlignment="1">
      <alignment horizontal="center" vertical="center"/>
    </xf>
    <xf numFmtId="0" fontId="15" applyFont="1" fillId="0" borderId="2" applyBorder="1" xfId="0" applyAlignment="1">
      <alignment horizontal="center" vertical="center"/>
    </xf>
    <xf numFmtId="0" fontId="15" applyFont="1" fillId="0" borderId="3" applyBorder="1" xfId="0" applyAlignment="1">
      <alignment horizontal="center" vertical="center"/>
    </xf>
    <xf numFmtId="0" fontId="15" applyFont="1" fillId="0" borderId="4" applyBorder="1" xfId="0" applyAlignment="1">
      <alignment horizontal="center" vertical="center"/>
    </xf>
    <xf numFmtId="0" fontId="15" applyFont="1" fillId="0" borderId="0" applyBorder="1" xfId="0" applyAlignment="1">
      <alignment horizontal="center" vertical="center"/>
    </xf>
    <xf numFmtId="0" fontId="15" applyFont="1" fillId="0" borderId="5" applyBorder="1" xfId="0" applyAlignment="1">
      <alignment horizontal="center" vertical="center"/>
    </xf>
    <xf numFmtId="0" fontId="15" applyFont="1" fillId="0" borderId="6" applyBorder="1" xfId="0" applyAlignment="1">
      <alignment horizontal="center" vertical="center"/>
    </xf>
    <xf numFmtId="0" fontId="15" applyFont="1" fillId="0" borderId="7" applyBorder="1" xfId="0" applyAlignment="1">
      <alignment horizontal="center" vertical="center"/>
    </xf>
    <xf numFmtId="0" fontId="15" applyFont="1" fillId="0" borderId="8" applyBorder="1" xfId="0" applyAlignment="1">
      <alignment horizontal="center" vertical="center"/>
    </xf>
    <xf numFmtId="0" fontId="16" applyFont="1" fillId="0" borderId="1" applyBorder="1" xfId="0" applyAlignment="1">
      <alignment horizontal="left" vertical="center"/>
    </xf>
    <xf numFmtId="0" fontId="16" applyFont="1" fillId="0" borderId="3" applyBorder="1" xfId="0" applyAlignment="1">
      <alignment horizontal="left" vertical="center"/>
    </xf>
    <xf numFmtId="0" fontId="13" applyFont="1" fillId="0" applyFill="1" borderId="1" applyBorder="1" xfId="0" applyAlignment="1">
      <alignment horizontal="left" vertical="center"/>
    </xf>
    <xf numFmtId="0" fontId="13" applyFont="1" fillId="0" applyFill="1" borderId="2" applyBorder="1" xfId="0" applyAlignment="1">
      <alignment horizontal="left" vertical="center"/>
    </xf>
    <xf numFmtId="0" fontId="13" applyFont="1" fillId="0" applyFill="1" borderId="3" applyBorder="1" xfId="0" applyAlignment="1">
      <alignment horizontal="left" vertical="center"/>
    </xf>
    <xf numFmtId="164" applyNumberFormat="1" fontId="13" applyFont="1" fillId="0" applyFill="1" borderId="2" applyBorder="1" xfId="0" applyAlignment="1">
      <alignment horizontal="left" vertical="center"/>
    </xf>
    <xf numFmtId="164" applyNumberFormat="1" fontId="13" applyFont="1" fillId="0" applyFill="1" borderId="3" applyBorder="1" xfId="0" applyAlignment="1">
      <alignment horizontal="left" vertical="center"/>
    </xf>
    <xf numFmtId="0" fontId="16" applyFont="1" fillId="0" borderId="4" applyBorder="1" xfId="0" applyAlignment="1">
      <alignment horizontal="left" vertical="center"/>
    </xf>
    <xf numFmtId="0" fontId="16" applyFont="1" fillId="0" borderId="5" applyBorder="1" xfId="0" applyAlignment="1">
      <alignment horizontal="left" vertical="center"/>
    </xf>
    <xf numFmtId="0" fontId="16" applyFont="1" fillId="0" applyFill="1" borderId="0" applyBorder="1" xfId="0" applyAlignment="1">
      <alignment horizontal="left" vertical="center"/>
    </xf>
    <xf numFmtId="0" fontId="16" applyFont="1" fillId="0" borderId="6" applyBorder="1" xfId="0" applyAlignment="1">
      <alignment horizontal="left" vertical="center"/>
    </xf>
    <xf numFmtId="0" fontId="16" applyFont="1" fillId="0" borderId="8" applyBorder="1" xfId="0" applyAlignment="1">
      <alignment horizontal="left" vertical="center"/>
    </xf>
    <xf numFmtId="0" fontId="16" applyFont="1" fillId="0" borderId="7" applyBorder="1" xfId="0" applyAlignment="1">
      <alignment horizontal="left" vertical="center"/>
    </xf>
    <xf numFmtId="0" fontId="17" applyFont="1" fillId="0" borderId="4" applyBorder="1" xfId="0" applyAlignment="1">
      <alignment vertical="center"/>
    </xf>
    <xf numFmtId="0" fontId="17" applyFont="1" fillId="0" borderId="0" applyBorder="1" xfId="0" applyAlignment="1">
      <alignment vertical="center"/>
    </xf>
    <xf numFmtId="0" fontId="17" applyFont="1" fillId="0" borderId="5" applyBorder="1" xfId="0" applyAlignment="1">
      <alignment vertical="center"/>
    </xf>
    <xf numFmtId="0" fontId="18" applyFont="1" fillId="0" borderId="11" applyBorder="1" xfId="0" applyAlignment="1">
      <alignment horizontal="left" vertical="center"/>
    </xf>
    <xf numFmtId="0" fontId="18" applyFont="1" fillId="0" borderId="12" applyBorder="1" xfId="0" applyAlignment="1">
      <alignment horizontal="left" vertical="center"/>
    </xf>
    <xf numFmtId="0" fontId="18" applyFont="1" fillId="0" borderId="13" applyBorder="1" xfId="0" applyAlignment="1">
      <alignment horizontal="left" vertical="center"/>
    </xf>
    <xf numFmtId="0" fontId="13" applyFont="1" fillId="0" borderId="1" applyBorder="1" xfId="0" applyAlignment="1">
      <alignment vertical="center"/>
    </xf>
    <xf numFmtId="0" fontId="13" applyFont="1" fillId="0" borderId="2" applyBorder="1" xfId="0" applyAlignment="1">
      <alignment vertical="center"/>
    </xf>
    <xf numFmtId="0" fontId="13" applyFont="1" fillId="0" borderId="3" applyBorder="1" xfId="0" applyAlignment="1">
      <alignment vertical="center"/>
    </xf>
    <xf numFmtId="0" fontId="17" applyFont="1" fillId="0" borderId="4" applyBorder="1" xfId="0" applyAlignment="1">
      <alignment horizontal="left" vertical="center"/>
    </xf>
    <xf numFmtId="0" fontId="17" applyFont="1" fillId="0" borderId="0" applyBorder="1" xfId="0" applyAlignment="1">
      <alignment horizontal="left" vertical="center"/>
    </xf>
    <xf numFmtId="0" fontId="17" applyFont="1" fillId="0" borderId="5" applyBorder="1" xfId="0" applyAlignment="1">
      <alignment horizontal="left" vertical="center"/>
    </xf>
    <xf numFmtId="0" fontId="16" applyFont="1" fillId="0" borderId="4" applyBorder="1" xfId="0" applyAlignment="1">
      <alignment vertical="center"/>
    </xf>
    <xf numFmtId="0" fontId="16" applyFont="1" fillId="0" borderId="0" applyBorder="1" xfId="0" applyAlignment="1">
      <alignment vertical="center"/>
    </xf>
    <xf numFmtId="0" fontId="16" applyFont="1" fillId="0" borderId="5" applyBorder="1" xfId="0" applyAlignment="1">
      <alignment vertical="center"/>
    </xf>
    <xf numFmtId="0" fontId="13" applyFont="1" fillId="0" borderId="4" applyBorder="1" xfId="0" applyAlignment="1">
      <alignment horizontal="left" vertical="center"/>
    </xf>
    <xf numFmtId="0" fontId="13" applyFont="1" fillId="0" borderId="5" applyBorder="1" xfId="0" applyAlignment="1">
      <alignment horizontal="left" vertical="center"/>
    </xf>
    <xf numFmtId="0" fontId="13" applyFont="1" fillId="0" borderId="4" applyBorder="1" xfId="0" applyAlignment="1">
      <alignment vertical="center"/>
    </xf>
    <xf numFmtId="0" fontId="13" applyFont="1" fillId="0" borderId="0" applyBorder="1" xfId="0" applyAlignment="1">
      <alignment vertical="center"/>
    </xf>
    <xf numFmtId="0" fontId="13" applyFont="1" fillId="0" borderId="5" applyBorder="1" xfId="0" applyAlignment="1">
      <alignment vertical="center"/>
    </xf>
    <xf numFmtId="0" fontId="17" applyFont="1" fillId="0" borderId="6" applyBorder="1" xfId="0" quotePrefix="1" applyAlignment="1">
      <alignment horizontal="left" vertical="center"/>
    </xf>
    <xf numFmtId="0" fontId="17" applyFont="1" fillId="0" borderId="7" applyBorder="1" xfId="0" quotePrefix="1" applyAlignment="1">
      <alignment horizontal="left" vertical="center"/>
    </xf>
    <xf numFmtId="0" fontId="17" applyFont="1" fillId="0" borderId="8" applyBorder="1" xfId="0" quotePrefix="1" applyAlignment="1">
      <alignment horizontal="left" vertical="center"/>
    </xf>
    <xf numFmtId="49" applyNumberFormat="1" fontId="16" applyFont="1" fillId="0" borderId="6" applyBorder="1" xfId="0" applyAlignment="1">
      <alignment vertical="center"/>
    </xf>
    <xf numFmtId="49" applyNumberFormat="1" fontId="16" applyFont="1" fillId="0" borderId="7" applyBorder="1" xfId="0" applyAlignment="1">
      <alignment vertical="center"/>
    </xf>
    <xf numFmtId="49" applyNumberFormat="1" fontId="16" applyFont="1" fillId="0" borderId="8" applyBorder="1" xfId="0" applyAlignment="1">
      <alignment vertical="center"/>
    </xf>
    <xf numFmtId="0" fontId="19" applyFont="1" fillId="0" applyFill="1" borderId="11" applyBorder="1" xfId="0" applyAlignment="1">
      <alignment horizontal="left" vertical="center" wrapText="1"/>
    </xf>
    <xf numFmtId="0" fontId="19" applyFont="1" fillId="0" applyFill="1" borderId="12" applyBorder="1" xfId="0" applyAlignment="1">
      <alignment horizontal="left" vertical="center" wrapText="1"/>
    </xf>
    <xf numFmtId="0" fontId="19" applyFont="1" fillId="0" applyFill="1" borderId="13" applyBorder="1" xfId="0" applyAlignment="1">
      <alignment horizontal="left" vertical="center" wrapText="1"/>
    </xf>
    <xf numFmtId="0" fontId="20" applyFont="1" fillId="0" applyFill="1" borderId="1" applyBorder="1" xfId="0" applyAlignment="1">
      <alignment horizontal="left" vertical="center" wrapText="1"/>
    </xf>
    <xf numFmtId="0" fontId="20" applyFont="1" fillId="0" applyFill="1" borderId="2" applyBorder="1" xfId="0" applyAlignment="1">
      <alignment horizontal="left" vertical="center" wrapText="1"/>
    </xf>
    <xf numFmtId="0" fontId="5" applyFont="1" fillId="0" borderId="4" applyBorder="1" xfId="0" applyAlignment="1">
      <alignment horizontal="left" vertical="center" wrapText="1"/>
    </xf>
    <xf numFmtId="0" fontId="5" applyFont="1" fillId="0" borderId="5" applyBorder="1" xfId="0" applyAlignment="1">
      <alignment horizontal="left" vertical="center" wrapText="1"/>
    </xf>
    <xf numFmtId="0" fontId="5" applyFont="1" fillId="0" applyFill="1" borderId="1" applyBorder="1" xfId="0" applyAlignment="1">
      <alignment vertical="center"/>
    </xf>
    <xf numFmtId="0" fontId="5" applyFont="1" fillId="0" applyFill="1" borderId="2" applyBorder="1" xfId="0" applyAlignment="1">
      <alignment vertical="center"/>
    </xf>
    <xf numFmtId="2" applyNumberFormat="1" fontId="8" applyFont="1" fillId="0" applyFill="1" borderId="2" applyBorder="1" xfId="0" applyProtection="1" applyAlignment="1">
      <alignment horizontal="center" vertical="center" wrapText="1"/>
    </xf>
    <xf numFmtId="0" fontId="5" applyFont="1" fillId="0" borderId="2" applyBorder="1" xfId="0" applyAlignment="1">
      <alignment horizontal="center" vertical="center"/>
    </xf>
    <xf numFmtId="165" applyNumberFormat="1" fontId="6" applyFont="1" fillId="0" borderId="9" applyBorder="1" xfId="0" applyAlignment="1">
      <alignment horizontal="center" vertical="center"/>
    </xf>
    <xf numFmtId="0" fontId="8" applyFont="1" fillId="0" borderId="6" applyBorder="1" xfId="0" applyAlignment="1">
      <alignment horizontal="center" vertical="center"/>
    </xf>
    <xf numFmtId="2" applyNumberFormat="1" fontId="8" applyFont="1" fillId="0" applyFill="1" borderId="7" applyBorder="1" xfId="0" applyProtection="1" applyAlignment="1">
      <alignment horizontal="center" vertical="center" wrapText="1"/>
    </xf>
    <xf numFmtId="0" fontId="5" applyFont="1" fillId="0" borderId="7" applyBorder="1" xfId="0" applyAlignment="1">
      <alignment horizontal="center" vertical="center"/>
    </xf>
    <xf numFmtId="0" fontId="21" applyFont="1" fillId="0" borderId="0" xfId="0" applyAlignment="1"/>
    <xf numFmtId="0" fontId="21" applyFont="1" fillId="0" borderId="1" applyBorder="1" xfId="0" applyAlignment="1"/>
    <xf numFmtId="0" fontId="21" applyFont="1" fillId="0" borderId="2" applyBorder="1" xfId="0" applyAlignment="1"/>
    <xf numFmtId="0" fontId="21" applyFont="1" fillId="0" borderId="3" applyBorder="1" xfId="0" applyAlignment="1"/>
    <xf numFmtId="0" fontId="21" applyFont="1" fillId="0" borderId="4" applyBorder="1" xfId="0" applyAlignment="1"/>
    <xf numFmtId="0" fontId="21" applyFont="1" fillId="0" borderId="5" applyBorder="1" xfId="0" applyAlignment="1"/>
    <xf numFmtId="0" fontId="21" applyFont="1" fillId="0" borderId="6" applyBorder="1" xfId="0" applyAlignment="1"/>
    <xf numFmtId="0" fontId="21" applyFont="1" fillId="0" borderId="7" applyBorder="1" xfId="0" applyAlignment="1"/>
    <xf numFmtId="0" fontId="21" applyFont="1" fillId="0" borderId="8" applyBorder="1" xfId="0" applyAlignment="1"/>
    <xf numFmtId="0" fontId="11" applyFont="1" fillId="0" borderId="9" applyBorder="1" xfId="0" applyAlignment="1">
      <alignment horizontal="center"/>
    </xf>
    <xf numFmtId="0" fontId="19" applyFont="1" fillId="0" borderId="9" applyBorder="1" xfId="0" applyAlignment="1">
      <alignment horizontal="left"/>
    </xf>
    <xf numFmtId="0" fontId="11" applyFont="1" fillId="0" borderId="11" applyBorder="1" xfId="0" applyAlignment="1">
      <alignment horizontal="left"/>
    </xf>
    <xf numFmtId="0" fontId="11" applyFont="1" fillId="0" borderId="12" applyBorder="1" xfId="0" applyAlignment="1">
      <alignment horizontal="left"/>
    </xf>
    <xf numFmtId="0" fontId="11" applyFont="1" fillId="0" borderId="13" applyBorder="1" xfId="0" applyAlignment="1">
      <alignment horizontal="left"/>
    </xf>
    <xf numFmtId="0" fontId="5" applyFont="1" fillId="0" borderId="0" xfId="0" applyAlignment="1"/>
    <xf numFmtId="0" fontId="19" applyFont="1" fillId="0" borderId="9" applyBorder="1" xfId="0" applyAlignment="1">
      <alignment horizontal="left" wrapText="1"/>
    </xf>
    <xf numFmtId="0" fontId="22" applyFont="1" fillId="0" borderId="9" applyBorder="1" xfId="0" applyAlignment="1">
      <alignment horizontal="left"/>
    </xf>
    <xf numFmtId="0" fontId="19" applyFont="1" fillId="0" borderId="11" applyBorder="1" xfId="0" applyAlignment="1">
      <alignment horizontal="left"/>
    </xf>
    <xf numFmtId="0" fontId="19" applyFont="1" fillId="0" borderId="12" applyBorder="1" xfId="0" applyAlignment="1">
      <alignment horizontal="left"/>
    </xf>
    <xf numFmtId="0" fontId="19" applyFont="1" fillId="0" borderId="13" applyBorder="1" xfId="0" applyAlignment="1">
      <alignment horizontal="left"/>
    </xf>
    <xf numFmtId="0" fontId="19" applyFont="1" fillId="0" borderId="11" applyBorder="1" xfId="0" applyAlignment="1">
      <alignment horizontal="center" vertical="center"/>
    </xf>
    <xf numFmtId="0" fontId="19" applyFont="1" fillId="0" borderId="12" applyBorder="1" xfId="0" applyAlignment="1">
      <alignment horizontal="center" vertical="center"/>
    </xf>
    <xf numFmtId="0" fontId="19" applyFont="1" fillId="0" borderId="13" applyBorder="1" xfId="0" applyAlignment="1">
      <alignment horizontal="center" vertical="center"/>
    </xf>
    <xf numFmtId="0" fontId="11" applyFont="1" fillId="3" applyFill="1" borderId="9" applyBorder="1" xfId="0" applyAlignment="1">
      <alignment horizontal="center"/>
    </xf>
    <xf numFmtId="0" fontId="11" applyFont="1" fillId="3" applyFill="1" borderId="11" applyBorder="1" xfId="0" applyAlignment="1">
      <alignment horizontal="left"/>
    </xf>
    <xf numFmtId="0" fontId="11" applyFont="1" fillId="3" applyFill="1" borderId="12" applyBorder="1" xfId="0" applyAlignment="1">
      <alignment horizontal="left"/>
    </xf>
    <xf numFmtId="0" fontId="11" applyFont="1" fillId="3" applyFill="1" borderId="13" applyBorder="1" xfId="0" applyAlignment="1">
      <alignment horizontal="left"/>
    </xf>
    <xf numFmtId="0" fontId="11" applyFont="1" fillId="3" applyFill="1" borderId="11" applyBorder="1" xfId="0" applyAlignment="1">
      <alignment horizontal="right" wrapText="1"/>
    </xf>
    <xf numFmtId="0" fontId="11" applyFont="1" fillId="3" applyFill="1" borderId="13" applyBorder="1" xfId="0" applyAlignment="1">
      <alignment horizontal="right" wrapText="1"/>
    </xf>
    <xf numFmtId="0" fontId="11" applyFont="1" fillId="3" applyFill="1" borderId="11" applyBorder="1" xfId="0" applyAlignment="1">
      <alignment horizontal="right"/>
    </xf>
    <xf numFmtId="0" fontId="11" applyFont="1" fillId="3" applyFill="1" borderId="13" applyBorder="1" xfId="0" applyAlignment="1">
      <alignment horizontal="right"/>
    </xf>
    <xf numFmtId="0" fontId="19" applyFont="1" fillId="0" borderId="9" applyBorder="1" xfId="0" applyAlignment="1">
      <alignment horizontal="center"/>
    </xf>
    <xf numFmtId="4" applyNumberFormat="1" fontId="19" applyFont="1" fillId="0" borderId="11" applyBorder="1" xfId="1" applyAlignment="1">
      <alignment horizontal="right"/>
    </xf>
    <xf numFmtId="4" applyNumberFormat="1" fontId="19" applyFont="1" fillId="0" borderId="13" applyBorder="1" xfId="1" applyAlignment="1">
      <alignment horizontal="right"/>
    </xf>
    <xf numFmtId="4" applyNumberFormat="1" fontId="11" applyFont="1" fillId="0" applyFill="1" borderId="11" applyBorder="1" xfId="1" applyAlignment="1">
      <alignment horizontal="right"/>
    </xf>
    <xf numFmtId="4" applyNumberFormat="1" fontId="11" applyFont="1" fillId="0" applyFill="1" borderId="13" applyBorder="1" xfId="1" applyAlignment="1">
      <alignment horizontal="right"/>
    </xf>
    <xf numFmtId="4" applyNumberFormat="1" fontId="19" applyFont="1" fillId="0" borderId="9" applyBorder="1" xfId="1" applyAlignment="1">
      <alignment horizontal="right"/>
    </xf>
    <xf numFmtId="4" applyNumberFormat="1" fontId="1" applyFont="1" fillId="0" borderId="0" xfId="0" applyAlignment="1"/>
    <xf numFmtId="0" fontId="19" applyFont="1" fillId="0" borderId="11" applyBorder="1" xfId="0" applyAlignment="1">
      <alignment horizontal="left" wrapText="1"/>
    </xf>
    <xf numFmtId="0" fontId="19" applyFont="1" fillId="0" borderId="12" applyBorder="1" xfId="0" applyAlignment="1">
      <alignment horizontal="left" wrapText="1"/>
    </xf>
    <xf numFmtId="0" fontId="19" applyFont="1" fillId="0" borderId="13" applyBorder="1" xfId="0" applyAlignment="1">
      <alignment horizontal="left" wrapText="1"/>
    </xf>
    <xf numFmtId="165" applyNumberFormat="1" fontId="11" applyFont="1" fillId="0" borderId="11" applyBorder="1" xfId="1" applyAlignment="1">
      <alignment horizontal="right"/>
    </xf>
    <xf numFmtId="165" applyNumberFormat="1" fontId="11" applyFont="1" fillId="0" borderId="13" applyBorder="1" xfId="1" applyAlignment="1">
      <alignment horizontal="right"/>
    </xf>
    <xf numFmtId="4" applyNumberFormat="1" fontId="11" applyFont="1" fillId="0" borderId="11" applyBorder="1" xfId="0" applyAlignment="1">
      <alignment horizontal="right"/>
    </xf>
    <xf numFmtId="4" applyNumberFormat="1" fontId="11" applyFont="1" fillId="0" borderId="13" applyBorder="1" xfId="0" applyAlignment="1">
      <alignment horizontal="right"/>
    </xf>
    <xf numFmtId="0" fontId="23" applyFont="1" fillId="3" applyFill="1" borderId="1" applyBorder="1" xfId="0" applyAlignment="1">
      <alignment horizontal="center" vertical="center" wrapText="1"/>
    </xf>
    <xf numFmtId="0" fontId="23" applyFont="1" fillId="3" applyFill="1" borderId="2" applyBorder="1" xfId="0" applyAlignment="1">
      <alignment horizontal="center" vertical="center" wrapText="1"/>
    </xf>
    <xf numFmtId="0" fontId="23" applyFont="1" fillId="3" applyFill="1" borderId="3" applyBorder="1" xfId="0" applyAlignment="1">
      <alignment horizontal="center" vertical="center" wrapText="1"/>
    </xf>
    <xf numFmtId="0" fontId="5" applyFont="1" fillId="0" borderId="4" applyBorder="1" xfId="0" applyAlignment="1">
      <alignment horizontal="center" wrapText="1"/>
    </xf>
    <xf numFmtId="0" fontId="5" applyFont="1" fillId="0" borderId="0" xfId="0" applyAlignment="1">
      <alignment horizontal="left" wrapText="1"/>
    </xf>
    <xf numFmtId="0" fontId="5" applyFont="1" fillId="0" borderId="5" applyBorder="1" xfId="0" applyAlignment="1">
      <alignment horizontal="left" wrapText="1"/>
    </xf>
    <xf numFmtId="0" fontId="5" applyFont="1" fillId="0" borderId="4" applyBorder="1" xfId="0" applyAlignment="1">
      <alignment horizontal="center"/>
    </xf>
    <xf numFmtId="0" fontId="5" applyFont="1" fillId="0" borderId="0" xfId="0" applyAlignment="1">
      <alignment horizontal="left"/>
    </xf>
    <xf numFmtId="0" fontId="5" applyFont="1" fillId="0" borderId="5" applyBorder="1" xfId="0" applyAlignment="1">
      <alignment horizontal="left"/>
    </xf>
    <xf numFmtId="0" fontId="19" applyFont="1" fillId="0" borderId="11" applyBorder="1" xfId="0" applyAlignment="1">
      <alignment horizontal="center"/>
    </xf>
    <xf numFmtId="0" fontId="19" applyFont="1" fillId="0" borderId="12" applyBorder="1" xfId="0" applyAlignment="1">
      <alignment horizontal="center"/>
    </xf>
    <xf numFmtId="0" fontId="19" applyFont="1" fillId="0" borderId="13" applyBorder="1" xfId="0" applyAlignment="1">
      <alignment horizontal="center"/>
    </xf>
    <xf numFmtId="0" fontId="19" applyFont="1" fillId="0" borderId="1" applyBorder="1" xfId="0" applyAlignment="1"/>
    <xf numFmtId="0" fontId="19" applyFont="1" fillId="0" borderId="2" applyBorder="1" xfId="0" applyAlignment="1"/>
    <xf numFmtId="0" fontId="19" applyFont="1" fillId="0" borderId="3" applyBorder="1" xfId="0" applyAlignment="1"/>
    <xf numFmtId="0" fontId="19" applyFont="1" fillId="0" borderId="6" applyBorder="1" xfId="0" applyAlignment="1"/>
    <xf numFmtId="0" fontId="19" applyFont="1" fillId="0" borderId="7" applyBorder="1" xfId="0" applyAlignment="1"/>
    <xf numFmtId="0" fontId="19" applyFont="1" fillId="0" borderId="8" applyBorder="1" xfId="0" applyAlignment="1"/>
    <xf numFmtId="0" fontId="11" applyFont="1" fillId="0" borderId="11" applyBorder="1" xfId="0" applyAlignment="1">
      <alignment horizontal="center"/>
    </xf>
    <xf numFmtId="0" fontId="11" applyFont="1" fillId="0" borderId="12" applyBorder="1" xfId="0" applyAlignment="1">
      <alignment horizontal="center"/>
    </xf>
    <xf numFmtId="0" fontId="11" applyFont="1" fillId="0" borderId="13" applyBorder="1" xfId="0" applyAlignment="1">
      <alignment horizontal="center"/>
    </xf>
    <xf numFmtId="167" applyNumberFormat="1" fontId="19" applyFont="1" fillId="0" borderId="11" applyBorder="1" xfId="0" applyAlignment="1">
      <alignment horizontal="center"/>
    </xf>
    <xf numFmtId="167" applyNumberFormat="1" fontId="19" applyFont="1" fillId="0" borderId="12" applyBorder="1" xfId="0" applyAlignment="1">
      <alignment horizontal="center"/>
    </xf>
    <xf numFmtId="167" applyNumberFormat="1" fontId="19" applyFont="1" fillId="0" borderId="13" applyBorder="1" xfId="0" applyAlignment="1">
      <alignment horizontal="center"/>
    </xf>
    <xf numFmtId="168" applyNumberFormat="1" fontId="21" applyFont="1" fillId="0" borderId="0" xfId="0" applyAlignment="1"/>
    <xf numFmtId="0" fontId="1" applyFont="1" fillId="0" borderId="0" xfId="0" applyAlignment="1">
      <alignment horizontal="left" indent="1"/>
    </xf>
    <xf numFmtId="0" fontId="24" applyFont="1" fillId="0" borderId="11" applyBorder="1" xfId="0" applyAlignment="1">
      <alignment horizontal="center" vertical="center"/>
    </xf>
    <xf numFmtId="0" fontId="24" applyFont="1" fillId="0" borderId="12" applyBorder="1" xfId="0" applyAlignment="1">
      <alignment horizontal="center" vertical="center"/>
    </xf>
    <xf numFmtId="0" fontId="24" applyFont="1" fillId="0" borderId="13" applyBorder="1" xfId="0" applyAlignment="1">
      <alignment horizontal="center" vertical="center"/>
    </xf>
    <xf numFmtId="0" fontId="17" applyFont="1" fillId="0" borderId="9" applyBorder="1" xfId="0" applyAlignment="1">
      <alignment horizontal="left"/>
    </xf>
    <xf numFmtId="0" fontId="17" applyFont="1" fillId="0" borderId="9" applyBorder="1" xfId="0" applyAlignment="1">
      <alignment horizontal="center"/>
    </xf>
    <xf numFmtId="164" applyNumberFormat="1" fontId="17" applyFont="1" fillId="0" applyFill="1" borderId="9" applyBorder="1" xfId="0" applyAlignment="1">
      <alignment horizontal="left"/>
    </xf>
    <xf numFmtId="15" applyNumberFormat="1" fontId="17" applyFont="1" fillId="0" borderId="9" applyBorder="1" xfId="0" applyAlignment="1">
      <alignment horizontal="left"/>
    </xf>
    <xf numFmtId="0" fontId="17" applyFont="1" fillId="0" borderId="11" applyBorder="1" xfId="0" applyAlignment="1">
      <alignment horizontal="left"/>
    </xf>
    <xf numFmtId="0" fontId="17" applyFont="1" fillId="0" borderId="12" applyBorder="1" xfId="0" applyAlignment="1">
      <alignment horizontal="left"/>
    </xf>
    <xf numFmtId="0" fontId="17" applyFont="1" fillId="0" borderId="13" applyBorder="1" xfId="0" applyAlignment="1">
      <alignment horizontal="left"/>
    </xf>
    <xf numFmtId="0" fontId="25" applyFont="1" fillId="3" applyFill="1" borderId="10" applyBorder="1" xfId="0" applyAlignment="1">
      <alignment horizontal="center" vertical="center" wrapText="1"/>
    </xf>
    <xf numFmtId="0" fontId="25" applyFont="1" fillId="3" applyFill="1" borderId="10" applyBorder="1" xfId="0" applyAlignment="1">
      <alignment horizontal="center" vertical="center"/>
    </xf>
    <xf numFmtId="0" fontId="25" applyFont="1" fillId="3" applyFill="1" borderId="11" applyBorder="1" xfId="0" applyAlignment="1">
      <alignment horizontal="center" vertical="center"/>
    </xf>
    <xf numFmtId="0" fontId="25" applyFont="1" fillId="3" applyFill="1" borderId="12" applyBorder="1" xfId="0" applyAlignment="1">
      <alignment horizontal="center" vertical="center"/>
    </xf>
    <xf numFmtId="0" fontId="25" applyFont="1" fillId="3" applyFill="1" borderId="13" applyBorder="1" xfId="0" applyAlignment="1">
      <alignment horizontal="center" vertical="center"/>
    </xf>
    <xf numFmtId="0" fontId="25" applyFont="1" fillId="3" applyFill="1" borderId="11" applyBorder="1" xfId="0" applyAlignment="1">
      <alignment horizontal="center" vertical="center" wrapText="1"/>
    </xf>
    <xf numFmtId="0" fontId="25" applyFont="1" fillId="3" applyFill="1" borderId="13" applyBorder="1" xfId="0" applyAlignment="1">
      <alignment horizontal="center" vertical="center" wrapText="1"/>
    </xf>
    <xf numFmtId="0" fontId="25" applyFont="1" fillId="3" applyFill="1" borderId="12" applyBorder="1" xfId="0" applyAlignment="1">
      <alignment horizontal="center" vertical="center" wrapText="1"/>
    </xf>
    <xf numFmtId="0" fontId="25" applyFont="1" fillId="3" applyFill="1" borderId="15" applyBorder="1" xfId="0" applyAlignment="1">
      <alignment horizontal="center" vertical="center" wrapText="1"/>
    </xf>
    <xf numFmtId="0" fontId="25" applyFont="1" fillId="3" applyFill="1" borderId="15" applyBorder="1" xfId="0" applyAlignment="1">
      <alignment horizontal="center" vertical="center"/>
    </xf>
    <xf numFmtId="0" fontId="25" applyFont="1" fillId="3" applyFill="1" borderId="9" applyBorder="1" xfId="0" applyAlignment="1">
      <alignment horizontal="center" vertical="center"/>
    </xf>
    <xf numFmtId="0" fontId="25" applyFont="1" fillId="3" applyFill="1" borderId="8" applyBorder="1" xfId="0" applyAlignment="1">
      <alignment horizontal="center" vertical="center" wrapText="1"/>
    </xf>
    <xf numFmtId="0" fontId="25" applyFont="1" fillId="3" applyFill="1" borderId="9" applyBorder="1" xfId="0" applyAlignment="1">
      <alignment horizontal="left" vertical="center" indent="1"/>
    </xf>
    <xf numFmtId="0" fontId="25" applyFont="1" fillId="3" applyFill="1" borderId="8" applyBorder="1" xfId="0" applyAlignment="1">
      <alignment horizontal="center" vertical="center"/>
    </xf>
    <xf numFmtId="0" fontId="25" applyFont="1" fillId="0" borderId="14" applyBorder="1" xfId="0" applyAlignment="1">
      <alignment horizontal="center"/>
    </xf>
    <xf numFmtId="0" fontId="26" applyFont="1" fillId="0" borderId="14" applyBorder="1" xfId="0" applyAlignment="1">
      <alignment horizontal="center"/>
    </xf>
    <xf numFmtId="0" fontId="27" applyFont="1" fillId="0" borderId="14" applyBorder="1" xfId="0" applyAlignment="1">
      <alignment horizontal="left"/>
    </xf>
    <xf numFmtId="0" fontId="26" applyFont="1" fillId="0" borderId="14" applyBorder="1" xfId="0" applyAlignment="1"/>
    <xf numFmtId="4" applyNumberFormat="1" fontId="26" applyFont="1" fillId="0" borderId="5" applyBorder="1" xfId="0" applyAlignment="1"/>
    <xf numFmtId="4" applyNumberFormat="1" fontId="26" applyFont="1" fillId="0" borderId="14" applyBorder="1" xfId="0" applyAlignment="1"/>
    <xf numFmtId="0" fontId="26" applyFont="1" fillId="0" applyFill="1" borderId="14" applyBorder="1" xfId="0" applyAlignment="1">
      <alignment horizontal="left" indent="1"/>
    </xf>
    <xf numFmtId="0" fontId="26" applyFont="1" fillId="0" borderId="5" applyBorder="1" xfId="0" applyAlignment="1"/>
    <xf numFmtId="0" fontId="26" applyFont="1" fillId="0" borderId="9" applyBorder="1" xfId="0" applyAlignment="1">
      <alignment horizontal="center"/>
    </xf>
    <xf numFmtId="0" fontId="26" applyFont="1" fillId="0" borderId="9" applyBorder="1" xfId="0" applyAlignment="1">
      <alignment horizontal="left"/>
    </xf>
    <xf numFmtId="0" fontId="25" applyFont="1" fillId="0" borderId="9" applyBorder="1" xfId="0" applyAlignment="1">
      <alignment horizontal="center"/>
    </xf>
    <xf numFmtId="4" applyNumberFormat="1" fontId="25" applyFont="1" fillId="0" borderId="9" applyBorder="1" xfId="0" applyAlignment="1">
      <alignment horizontal="center"/>
    </xf>
    <xf numFmtId="2" applyNumberFormat="1" fontId="25" applyFont="1" fillId="0" borderId="9" applyBorder="1" xfId="0" applyAlignment="1">
      <alignment horizontal="center"/>
    </xf>
    <xf numFmtId="165" applyNumberFormat="1" fontId="26" applyFont="1" fillId="0" borderId="9" applyBorder="1" xfId="0" applyAlignment="1">
      <alignment horizontal="center"/>
    </xf>
    <xf numFmtId="4" applyNumberFormat="1" fontId="26" applyFont="1" fillId="3" applyFill="1" borderId="9" applyBorder="1" xfId="0" applyAlignment="1">
      <alignment horizontal="left" indent="1"/>
    </xf>
    <xf numFmtId="4" applyNumberFormat="1" fontId="26" applyFont="1" fillId="3" applyFill="1" borderId="9" applyBorder="1" xfId="0" applyAlignment="1">
      <alignment horizontal="center"/>
    </xf>
    <xf numFmtId="165" applyNumberFormat="1" fontId="26" applyFont="1" fillId="0" borderId="13" applyBorder="1" xfId="0" applyAlignment="1">
      <alignment horizontal="center"/>
    </xf>
    <xf numFmtId="165" applyNumberFormat="1" fontId="1" applyFont="1" fillId="0" borderId="0" xfId="0" applyAlignment="1"/>
    <xf numFmtId="0" fontId="26" applyFont="1" fillId="0" borderId="14" applyBorder="1" xfId="0" applyAlignment="1">
      <alignment horizontal="left"/>
    </xf>
    <xf numFmtId="0" fontId="26" applyFont="1" fillId="0" borderId="9" applyBorder="1" xfId="0" applyAlignment="1"/>
    <xf numFmtId="49" applyNumberFormat="1" fontId="25" applyFont="1" fillId="0" borderId="9" applyBorder="1" xfId="0" applyAlignment="1">
      <alignment horizontal="center"/>
    </xf>
    <xf numFmtId="4" applyNumberFormat="1" fontId="25" applyFont="1" fillId="3" applyFill="1" borderId="9" applyBorder="1" xfId="0" applyAlignment="1">
      <alignment horizontal="left" indent="1"/>
    </xf>
    <xf numFmtId="165" applyNumberFormat="1" fontId="25" applyFont="1" fillId="3" applyFill="1" borderId="9" applyBorder="1" xfId="0" applyAlignment="1">
      <alignment horizontal="center"/>
    </xf>
    <xf numFmtId="0" fontId="25" applyFont="1" fillId="0" borderId="10" applyBorder="1" xfId="0" applyAlignment="1">
      <alignment horizontal="center"/>
    </xf>
    <xf numFmtId="0" fontId="27" applyFont="1" fillId="0" borderId="9" applyBorder="1" xfId="0" applyAlignment="1">
      <alignment horizontal="center" wrapText="1"/>
    </xf>
    <xf numFmtId="0" fontId="27" applyFont="1" fillId="0" borderId="9" applyBorder="1" xfId="0" applyAlignment="1"/>
    <xf numFmtId="0" fontId="27" applyFont="1" fillId="0" borderId="9" applyBorder="1" xfId="0" applyAlignment="1">
      <alignment horizontal="center"/>
    </xf>
    <xf numFmtId="0" fontId="27" applyFont="1" fillId="0" borderId="13" applyBorder="1" xfId="0" applyAlignment="1">
      <alignment horizontal="center"/>
    </xf>
    <xf numFmtId="4" applyNumberFormat="1" fontId="27" applyFont="1" fillId="0" borderId="9" applyBorder="1" xfId="0" applyAlignment="1">
      <alignment horizontal="center"/>
    </xf>
    <xf numFmtId="165" applyNumberFormat="1" fontId="4" applyFont="1" fillId="0" borderId="10" applyBorder="1" xfId="0" applyAlignment="1">
      <alignment horizontal="center"/>
    </xf>
    <xf numFmtId="4" applyNumberFormat="1" fontId="27" applyFont="1" fillId="3" applyFill="1" borderId="3" applyBorder="1" xfId="0" applyAlignment="1">
      <alignment horizontal="left" indent="1"/>
    </xf>
    <xf numFmtId="165" applyNumberFormat="1" fontId="26" applyFont="1" fillId="3" applyFill="1" borderId="9" applyBorder="1" xfId="0" applyAlignment="1">
      <alignment horizontal="center"/>
    </xf>
    <xf numFmtId="0" fontId="26" applyFont="1" fillId="0" borderId="9" applyBorder="1" xfId="0" applyAlignment="1">
      <alignment horizontal="center" wrapText="1"/>
    </xf>
    <xf numFmtId="165" applyNumberFormat="1" fontId="4" applyFont="1" fillId="0" borderId="9" applyBorder="1" xfId="0" applyAlignment="1">
      <alignment horizontal="center"/>
    </xf>
    <xf numFmtId="4" applyNumberFormat="1" fontId="4" applyFont="1" fillId="3" applyFill="1" borderId="9" applyBorder="1" xfId="0" applyAlignment="1">
      <alignment horizontal="left" indent="1"/>
    </xf>
    <xf numFmtId="4" applyNumberFormat="1" fontId="26" applyFont="1" fillId="0" borderId="9" applyBorder="1" xfId="0" applyAlignment="1">
      <alignment horizontal="center"/>
    </xf>
    <xf numFmtId="0" fontId="26" applyFont="1" fillId="0" borderId="8" applyBorder="1" xfId="0" applyAlignment="1">
      <alignment horizontal="center" wrapText="1"/>
    </xf>
    <xf numFmtId="0" fontId="26" applyFont="1" fillId="0" borderId="13" applyBorder="1" xfId="0" applyAlignment="1"/>
    <xf numFmtId="0" fontId="27" applyFont="1" fillId="0" borderId="13" applyBorder="1" xfId="0" applyAlignment="1"/>
    <xf numFmtId="4" applyNumberFormat="1" fontId="27" applyFont="1" fillId="3" applyFill="1" borderId="9" applyBorder="1" xfId="0" applyAlignment="1">
      <alignment horizontal="left" indent="1"/>
    </xf>
    <xf numFmtId="4" applyNumberFormat="1" fontId="25" applyFont="1" fillId="0" borderId="13" applyBorder="1" xfId="0" applyAlignment="1">
      <alignment horizontal="center"/>
    </xf>
    <xf numFmtId="0" fontId="27" applyFont="1" fillId="0" borderId="5" applyBorder="1" xfId="0" applyAlignment="1"/>
    <xf numFmtId="165" applyNumberFormat="1" fontId="26" applyFont="1" fillId="0" borderId="14" applyBorder="1" xfId="0" applyAlignment="1">
      <alignment horizontal="center"/>
    </xf>
    <xf numFmtId="4" applyNumberFormat="1" fontId="26" applyFont="1" fillId="3" applyFill="1" borderId="14" applyBorder="1" xfId="0" applyAlignment="1">
      <alignment horizontal="left" indent="1"/>
    </xf>
    <xf numFmtId="0" fontId="26" applyFont="1" fillId="0" borderId="10" applyBorder="1" xfId="0" applyAlignment="1">
      <alignment horizontal="center"/>
    </xf>
    <xf numFmtId="0" fontId="27" applyFont="1" fillId="0" borderId="10" applyBorder="1" xfId="0" applyAlignment="1"/>
    <xf numFmtId="165" applyNumberFormat="1" fontId="26" applyFont="1" fillId="0" borderId="10" applyBorder="1" xfId="0" applyAlignment="1">
      <alignment horizontal="center"/>
    </xf>
    <xf numFmtId="4" applyNumberFormat="1" fontId="26" applyFont="1" fillId="3" applyFill="1" borderId="10" applyBorder="1" xfId="0" applyAlignment="1">
      <alignment horizontal="left" indent="1"/>
    </xf>
    <xf numFmtId="0" fontId="26" applyFont="1" fillId="4" applyFill="1" borderId="9" applyBorder="1" xfId="0" applyAlignment="1">
      <alignment horizontal="center"/>
    </xf>
    <xf numFmtId="0" fontId="25" applyFont="1" fillId="4" applyFill="1" borderId="9" applyBorder="1" xfId="0" applyAlignment="1">
      <alignment horizontal="center" vertical="center" wrapText="1"/>
    </xf>
    <xf numFmtId="0" fontId="25" applyFont="1" fillId="4" applyFill="1" borderId="9" applyBorder="1" xfId="0" applyAlignment="1">
      <alignment horizontal="center"/>
    </xf>
    <xf numFmtId="4" applyNumberFormat="1" fontId="25" applyFont="1" fillId="4" applyFill="1" borderId="9" applyBorder="1" xfId="0" applyAlignment="1">
      <alignment horizontal="center"/>
    </xf>
    <xf numFmtId="165" applyNumberFormat="1" fontId="25" applyFont="1" fillId="4" applyFill="1" borderId="9" applyBorder="1" xfId="0" applyAlignment="1">
      <alignment horizontal="center" vertical="center"/>
    </xf>
    <xf numFmtId="165" applyNumberFormat="1" fontId="25" applyFont="1" fillId="4" applyFill="1" borderId="9" applyBorder="1" xfId="0" applyAlignment="1">
      <alignment horizontal="center"/>
    </xf>
    <xf numFmtId="165" applyNumberFormat="1" fontId="26" applyFont="1" fillId="4" applyFill="1" borderId="9" applyBorder="1" xfId="0" quotePrefix="1" applyAlignment="1">
      <alignment horizontal="center"/>
    </xf>
    <xf numFmtId="165" applyNumberFormat="1" fontId="26" applyFont="1" fillId="4" applyFill="1" borderId="9" applyBorder="1" xfId="0" applyAlignment="1">
      <alignment horizontal="center"/>
    </xf>
    <xf numFmtId="0" fontId="28" applyFont="1" fillId="4" applyFill="1" borderId="9" applyBorder="1" xfId="2" applyAlignment="1">
      <alignment horizontal="center"/>
    </xf>
    <xf numFmtId="0" fontId="26" applyFont="1" fillId="0" applyFill="1" borderId="4" applyBorder="1" xfId="0" applyAlignment="1">
      <alignment horizontal="center"/>
    </xf>
    <xf numFmtId="0" fontId="25" applyFont="1" fillId="0" applyFill="1" borderId="0" applyBorder="1" xfId="0" applyAlignment="1">
      <alignment horizontal="center" vertical="center" wrapText="1"/>
    </xf>
    <xf numFmtId="0" fontId="25" applyFont="1" fillId="0" applyFill="1" borderId="0" applyBorder="1" xfId="0" applyAlignment="1">
      <alignment horizontal="center"/>
    </xf>
    <xf numFmtId="4" applyNumberFormat="1" fontId="25" applyFont="1" fillId="0" applyFill="1" borderId="0" applyBorder="1" xfId="0" applyAlignment="1">
      <alignment horizontal="center"/>
    </xf>
    <xf numFmtId="165" applyNumberFormat="1" fontId="25" applyFont="1" fillId="0" applyFill="1" borderId="0" applyBorder="1" xfId="0" applyAlignment="1">
      <alignment horizontal="center" vertical="center"/>
    </xf>
    <xf numFmtId="165" applyNumberFormat="1" fontId="25" applyFont="1" fillId="0" applyFill="1" borderId="0" applyBorder="1" xfId="0" applyAlignment="1">
      <alignment horizontal="left" vertical="center" indent="1"/>
    </xf>
    <xf numFmtId="165" applyNumberFormat="1" fontId="25" applyFont="1" fillId="0" applyFill="1" borderId="0" applyBorder="1" xfId="0" applyAlignment="1">
      <alignment horizontal="center"/>
    </xf>
    <xf numFmtId="165" applyNumberFormat="1" fontId="26" applyFont="1" fillId="0" applyFill="1" borderId="0" applyBorder="1" xfId="0" quotePrefix="1" applyAlignment="1">
      <alignment horizontal="center"/>
    </xf>
    <xf numFmtId="165" applyNumberFormat="1" fontId="26" applyFont="1" fillId="0" applyFill="1" borderId="5" applyBorder="1" xfId="0" applyAlignment="1">
      <alignment horizontal="center"/>
    </xf>
    <xf numFmtId="0" fontId="1" applyFont="1" fillId="4" applyFill="1" borderId="0" xfId="0" applyAlignment="1"/>
    <xf numFmtId="165" applyNumberFormat="1" fontId="26" applyFont="1" fillId="0" applyFill="1" borderId="9" applyBorder="1" xfId="0" applyAlignment="1">
      <alignment horizontal="left" indent="1"/>
    </xf>
    <xf numFmtId="165" applyNumberFormat="1" fontId="25" applyFont="1" fillId="0" applyFill="1" borderId="9" applyBorder="1" xfId="0" applyAlignment="1">
      <alignment horizontal="center"/>
    </xf>
    <xf numFmtId="165" applyNumberFormat="1" fontId="1" applyFont="1" fillId="4" applyFill="1" borderId="0" xfId="0" applyAlignment="1"/>
    <xf numFmtId="0" fontId="1" applyFont="1" fillId="5" applyFill="1" borderId="0" xfId="0" applyAlignment="1"/>
    <xf numFmtId="165" applyNumberFormat="1" fontId="1" applyFont="1" fillId="5" applyFill="1" borderId="0" xfId="0" applyAlignment="1"/>
    <xf numFmtId="0" fontId="27" applyFont="1" fillId="4" applyFill="1" borderId="9" applyBorder="1" xfId="0" applyAlignment="1">
      <alignment horizontal="center"/>
    </xf>
    <xf numFmtId="0" fontId="26" applyFont="1" fillId="0" borderId="0" applyBorder="1" xfId="0" applyAlignment="1">
      <alignment horizontal="center"/>
    </xf>
    <xf numFmtId="0" fontId="27" applyFont="1" fillId="0" borderId="0" applyBorder="1" xfId="0" applyAlignment="1"/>
    <xf numFmtId="165" applyNumberFormat="1" fontId="26" applyFont="1" fillId="0" borderId="0" applyBorder="1" xfId="0" applyAlignment="1">
      <alignment horizontal="center"/>
    </xf>
    <xf numFmtId="165" applyNumberFormat="1" fontId="26" applyFont="1" fillId="0" applyFill="1" borderId="0" applyBorder="1" xfId="0" applyAlignment="1">
      <alignment horizontal="left" indent="1"/>
    </xf>
    <xf numFmtId="0" fontId="26" applyFont="1" fillId="0" borderId="10" applyBorder="1" xfId="0" applyAlignment="1"/>
    <xf numFmtId="0" fontId="26" applyFont="1" fillId="4" applyFill="1" borderId="10" applyBorder="1" xfId="0" applyAlignment="1">
      <alignment horizontal="center"/>
    </xf>
    <xf numFmtId="0" fontId="25" applyFont="1" fillId="4" applyFill="1" borderId="10" applyBorder="1" xfId="0" applyAlignment="1">
      <alignment horizontal="center" vertical="center" wrapText="1"/>
    </xf>
    <xf numFmtId="0" fontId="25" applyFont="1" fillId="4" applyFill="1" borderId="11" applyBorder="1" xfId="0" applyAlignment="1">
      <alignment horizontal="center"/>
    </xf>
    <xf numFmtId="0" fontId="25" applyFont="1" fillId="4" applyFill="1" borderId="12" applyBorder="1" xfId="0" applyAlignment="1">
      <alignment horizontal="center"/>
    </xf>
    <xf numFmtId="0" fontId="25" applyFont="1" fillId="4" applyFill="1" borderId="13" applyBorder="1" xfId="0" applyAlignment="1">
      <alignment horizontal="center"/>
    </xf>
    <xf numFmtId="165" applyNumberFormat="1" fontId="26" applyFont="1" fillId="4" applyFill="1" borderId="11" applyBorder="1" xfId="0" quotePrefix="1" applyAlignment="1">
      <alignment horizontal="center"/>
    </xf>
    <xf numFmtId="165" applyNumberFormat="1" fontId="26" applyFont="1" fillId="4" applyFill="1" borderId="13" applyBorder="1" xfId="0" applyAlignment="1">
      <alignment horizontal="center"/>
    </xf>
    <xf numFmtId="0" fontId="26" applyFont="1" fillId="4" applyFill="1" borderId="14" applyBorder="1" xfId="0" applyAlignment="1">
      <alignment horizontal="center"/>
    </xf>
    <xf numFmtId="0" fontId="25" applyFont="1" fillId="4" applyFill="1" borderId="14" applyBorder="1" xfId="0" applyAlignment="1">
      <alignment horizontal="center" vertical="center" wrapText="1"/>
    </xf>
    <xf numFmtId="0" fontId="28" applyFont="1" fillId="4" applyFill="1" borderId="11" applyBorder="1" xfId="2" applyAlignment="1">
      <alignment horizontal="center"/>
    </xf>
    <xf numFmtId="4" applyNumberFormat="1" fontId="25" applyFont="1" fillId="4" applyFill="1" borderId="9" applyBorder="1" xfId="0" applyAlignment="1">
      <alignment horizontal="center" vertical="center"/>
    </xf>
    <xf numFmtId="0" fontId="26" applyFont="1" fillId="4" applyFill="1" borderId="15" applyBorder="1" xfId="0" applyAlignment="1">
      <alignment horizontal="center"/>
    </xf>
    <xf numFmtId="0" fontId="25" applyFont="1" fillId="4" applyFill="1" borderId="15" applyBorder="1" xfId="0" applyAlignment="1">
      <alignment horizontal="center" vertical="center" wrapText="1"/>
    </xf>
    <xf numFmtId="0" fontId="26" applyFont="1" fillId="3" applyFill="1" borderId="10" applyBorder="1" xfId="0" applyAlignment="1">
      <alignment horizontal="center"/>
    </xf>
    <xf numFmtId="0" fontId="25" applyFont="1" fillId="3" applyFill="1" borderId="11" applyBorder="1" xfId="0" applyAlignment="1">
      <alignment horizontal="center"/>
    </xf>
    <xf numFmtId="0" fontId="25" applyFont="1" fillId="3" applyFill="1" borderId="12" applyBorder="1" xfId="0" applyAlignment="1">
      <alignment horizontal="center"/>
    </xf>
    <xf numFmtId="0" fontId="25" applyFont="1" fillId="3" applyFill="1" borderId="13" applyBorder="1" xfId="0" applyAlignment="1">
      <alignment horizontal="center"/>
    </xf>
    <xf numFmtId="4" applyNumberFormat="1" fontId="25" applyFont="1" fillId="3" applyFill="1" borderId="9" applyBorder="1" xfId="0" applyAlignment="1">
      <alignment horizontal="center" vertical="center"/>
    </xf>
    <xf numFmtId="165" applyNumberFormat="1" fontId="25" applyFont="1" fillId="3" applyFill="1" borderId="1" applyBorder="1" xfId="0" applyAlignment="1">
      <alignment horizontal="center" vertical="center" wrapText="1"/>
    </xf>
    <xf numFmtId="165" applyNumberFormat="1" fontId="25" applyFont="1" fillId="3" applyFill="1" borderId="2" applyBorder="1" xfId="0" applyAlignment="1">
      <alignment horizontal="center" vertical="center"/>
    </xf>
    <xf numFmtId="165" applyNumberFormat="1" fontId="25" applyFont="1" fillId="3" applyFill="1" borderId="3" applyBorder="1" xfId="0" applyAlignment="1">
      <alignment horizontal="center" vertical="center"/>
    </xf>
    <xf numFmtId="165" applyNumberFormat="1" fontId="26" applyFont="1" fillId="3" applyFill="1" borderId="11" applyBorder="1" xfId="0" quotePrefix="1" applyAlignment="1">
      <alignment horizontal="center"/>
    </xf>
    <xf numFmtId="165" applyNumberFormat="1" fontId="26" applyFont="1" fillId="3" applyFill="1" borderId="13" applyBorder="1" xfId="0" applyAlignment="1">
      <alignment horizontal="center"/>
    </xf>
    <xf numFmtId="0" fontId="26" applyFont="1" fillId="3" applyFill="1" borderId="14" applyBorder="1" xfId="0" applyAlignment="1">
      <alignment horizontal="center"/>
    </xf>
    <xf numFmtId="0" fontId="25" applyFont="1" fillId="3" applyFill="1" borderId="14" applyBorder="1" xfId="0" applyAlignment="1">
      <alignment horizontal="center" vertical="center"/>
    </xf>
    <xf numFmtId="0" fontId="28" applyFont="1" fillId="3" applyFill="1" borderId="11" applyBorder="1" xfId="2" applyAlignment="1">
      <alignment horizontal="center"/>
    </xf>
    <xf numFmtId="165" applyNumberFormat="1" fontId="25" applyFont="1" fillId="3" applyFill="1" borderId="4" applyBorder="1" xfId="0" applyAlignment="1">
      <alignment horizontal="center" vertical="center"/>
    </xf>
    <xf numFmtId="165" applyNumberFormat="1" fontId="25" applyFont="1" fillId="3" applyFill="1" borderId="0" applyBorder="1" xfId="0" applyAlignment="1">
      <alignment horizontal="center" vertical="center"/>
    </xf>
    <xf numFmtId="165" applyNumberFormat="1" fontId="25" applyFont="1" fillId="3" applyFill="1" borderId="5" applyBorder="1" xfId="0" applyAlignment="1">
      <alignment horizontal="center" vertical="center"/>
    </xf>
    <xf numFmtId="165" applyNumberFormat="1" fontId="25" applyFont="1" fillId="3" applyFill="1" borderId="9" applyBorder="1" xfId="0" applyAlignment="1">
      <alignment horizontal="center" vertical="center"/>
    </xf>
    <xf numFmtId="0" fontId="26" applyFont="1" fillId="3" applyFill="1" borderId="15" applyBorder="1" xfId="0" applyAlignment="1">
      <alignment horizontal="center"/>
    </xf>
    <xf numFmtId="165" applyNumberFormat="1" fontId="25" applyFont="1" fillId="3" applyFill="1" borderId="6" applyBorder="1" xfId="0" applyAlignment="1">
      <alignment horizontal="center" vertical="center"/>
    </xf>
    <xf numFmtId="165" applyNumberFormat="1" fontId="25" applyFont="1" fillId="3" applyFill="1" borderId="7" applyBorder="1" xfId="0" applyAlignment="1">
      <alignment horizontal="center" vertical="center"/>
    </xf>
    <xf numFmtId="165" applyNumberFormat="1" fontId="25" applyFont="1" fillId="3" applyFill="1" borderId="8" applyBorder="1" xfId="0" applyAlignment="1">
      <alignment horizontal="center" vertical="center"/>
    </xf>
    <xf numFmtId="0" fontId="30" applyFont="1" fillId="0" borderId="0" xfId="0" applyAlignment="1">
      <alignment horizontal="center" vertical="center"/>
    </xf>
    <xf numFmtId="0" fontId="31" applyFont="1" fillId="0" borderId="0" xfId="0" applyAlignment="1">
      <alignment horizontal="center" vertical="center"/>
    </xf>
    <xf numFmtId="0" fontId="32" applyFont="1" fillId="0" borderId="0" xfId="0" applyAlignment="1">
      <alignment horizontal="left" vertical="center"/>
    </xf>
    <xf numFmtId="0" fontId="32" applyFont="1" fillId="0" borderId="0" xfId="0" applyAlignment="1">
      <alignment horizontal="left" vertical="center" wrapText="1"/>
    </xf>
    <xf numFmtId="0" fontId="25" applyFont="1" fillId="0" borderId="0" xfId="0" applyAlignment="1">
      <alignment horizontal="left" vertical="center"/>
    </xf>
    <xf numFmtId="0" fontId="26" applyFont="1" fillId="0" borderId="0" xfId="0" applyAlignment="1">
      <alignment vertical="center"/>
    </xf>
    <xf numFmtId="0" fontId="32" applyFont="1" fillId="3" applyFill="1" borderId="9" applyBorder="1" xfId="0" applyAlignment="1">
      <alignment horizontal="center" vertical="center" wrapText="1"/>
    </xf>
    <xf numFmtId="0" fontId="32" applyFont="1" fillId="3" applyFill="1" borderId="9" applyBorder="1" xfId="0" applyAlignment="1">
      <alignment horizontal="left" vertical="center"/>
    </xf>
    <xf numFmtId="0" fontId="32" applyFont="1" fillId="3" applyFill="1" borderId="10" applyBorder="1" xfId="0" applyAlignment="1">
      <alignment horizontal="center" vertical="center" wrapText="1"/>
    </xf>
    <xf numFmtId="0" fontId="32" applyFont="1" fillId="3" applyFill="1" borderId="11" applyBorder="1" xfId="0" applyAlignment="1">
      <alignment horizontal="center" vertical="center"/>
    </xf>
    <xf numFmtId="0" fontId="32" applyFont="1" fillId="3" applyFill="1" borderId="9" applyBorder="1" xfId="0" applyAlignment="1">
      <alignment horizontal="center" vertical="center"/>
    </xf>
    <xf numFmtId="0" fontId="32" applyFont="1" fillId="3" applyFill="1" borderId="15" applyBorder="1" xfId="0" applyAlignment="1">
      <alignment horizontal="center" vertical="center" wrapText="1"/>
    </xf>
    <xf numFmtId="0" fontId="8" applyFont="1" fillId="0" borderId="9" applyBorder="1" xfId="0" applyAlignment="1">
      <alignment horizontal="center" vertical="center"/>
    </xf>
    <xf numFmtId="0" fontId="33" applyFont="1" fillId="0" borderId="9" applyBorder="1" xfId="0" applyAlignment="1">
      <alignment horizontal="left" vertical="center"/>
    </xf>
    <xf numFmtId="0" fontId="5" applyFont="1" fillId="0" borderId="9" applyBorder="1" xfId="0" applyAlignment="1">
      <alignment horizontal="left" vertical="center"/>
    </xf>
    <xf numFmtId="0" fontId="8" applyFont="1" fillId="0" borderId="9" applyBorder="1" xfId="0" applyAlignment="1">
      <alignment horizontal="left" vertical="center" wrapText="1"/>
    </xf>
    <xf numFmtId="0" fontId="33" applyFont="1" fillId="0" borderId="9" applyBorder="1" xfId="0" applyAlignment="1">
      <alignment horizontal="center" vertical="center"/>
    </xf>
    <xf numFmtId="0" fontId="32" applyFont="1" fillId="0" borderId="9" applyBorder="1" xfId="0" applyAlignment="1">
      <alignment horizontal="center" vertical="center" wrapText="1"/>
    </xf>
    <xf numFmtId="2" applyNumberFormat="1" fontId="33" applyFont="1" fillId="0" borderId="9" applyBorder="1" xfId="0" applyAlignment="1">
      <alignment horizontal="center" vertical="center"/>
    </xf>
    <xf numFmtId="0" fontId="32" applyFont="1" fillId="0" borderId="9" applyBorder="1" xfId="0" applyAlignment="1">
      <alignment horizontal="center"/>
    </xf>
    <xf numFmtId="0" fontId="5" applyFont="1" fillId="0" borderId="9" applyBorder="1" xfId="0" applyAlignment="1">
      <alignment horizontal="left" vertical="center" wrapText="1"/>
    </xf>
    <xf numFmtId="0" fontId="8" applyFont="1" fillId="3" applyFill="1" borderId="9" applyBorder="1" xfId="0" applyAlignment="1">
      <alignment horizontal="center" vertical="center"/>
    </xf>
    <xf numFmtId="0" fontId="33" applyFont="1" fillId="3" applyFill="1" borderId="9" applyBorder="1" xfId="0" applyAlignment="1">
      <alignment horizontal="left" vertical="center"/>
    </xf>
    <xf numFmtId="0" fontId="34" applyFont="1" fillId="3" applyFill="1" borderId="9" applyBorder="1" xfId="0" applyAlignment="1">
      <alignment wrapText="1"/>
    </xf>
    <xf numFmtId="0" fontId="35" applyFont="1" fillId="3" applyFill="1" borderId="9" applyBorder="1" xfId="0" applyAlignment="1">
      <alignment vertical="center"/>
    </xf>
    <xf numFmtId="2" applyNumberFormat="1" fontId="35" applyFont="1" fillId="3" applyFill="1" borderId="9" applyBorder="1" xfId="0" applyAlignment="1">
      <alignment horizontal="center" vertical="center"/>
    </xf>
    <xf numFmtId="0" fontId="32" applyFont="1" fillId="3" applyFill="1" borderId="9" applyBorder="1" xfId="0" applyAlignment="1">
      <alignment horizontal="center"/>
    </xf>
    <xf numFmtId="0" fontId="8" applyFont="1" fillId="0" borderId="9" applyBorder="1" xfId="0" applyAlignment="1">
      <alignment horizontal="left" vertical="center" shrinkToFit="1"/>
    </xf>
    <xf numFmtId="0" fontId="8" applyFont="1" fillId="3" applyFill="1" borderId="9" applyBorder="1" xfId="0" applyAlignment="1">
      <alignment horizontal="left" vertical="center" shrinkToFit="1"/>
    </xf>
    <xf numFmtId="0" fontId="8" applyFont="1" fillId="3" applyFill="1" borderId="9" applyBorder="1" xfId="0" applyAlignment="1">
      <alignment horizontal="left" vertical="center" wrapText="1"/>
    </xf>
    <xf numFmtId="0" fontId="33" applyFont="1" fillId="3" applyFill="1" borderId="9" applyBorder="1" xfId="0" applyAlignment="1">
      <alignment horizontal="center" vertical="center"/>
    </xf>
    <xf numFmtId="0" fontId="8" applyFont="1" fillId="0" borderId="9" applyBorder="1" xfId="0" applyAlignment="1">
      <alignment horizontal="left" vertical="center"/>
    </xf>
    <xf numFmtId="0" fontId="8" applyFont="1" fillId="3" applyFill="1" borderId="9" applyBorder="1" xfId="0" applyAlignment="1">
      <alignment horizontal="left" vertical="center"/>
    </xf>
    <xf numFmtId="2" applyNumberFormat="1" fontId="33" applyFont="1" fillId="6" applyFill="1" borderId="9" applyBorder="1" xfId="0" applyAlignment="1">
      <alignment horizontal="center" vertical="center"/>
    </xf>
    <xf numFmtId="0" fontId="32" applyFont="1" fillId="0" borderId="0" xfId="0" applyAlignment="1">
      <alignment horizontal="center"/>
    </xf>
    <xf numFmtId="0" fontId="32" applyFont="1" fillId="0" borderId="0" xfId="0" applyAlignment="1">
      <alignment horizontal="left"/>
    </xf>
    <xf numFmtId="0" fontId="32" applyFont="1" fillId="0" borderId="0" xfId="0" applyAlignment="1"/>
    <xf numFmtId="0" fontId="36" applyFont="1" fillId="3" applyFill="1" borderId="11" applyBorder="1" xfId="0" applyAlignment="1">
      <alignment horizontal="center" vertical="center"/>
    </xf>
    <xf numFmtId="0" fontId="36" applyFont="1" fillId="3" applyFill="1" borderId="12" applyBorder="1" xfId="0" applyAlignment="1">
      <alignment horizontal="center" vertical="center"/>
    </xf>
    <xf numFmtId="0" fontId="36" applyFont="1" fillId="3" applyFill="1" borderId="13" applyBorder="1" xfId="0" applyAlignment="1">
      <alignment horizontal="center" vertical="center"/>
    </xf>
    <xf numFmtId="0" fontId="37" applyFont="1" fillId="0" borderId="0" xfId="0" applyAlignment="1"/>
    <xf numFmtId="0" fontId="36" applyFont="1" fillId="3" applyFill="1" borderId="9" applyBorder="1" xfId="0" applyAlignment="1">
      <alignment horizontal="center" vertical="center"/>
    </xf>
    <xf numFmtId="0" fontId="36" applyFont="1" fillId="0" borderId="0" xfId="0" applyAlignment="1">
      <alignment horizontal="center"/>
    </xf>
    <xf numFmtId="0" fontId="8" applyFont="1" fillId="0" borderId="9" applyBorder="1" xfId="0" applyAlignment="1">
      <alignment horizontal="center" vertical="center" shrinkToFit="1"/>
    </xf>
    <xf numFmtId="168" applyNumberFormat="1" fontId="8" applyFont="1" fillId="0" borderId="9" applyBorder="1" xfId="0" applyAlignment="1">
      <alignment horizontal="center" vertical="center"/>
    </xf>
    <xf numFmtId="2" applyNumberFormat="1" fontId="32" applyFont="1" fillId="0" borderId="0" xfId="0" applyAlignment="1">
      <alignment horizontal="center"/>
    </xf>
    <xf numFmtId="0" fontId="8" applyFont="1" fillId="0" borderId="9" applyBorder="1" xfId="0" applyAlignment="1">
      <alignment horizontal="center" vertical="center" wrapText="1"/>
    </xf>
    <xf numFmtId="2" applyNumberFormat="1" fontId="32" applyFont="1" fillId="3" applyFill="1" borderId="9" applyBorder="1" xfId="0" applyAlignment="1">
      <alignment horizontal="center"/>
    </xf>
    <xf numFmtId="0" fontId="32" applyFont="1" fillId="0" borderId="0" xfId="0" applyAlignment="1">
      <alignment horizontal="left" shrinkToFit="1"/>
    </xf>
    <xf numFmtId="0" fontId="33" applyFont="1" fillId="0" borderId="0" xfId="0" applyAlignment="1"/>
    <xf numFmtId="0" fontId="33" applyFont="1" fillId="0" borderId="0" xfId="0" applyAlignment="1">
      <alignment horizontal="center"/>
    </xf>
    <xf numFmtId="2" applyNumberFormat="1" fontId="33" applyFont="1" fillId="0" borderId="0" xfId="0" applyAlignment="1">
      <alignment horizontal="right"/>
    </xf>
    <xf numFmtId="2" applyNumberFormat="1" fontId="33" applyFont="1" fillId="0" borderId="0" xfId="0" applyAlignment="1">
      <alignment horizontal="center"/>
    </xf>
    <xf numFmtId="0" fontId="8" applyFont="1" fillId="0" borderId="0" xfId="0" applyAlignment="1">
      <alignment horizontal="right"/>
    </xf>
    <xf numFmtId="0" fontId="38" applyFont="1" fillId="0" borderId="7" applyBorder="1" xfId="0" applyAlignment="1">
      <alignment horizontal="center" vertical="center"/>
    </xf>
    <xf numFmtId="0" fontId="38" applyFont="1" fillId="7" applyFill="1" borderId="9" applyBorder="1" xfId="0" applyAlignment="1">
      <alignment horizontal="left" vertical="top"/>
    </xf>
    <xf numFmtId="0" fontId="38" applyFont="1" fillId="7" applyFill="1" borderId="9" applyBorder="1" xfId="0" applyAlignment="1">
      <alignment horizontal="left" vertical="top" wrapText="1"/>
    </xf>
    <xf numFmtId="0" fontId="39" applyFont="1" fillId="0" borderId="9" applyBorder="1" xfId="0" applyAlignment="1">
      <alignment horizontal="left" vertical="top"/>
    </xf>
    <xf numFmtId="0" fontId="39" applyFont="1" fillId="0" borderId="9" applyBorder="1" xfId="0" applyAlignment="1">
      <alignment horizontal="left" vertical="top" wrapText="1"/>
    </xf>
    <xf numFmtId="1" applyNumberFormat="1" fontId="39" applyFont="1" fillId="0" borderId="9" applyBorder="1" xfId="0" applyAlignment="1">
      <alignment horizontal="left" vertical="top"/>
    </xf>
    <xf numFmtId="3" applyNumberFormat="1" fontId="39" applyFont="1" fillId="0" borderId="9" applyBorder="1" xfId="0" applyAlignment="1">
      <alignment horizontal="left" vertical="top"/>
    </xf>
    <xf numFmtId="0" fontId="38" applyFont="1" fillId="0" borderId="9" applyBorder="1" xfId="0" applyAlignment="1">
      <alignment horizontal="center" vertical="top"/>
    </xf>
    <xf numFmtId="3" applyNumberFormat="1" fontId="38" applyFont="1" fillId="0" borderId="9" applyBorder="1" xfId="0" applyAlignment="1">
      <alignment horizontal="left" vertical="top"/>
    </xf>
    <xf numFmtId="0" fontId="38" applyFont="1" fillId="3" applyFill="1" borderId="0" xfId="0" applyAlignment="1"/>
    <xf numFmtId="0" fontId="39" applyFont="1" fillId="0" borderId="0" xfId="0" applyAlignment="1"/>
    <xf numFmtId="0" fontId="38" applyFont="1" fillId="0" borderId="0" xfId="0" applyAlignment="1"/>
    <xf numFmtId="0" fontId="39" applyFont="1" fillId="3" applyFill="1" borderId="9" applyBorder="1" xfId="0" applyAlignment="1"/>
    <xf numFmtId="0" fontId="38" applyFont="1" fillId="3" applyFill="1" borderId="11" applyBorder="1" xfId="0" applyAlignment="1">
      <alignment horizontal="left" vertical="center"/>
    </xf>
    <xf numFmtId="0" fontId="38" applyFont="1" fillId="3" applyFill="1" borderId="11" applyBorder="1" xfId="0" applyAlignment="1">
      <alignment horizontal="center" vertical="center"/>
    </xf>
    <xf numFmtId="0" fontId="38" applyFont="1" fillId="3" applyFill="1" borderId="13" applyBorder="1" xfId="0" applyAlignment="1">
      <alignment horizontal="center" vertical="center"/>
    </xf>
    <xf numFmtId="0" fontId="39" applyFont="1" fillId="0" borderId="9" applyBorder="1" xfId="0" applyAlignment="1">
      <alignment horizontal="left"/>
    </xf>
    <xf numFmtId="0" fontId="39" applyFont="1" fillId="0" borderId="11" applyBorder="1" xfId="0" applyAlignment="1">
      <alignment horizontal="left" vertical="center" shrinkToFit="1"/>
    </xf>
    <xf numFmtId="3" applyNumberFormat="1" fontId="39" applyFont="1" fillId="0" borderId="11" applyBorder="1" xfId="0" applyAlignment="1">
      <alignment horizontal="center" vertical="center"/>
    </xf>
    <xf numFmtId="3" applyNumberFormat="1" fontId="39" applyFont="1" fillId="0" borderId="13" applyBorder="1" xfId="0" applyAlignment="1">
      <alignment horizontal="center" vertical="center"/>
    </xf>
    <xf numFmtId="0" fontId="38" applyFont="1" fillId="3" applyFill="1" borderId="9" applyBorder="1" xfId="0" applyAlignment="1">
      <alignment horizontal="left"/>
    </xf>
    <xf numFmtId="3" applyNumberFormat="1" fontId="38" applyFont="1" fillId="3" applyFill="1" borderId="15" applyBorder="1" xfId="0" applyAlignment="1">
      <alignment horizontal="center"/>
    </xf>
    <xf numFmtId="3" applyNumberFormat="1" fontId="38" applyFont="1" fillId="3" applyFill="1" borderId="9" applyBorder="1" xfId="0" applyAlignment="1">
      <alignment horizontal="center"/>
    </xf>
    <xf numFmtId="0" fontId="38" applyFont="1" fillId="0" borderId="0" xfId="0" applyAlignment="1">
      <alignment horizontal="center"/>
    </xf>
    <xf numFmtId="0" fontId="36" applyFont="1" fillId="0" borderId="0" xfId="0" applyAlignment="1"/>
    <xf numFmtId="0" fontId="40" applyFont="1" fillId="0" borderId="0" xfId="0" applyAlignment="1"/>
    <xf numFmtId="0" fontId="41" applyFont="1" fillId="0" borderId="0" xfId="0" applyAlignment="1">
      <alignment horizontal="center" vertical="center" wrapText="1"/>
    </xf>
    <xf numFmtId="0" fontId="41" applyFont="1" fillId="0" borderId="0" xfId="0" applyAlignment="1">
      <alignment horizontal="center" vertical="center"/>
    </xf>
    <xf numFmtId="0" fontId="42" applyFont="1" fillId="0" borderId="0" xfId="0" applyAlignment="1"/>
    <xf numFmtId="0" fontId="40" applyFont="1" fillId="0" borderId="0" xfId="0" applyAlignment="1">
      <alignment horizontal="center" vertical="center"/>
    </xf>
    <xf numFmtId="0" fontId="41" applyFont="1" fillId="0" borderId="9" applyBorder="1" xfId="0" applyAlignment="1">
      <alignment horizontal="center" vertical="center"/>
    </xf>
    <xf numFmtId="0" fontId="40" applyFont="1" fillId="0" borderId="0" xfId="0" applyAlignment="1">
      <alignment horizontal="left"/>
    </xf>
    <xf numFmtId="0" fontId="40" applyFont="1" fillId="0" borderId="0" xfId="0" applyAlignment="1">
      <alignment vertical="center"/>
    </xf>
    <xf numFmtId="0" fontId="41" applyFont="1" fillId="0" borderId="11" applyBorder="1" xfId="0" applyAlignment="1">
      <alignment horizontal="center" vertical="center"/>
    </xf>
    <xf numFmtId="0" fontId="41" applyFont="1" fillId="0" borderId="12" applyBorder="1" xfId="0" applyAlignment="1">
      <alignment horizontal="center" vertical="center"/>
    </xf>
    <xf numFmtId="0" fontId="41" applyFont="1" fillId="0" borderId="13" applyBorder="1" xfId="0" applyAlignment="1">
      <alignment horizontal="center" vertical="center"/>
    </xf>
    <xf numFmtId="0" fontId="41" applyFont="1" fillId="0" borderId="9" applyBorder="1" xfId="0" applyAlignment="1">
      <alignment horizontal="left" vertical="center"/>
    </xf>
    <xf numFmtId="2" applyNumberFormat="1" fontId="41" applyFont="1" fillId="0" borderId="1" applyBorder="1" xfId="0" quotePrefix="1" applyAlignment="1">
      <alignment horizontal="center" vertical="center"/>
    </xf>
    <xf numFmtId="2" applyNumberFormat="1" fontId="41" applyFont="1" fillId="0" borderId="2" applyBorder="1" xfId="0" quotePrefix="1" applyAlignment="1">
      <alignment horizontal="center" vertical="center"/>
    </xf>
    <xf numFmtId="2" applyNumberFormat="1" fontId="41" applyFont="1" fillId="0" borderId="3" applyBorder="1" xfId="0" quotePrefix="1" applyAlignment="1">
      <alignment horizontal="center" vertical="center"/>
    </xf>
    <xf numFmtId="2" applyNumberFormat="1" fontId="41" applyFont="1" fillId="0" borderId="9" applyBorder="1" xfId="0" applyAlignment="1">
      <alignment horizontal="center" vertical="center"/>
    </xf>
    <xf numFmtId="2" applyNumberFormat="1" fontId="41" applyFont="1" fillId="0" borderId="11" applyBorder="1" xfId="0" applyAlignment="1">
      <alignment horizontal="center" vertical="center"/>
    </xf>
    <xf numFmtId="2" applyNumberFormat="1" fontId="41" applyFont="1" fillId="0" borderId="12" applyBorder="1" xfId="0" applyAlignment="1">
      <alignment horizontal="center" vertical="center"/>
    </xf>
    <xf numFmtId="2" applyNumberFormat="1" fontId="41" applyFont="1" fillId="0" borderId="13" applyBorder="1" xfId="0" applyAlignment="1">
      <alignment horizontal="center" vertical="center"/>
    </xf>
    <xf numFmtId="2" applyNumberFormat="1" fontId="41" applyFont="1" fillId="0" borderId="6" applyBorder="1" xfId="0" quotePrefix="1" applyAlignment="1">
      <alignment horizontal="center" vertical="center"/>
    </xf>
    <xf numFmtId="2" applyNumberFormat="1" fontId="41" applyFont="1" fillId="0" borderId="7" applyBorder="1" xfId="0" quotePrefix="1" applyAlignment="1">
      <alignment horizontal="center" vertical="center"/>
    </xf>
    <xf numFmtId="2" applyNumberFormat="1" fontId="41" applyFont="1" fillId="0" borderId="8" applyBorder="1" xfId="0" quotePrefix="1" applyAlignment="1">
      <alignment horizontal="center" vertical="center"/>
    </xf>
    <xf numFmtId="0" fontId="41" applyFont="1" fillId="0" borderId="11" applyBorder="1" xfId="0" quotePrefix="1" applyAlignment="1">
      <alignment horizontal="center" vertical="center"/>
    </xf>
    <xf numFmtId="0" fontId="41" applyFont="1" fillId="0" borderId="12" applyBorder="1" xfId="0" quotePrefix="1" applyAlignment="1">
      <alignment horizontal="center" vertical="center"/>
    </xf>
    <xf numFmtId="0" fontId="41" applyFont="1" fillId="0" borderId="13" applyBorder="1" xfId="0" quotePrefix="1" applyAlignment="1">
      <alignment horizontal="center" vertical="center"/>
    </xf>
    <xf numFmtId="0" fontId="41" applyFont="1" fillId="0" borderId="9" applyBorder="1" xfId="0" quotePrefix="1" applyAlignment="1">
      <alignment horizontal="center" vertical="center"/>
    </xf>
    <xf numFmtId="0" fontId="41" applyFont="1" fillId="0" borderId="0" xfId="0" applyAlignment="1">
      <alignment horizontal="left" vertical="center"/>
    </xf>
    <xf numFmtId="0" fontId="41" applyFont="1" fillId="0" borderId="0" xfId="0" quotePrefix="1" applyAlignment="1">
      <alignment horizontal="center" vertical="center"/>
    </xf>
    <xf numFmtId="0" fontId="41" applyFont="1" fillId="0" borderId="0" xfId="0" applyAlignment="1">
      <alignment horizontal="left" vertical="top" wrapText="1"/>
    </xf>
    <xf numFmtId="0" fontId="41" applyFont="1" fillId="0" borderId="0" xfId="0" applyAlignment="1">
      <alignment vertical="top" wrapText="1"/>
    </xf>
    <xf numFmtId="0" fontId="41" applyFont="1" fillId="0" borderId="0" xfId="0" applyAlignment="1">
      <alignment horizontal="left"/>
    </xf>
    <xf numFmtId="0" fontId="41" applyFont="1" fillId="0" borderId="0" xfId="0" applyAlignment="1">
      <alignment horizontal="left" vertical="top"/>
    </xf>
    <xf numFmtId="0" fontId="43" applyFont="1" fillId="0" borderId="0" xfId="0" applyAlignment="1">
      <alignment vertical="center"/>
    </xf>
    <xf numFmtId="0" fontId="41" applyFont="1" fillId="0" borderId="0" xfId="0" applyAlignment="1"/>
    <xf numFmtId="167" applyNumberFormat="1" fontId="41" applyFont="1" fillId="0" borderId="0" xfId="0" applyAlignment="1"/>
    <xf numFmtId="167" applyNumberFormat="1" fontId="41" applyFont="1" fillId="0" borderId="0" xfId="0" applyAlignment="1">
      <alignment horizontal="left"/>
    </xf>
    <xf numFmtId="0" fontId="41" applyFont="1" fillId="0" borderId="0" xfId="0" applyAlignment="1">
      <alignment vertical="center"/>
    </xf>
    <xf numFmtId="0" fontId="41" applyFont="1" fillId="0" borderId="0" xfId="0" applyAlignment="1">
      <alignment vertical="top"/>
    </xf>
    <xf numFmtId="0" fontId="41" applyFont="1" fillId="0" borderId="0" xfId="0" applyAlignment="1">
      <alignment horizontal="center" vertical="top"/>
    </xf>
    <xf numFmtId="0" fontId="41" applyFont="1" fillId="0" borderId="0" xfId="0" quotePrefix="1" applyAlignment="1">
      <alignment horizontal="center" vertical="top"/>
    </xf>
    <xf numFmtId="0" fontId="41" applyFont="1" fillId="8" applyFill="1" borderId="10" applyBorder="1" xfId="0" applyAlignment="1">
      <alignment horizontal="center" vertical="center" wrapText="1"/>
    </xf>
    <xf numFmtId="0" fontId="41" applyFont="1" fillId="8" applyFill="1" borderId="9" applyBorder="1" xfId="0" applyAlignment="1">
      <alignment horizontal="center" vertical="center" wrapText="1"/>
    </xf>
    <xf numFmtId="0" fontId="41" applyFont="1" fillId="8" applyFill="1" borderId="10" applyBorder="1" xfId="0" applyAlignment="1">
      <alignment horizontal="center" vertical="center" wrapText="1" textRotation="90"/>
    </xf>
    <xf numFmtId="0" fontId="41" applyFont="1" fillId="8" applyFill="1" borderId="9" applyBorder="1" xfId="0" applyAlignment="1">
      <alignment horizontal="center" vertical="center" wrapText="1" textRotation="90"/>
    </xf>
    <xf numFmtId="0" fontId="41" applyFont="1" fillId="8" applyFill="1" borderId="9" applyBorder="1" xfId="0" applyAlignment="1">
      <alignment horizontal="center"/>
    </xf>
    <xf numFmtId="0" fontId="41" applyFont="1" fillId="8" applyFill="1" borderId="15" applyBorder="1" xfId="0" applyAlignment="1">
      <alignment horizontal="center" vertical="center" wrapText="1"/>
    </xf>
    <xf numFmtId="0" fontId="41" applyFont="1" fillId="8" applyFill="1" borderId="15" applyBorder="1" xfId="0" applyAlignment="1">
      <alignment horizontal="center" vertical="center" wrapText="1" textRotation="90"/>
    </xf>
    <xf numFmtId="0" fontId="41" applyFont="1" fillId="8" applyFill="1" borderId="9" applyBorder="1" xfId="0" applyAlignment="1">
      <alignment horizontal="center" vertical="center"/>
    </xf>
    <xf numFmtId="0" fontId="41" applyFont="1" fillId="8" applyFill="1" borderId="13" applyBorder="1" xfId="0" applyAlignment="1">
      <alignment horizontal="center" vertical="center"/>
    </xf>
    <xf numFmtId="0" fontId="41" applyFont="1" fillId="8" applyFill="1" borderId="11" applyBorder="1" xfId="0" applyAlignment="1">
      <alignment horizontal="center" vertical="center"/>
    </xf>
    <xf numFmtId="0" fontId="43" applyFont="1" fillId="0" borderId="0" xfId="0" applyAlignment="1">
      <alignment horizontal="center" vertical="center"/>
    </xf>
    <xf numFmtId="0" fontId="43" applyFont="1" fillId="0" borderId="9" applyBorder="1" xfId="0" applyAlignment="1">
      <alignment horizontal="center" vertical="center"/>
    </xf>
    <xf numFmtId="49" applyNumberFormat="1" fontId="44" applyFont="1" fillId="9" applyFill="1" borderId="9" applyBorder="1" xfId="3" applyProtection="1" applyAlignment="1">
      <alignment vertical="center" wrapText="1"/>
      <protection locked="0"/>
    </xf>
    <xf numFmtId="2" applyNumberFormat="1" fontId="45" applyFont="1" fillId="9" applyFill="1" borderId="9" applyBorder="1" xfId="4" applyAlignment="1">
      <alignment vertical="center" wrapText="1"/>
    </xf>
    <xf numFmtId="1" applyNumberFormat="1" fontId="43" applyFont="1" fillId="0" borderId="9" applyBorder="1" xfId="0" applyAlignment="1">
      <alignment horizontal="center" vertical="center"/>
    </xf>
    <xf numFmtId="0" fontId="47" applyFont="1" fillId="0" borderId="9" applyBorder="1" xfId="0" applyAlignment="1">
      <alignment horizontal="center" vertical="center"/>
    </xf>
    <xf numFmtId="169" applyNumberFormat="1" fontId="43" applyFont="1" fillId="0" borderId="9" applyBorder="1" xfId="0" applyAlignment="1">
      <alignment horizontal="center" vertical="center"/>
    </xf>
    <xf numFmtId="1" applyNumberFormat="1" fontId="48" applyFont="1" fillId="0" borderId="9" applyBorder="1" xfId="0" applyAlignment="1">
      <alignment horizontal="center" vertical="center"/>
    </xf>
    <xf numFmtId="1" applyNumberFormat="1" fontId="49" applyFont="1" fillId="0" borderId="9" applyBorder="1" xfId="0" applyAlignment="1">
      <alignment horizontal="center" vertical="center"/>
    </xf>
    <xf numFmtId="49" applyNumberFormat="1" fontId="43" applyFont="1" fillId="0" borderId="9" applyBorder="1" xfId="0" applyAlignment="1">
      <alignment horizontal="center" vertical="center"/>
    </xf>
    <xf numFmtId="49" applyNumberFormat="1" fontId="43" applyFont="1" fillId="0" borderId="9" applyBorder="1" xfId="0" applyAlignment="1">
      <alignment horizontal="center" vertical="center" wrapText="1"/>
    </xf>
    <xf numFmtId="1" applyNumberFormat="1" fontId="43" applyFont="1" fillId="0" borderId="0" xfId="0" applyAlignment="1">
      <alignment horizontal="center" vertical="center"/>
    </xf>
    <xf numFmtId="0" fontId="43" applyFont="1" fillId="0" borderId="0" xfId="0" applyAlignment="1">
      <alignment horizontal="center" vertical="center" wrapText="1"/>
    </xf>
    <xf numFmtId="0" fontId="43" applyFont="1" fillId="0" borderId="9" applyBorder="1" xfId="0" applyAlignment="1">
      <alignment horizontal="center" vertical="center" wrapText="1"/>
    </xf>
    <xf numFmtId="2" applyNumberFormat="1" fontId="45" applyFont="1" fillId="9" applyFill="1" borderId="9" applyBorder="1" xfId="4" applyAlignment="1">
      <alignment vertical="center" wrapText="1"/>
    </xf>
    <xf numFmtId="1" applyNumberFormat="1" fontId="43" applyFont="1" fillId="0" borderId="9" applyBorder="1" xfId="0" applyAlignment="1">
      <alignment horizontal="center" vertical="center" wrapText="1"/>
    </xf>
    <xf numFmtId="0" fontId="47" applyFont="1" fillId="0" borderId="9" applyBorder="1" xfId="0" applyAlignment="1">
      <alignment horizontal="center" vertical="center" wrapText="1"/>
    </xf>
    <xf numFmtId="169" applyNumberFormat="1" fontId="43" applyFont="1" fillId="0" borderId="9" applyBorder="1" xfId="0" applyAlignment="1">
      <alignment horizontal="center" vertical="center" wrapText="1"/>
    </xf>
    <xf numFmtId="1" applyNumberFormat="1" fontId="48" applyFont="1" fillId="0" borderId="9" applyBorder="1" xfId="0" applyAlignment="1">
      <alignment horizontal="center" vertical="center" wrapText="1"/>
    </xf>
    <xf numFmtId="1" applyNumberFormat="1" fontId="49" applyFont="1" fillId="0" borderId="9" applyBorder="1" xfId="0" applyAlignment="1">
      <alignment horizontal="center" vertical="center" wrapText="1"/>
    </xf>
    <xf numFmtId="1" applyNumberFormat="1" fontId="43" applyFont="1" fillId="0" borderId="0" xfId="0" applyAlignment="1">
      <alignment horizontal="center" vertical="center" wrapText="1"/>
    </xf>
    <xf numFmtId="0" fontId="41" applyFont="1" fillId="8" applyFill="1" borderId="16" applyBorder="1" xfId="0" applyAlignment="1">
      <alignment horizontal="center" vertical="center"/>
    </xf>
    <xf numFmtId="0" fontId="41" applyFont="1" fillId="8" applyFill="1" borderId="17" applyBorder="1" xfId="0" applyAlignment="1">
      <alignment horizontal="center" vertical="center"/>
    </xf>
    <xf numFmtId="2" applyNumberFormat="1" fontId="41" applyFont="1" fillId="8" applyFill="1" borderId="18" applyBorder="1" xfId="0" applyAlignment="1">
      <alignment horizontal="center" vertical="center"/>
    </xf>
    <xf numFmtId="0" fontId="41" applyFont="1" fillId="8" applyFill="1" borderId="18" applyBorder="1" xfId="0" applyAlignment="1">
      <alignment horizontal="center" vertical="center"/>
    </xf>
    <xf numFmtId="1" applyNumberFormat="1" fontId="41" applyFont="1" fillId="8" applyFill="1" borderId="18" applyBorder="1" xfId="0" applyAlignment="1">
      <alignment horizontal="center" vertical="center"/>
    </xf>
    <xf numFmtId="0" fontId="41" applyFont="1" fillId="0" borderId="0" xfId="0" applyAlignment="1">
      <alignment horizontal="left" vertical="center" wrapText="1"/>
    </xf>
    <xf numFmtId="2" applyNumberFormat="1" fontId="41" applyFont="1" fillId="0" borderId="0" xfId="0" applyAlignment="1">
      <alignment horizontal="center" vertical="center"/>
    </xf>
    <xf numFmtId="1" applyNumberFormat="1" fontId="41" applyFont="1" fillId="0" borderId="0" xfId="0" applyAlignment="1">
      <alignment horizontal="center" vertical="center"/>
    </xf>
    <xf numFmtId="1" applyNumberFormat="1" fontId="40" applyFont="1" fillId="0" borderId="0" xfId="0" applyAlignment="1"/>
    <xf numFmtId="1" applyNumberFormat="1" fontId="49" applyFont="1" fillId="0" applyFill="1" borderId="0" applyBorder="1" xfId="0" applyAlignment="1">
      <alignment horizontal="center" vertical="center"/>
    </xf>
    <xf numFmtId="0" fontId="43" applyFont="1" fillId="0" borderId="0" xfId="0" applyAlignment="1"/>
    <xf numFmtId="1" applyNumberFormat="1" fontId="43" applyFont="1" fillId="0" borderId="0" xfId="0" applyAlignment="1"/>
    <xf numFmtId="49" applyNumberFormat="1" fontId="1" applyFont="1" fillId="0" borderId="0" xfId="0" applyAlignment="1"/>
    <xf numFmtId="164" applyNumberFormat="1" fontId="1" applyFont="1" fillId="0" borderId="0" xfId="0" applyAlignment="1"/>
    <xf numFmtId="14" applyNumberFormat="1" fontId="1" applyFont="1" fillId="0" borderId="0" xfId="0" applyAlignment="1"/>
    <xf numFmtId="0" fontId="1" applyFont="1" fillId="0" borderId="0" xfId="0" quotePrefix="1" applyAlignment="1"/>
    <xf numFmtId="15" applyNumberFormat="1" fontId="1" applyFont="1" fillId="0" borderId="0" xfId="0" applyAlignment="1"/>
    <xf numFmtId="1" applyNumberFormat="1" fontId="1" applyFont="1" fillId="0" borderId="0" xfId="0" applyAlignment="1"/>
    <xf numFmtId="0" fontId="50" applyFont="1" fillId="0" borderId="0" xfId="0" applyAlignment="1"/>
    <xf numFmtId="0" fontId="51" applyFont="1" fillId="0" borderId="0" xfId="0" applyAlignment="1">
      <alignment horizontal="center" vertical="top" wrapText="1"/>
    </xf>
    <xf numFmtId="0" fontId="1" applyFont="1" fillId="0" borderId="0" xfId="0" applyAlignment="1">
      <alignment vertical="top" wrapText="1"/>
    </xf>
    <xf numFmtId="0" fontId="1" applyFont="1" fillId="0" borderId="0" xfId="0" applyAlignment="1">
      <alignment horizontal="center"/>
    </xf>
    <xf numFmtId="0" fontId="1" applyFont="1" fillId="0" borderId="0" xfId="0" applyAlignment="1">
      <alignment horizontal="center" vertical="top" wrapText="1"/>
    </xf>
    <xf numFmtId="0" fontId="52" applyFont="1" fillId="4" applyFill="1" borderId="0" xfId="0" applyAlignment="1">
      <alignment horizontal="center" vertical="top" wrapText="1"/>
    </xf>
    <xf numFmtId="0" fontId="12" applyFont="1" fillId="0" borderId="0" xfId="0" applyAlignment="1">
      <alignment vertical="top"/>
    </xf>
    <xf numFmtId="0" fontId="53" applyFont="1" fillId="0" borderId="0" xfId="0" applyAlignment="1">
      <alignment vertical="top"/>
    </xf>
    <xf numFmtId="0" fontId="1" applyFont="1" fillId="0" borderId="0" xfId="0" applyAlignment="1">
      <alignment vertical="top"/>
    </xf>
    <xf numFmtId="0" fontId="19" applyFont="1" fillId="0" borderId="0" xfId="0" applyAlignment="1">
      <alignment vertical="top"/>
    </xf>
    <xf numFmtId="0" fontId="19" applyFont="1" fillId="0" borderId="0" xfId="0" applyAlignment="1">
      <alignment vertical="center"/>
    </xf>
    <xf numFmtId="0" fontId="54" applyFont="1" fillId="0" borderId="0" xfId="0" applyAlignment="1">
      <alignment vertical="center"/>
    </xf>
    <xf numFmtId="0" fontId="11" applyFont="1" fillId="0" borderId="0" xfId="0" applyAlignment="1">
      <alignment vertical="center"/>
    </xf>
    <xf numFmtId="4" applyNumberFormat="1" fontId="11" applyFont="1" fillId="0" borderId="0" xfId="0" applyAlignment="1">
      <alignment vertical="center"/>
    </xf>
    <xf numFmtId="167" applyNumberFormat="1" fontId="55" applyFont="1" fillId="0" borderId="0" xfId="0" applyAlignment="1">
      <alignment horizontal="left"/>
    </xf>
    <xf numFmtId="0" fontId="54" applyFont="1" fillId="0" borderId="0" xfId="0" applyAlignment="1">
      <alignment horizontal="left" vertical="center"/>
    </xf>
    <xf numFmtId="4" applyNumberFormat="1" fontId="11" applyFont="1" fillId="0" borderId="0" xfId="0" applyAlignment="1">
      <alignment horizontal="left" vertical="center"/>
    </xf>
    <xf numFmtId="0" fontId="56" applyFont="1" fillId="4" applyFill="1" borderId="11" applyBorder="1" xfId="0" applyAlignment="1">
      <alignment horizontal="center" vertical="top"/>
    </xf>
    <xf numFmtId="0" fontId="56" applyFont="1" fillId="4" applyFill="1" borderId="12" applyBorder="1" xfId="0" applyAlignment="1">
      <alignment horizontal="center" vertical="top"/>
    </xf>
    <xf numFmtId="0" fontId="56" applyFont="1" fillId="4" applyFill="1" borderId="13" applyBorder="1" xfId="0" applyAlignment="1">
      <alignment horizontal="center" vertical="top"/>
    </xf>
    <xf numFmtId="0" fontId="56" applyFont="1" fillId="4" applyFill="1" borderId="9" applyBorder="1" xfId="0" applyAlignment="1">
      <alignment horizontal="center" vertical="top"/>
    </xf>
    <xf numFmtId="0" fontId="22" applyFont="1" fillId="0" borderId="9" applyBorder="1" xfId="0" applyAlignment="1">
      <alignment horizontal="center" vertical="center" wrapText="1"/>
    </xf>
    <xf numFmtId="170" applyNumberFormat="1" fontId="57" applyFont="1" fillId="0" borderId="11" applyBorder="1" xfId="0" applyAlignment="1">
      <alignment horizontal="center" vertical="top" shrinkToFit="1"/>
    </xf>
    <xf numFmtId="170" applyNumberFormat="1" fontId="57" applyFont="1" fillId="0" borderId="12" applyBorder="1" xfId="0" applyAlignment="1">
      <alignment horizontal="center" vertical="top" shrinkToFit="1"/>
    </xf>
    <xf numFmtId="170" applyNumberFormat="1" fontId="57" applyFont="1" fillId="0" borderId="13" applyBorder="1" xfId="0" applyAlignment="1">
      <alignment horizontal="center" vertical="top" shrinkToFit="1"/>
    </xf>
    <xf numFmtId="0" fontId="53" applyFont="1" fillId="0" borderId="9" applyBorder="1" xfId="0" applyAlignment="1">
      <alignment horizontal="center" vertical="top" wrapText="1"/>
    </xf>
    <xf numFmtId="0" fontId="22" applyFont="1" fillId="0" borderId="1" applyBorder="1" xfId="0" applyAlignment="1">
      <alignment horizontal="center" vertical="center" wrapText="1"/>
    </xf>
    <xf numFmtId="0" fontId="22" applyFont="1" fillId="0" borderId="2" applyBorder="1" xfId="0" applyAlignment="1">
      <alignment horizontal="center" vertical="center" wrapText="1"/>
    </xf>
    <xf numFmtId="0" fontId="22" applyFont="1" fillId="0" borderId="3" applyBorder="1" xfId="0" applyAlignment="1">
      <alignment horizontal="center" vertical="center" wrapText="1"/>
    </xf>
    <xf numFmtId="170" applyNumberFormat="1" fontId="57" applyFont="1" fillId="6" applyFill="1" borderId="1" applyBorder="1" xfId="0" applyAlignment="1">
      <alignment horizontal="center" vertical="top" shrinkToFit="1"/>
    </xf>
    <xf numFmtId="170" applyNumberFormat="1" fontId="57" applyFont="1" fillId="6" applyFill="1" borderId="2" applyBorder="1" xfId="0" applyAlignment="1">
      <alignment horizontal="center" vertical="top" shrinkToFit="1"/>
    </xf>
    <xf numFmtId="170" applyNumberFormat="1" fontId="57" applyFont="1" fillId="6" applyFill="1" borderId="3" applyBorder="1" xfId="0" applyAlignment="1">
      <alignment horizontal="center" vertical="top" shrinkToFit="1"/>
    </xf>
    <xf numFmtId="0" fontId="53" applyFont="1" fillId="0" borderId="1" applyBorder="1" xfId="0" applyAlignment="1">
      <alignment horizontal="center" vertical="top" wrapText="1"/>
    </xf>
    <xf numFmtId="0" fontId="53" applyFont="1" fillId="0" borderId="2" applyBorder="1" xfId="0" applyAlignment="1">
      <alignment horizontal="center" vertical="top" wrapText="1"/>
    </xf>
    <xf numFmtId="0" fontId="53" applyFont="1" fillId="0" borderId="3" applyBorder="1" xfId="0" applyAlignment="1">
      <alignment horizontal="center" vertical="top" wrapText="1"/>
    </xf>
    <xf numFmtId="0" fontId="58" applyFont="1" fillId="4" applyFill="1" borderId="9" applyBorder="1" xfId="0" applyAlignment="1">
      <alignment horizontal="center" vertical="top" wrapText="1"/>
    </xf>
    <xf numFmtId="170" applyNumberFormat="1" fontId="59" applyFont="1" fillId="4" applyFill="1" borderId="11" applyBorder="1" xfId="0" applyAlignment="1">
      <alignment horizontal="center" vertical="top" shrinkToFit="1"/>
    </xf>
    <xf numFmtId="170" applyNumberFormat="1" fontId="59" applyFont="1" fillId="4" applyFill="1" borderId="12" applyBorder="1" xfId="0" applyAlignment="1">
      <alignment horizontal="center" vertical="top" shrinkToFit="1"/>
    </xf>
    <xf numFmtId="170" applyNumberFormat="1" fontId="59" applyFont="1" fillId="4" applyFill="1" borderId="13" applyBorder="1" xfId="0" applyAlignment="1">
      <alignment horizontal="center" vertical="top" shrinkToFit="1"/>
    </xf>
    <xf numFmtId="170" applyNumberFormat="1" fontId="59" applyFont="1" fillId="4" applyFill="1" borderId="9" applyBorder="1" xfId="0" applyAlignment="1">
      <alignment horizontal="center" vertical="top" shrinkToFit="1"/>
    </xf>
    <xf numFmtId="0" fontId="58" applyFont="1" fillId="0" borderId="0" xfId="0" applyAlignment="1">
      <alignment wrapText="1"/>
    </xf>
    <xf numFmtId="0" fontId="14" applyFont="1" fillId="0" borderId="0" xfId="0" applyAlignment="1"/>
    <xf numFmtId="0" fontId="53" applyFont="1" fillId="0" borderId="0" xfId="0" applyAlignment="1">
      <alignment vertical="top" wrapText="1"/>
    </xf>
    <xf numFmtId="0" fontId="55" applyFont="1" fillId="0" borderId="0" xfId="0" applyAlignment="1">
      <alignment horizontal="left" vertical="top" wrapText="1"/>
    </xf>
    <xf numFmtId="167" applyNumberFormat="1" fontId="55" applyFont="1" fillId="0" borderId="0" xfId="0" applyAlignment="1">
      <alignment horizontal="left" vertical="top" wrapText="1"/>
    </xf>
    <xf numFmtId="167" applyNumberFormat="1" fontId="1" applyFont="1" fillId="0" borderId="0" xfId="0" applyAlignment="1">
      <alignment horizontal="left" vertical="top" wrapText="1"/>
    </xf>
    <xf numFmtId="0" fontId="54" applyFont="1" fillId="0" borderId="0" xfId="0" applyAlignment="1"/>
    <xf numFmtId="0" fontId="60" applyFont="1" fillId="0" borderId="0" xfId="0" applyAlignment="1"/>
    <xf numFmtId="171" applyNumberFormat="1" fontId="60" applyFont="1" fillId="0" borderId="0" xfId="0" applyAlignment="1"/>
    <xf numFmtId="164" applyNumberFormat="1" fontId="1" applyFont="1" fillId="0" borderId="0" xfId="0" applyAlignment="1">
      <alignment horizontal="center"/>
    </xf>
    <xf numFmtId="0" fontId="19" applyFont="1" fillId="0" borderId="0" xfId="0" applyAlignment="1"/>
    <xf numFmtId="0" fontId="61" applyFont="1" fillId="0" borderId="0" xfId="0" applyAlignment="1">
      <alignment vertical="center"/>
    </xf>
    <xf numFmtId="0" fontId="61" applyFont="1" fillId="0" borderId="0" xfId="0" applyAlignment="1">
      <alignment vertical="center" wrapText="1"/>
    </xf>
    <xf numFmtId="0" fontId="29" applyFont="1" fillId="0" borderId="0" xfId="2" applyAlignment="1"/>
    <xf numFmtId="0" fontId="62" applyFont="1" fillId="0" borderId="0" xfId="0" applyAlignment="1">
      <alignment horizontal="center" vertical="center"/>
    </xf>
    <xf numFmtId="0" fontId="63" applyFont="1" fillId="0" borderId="0" xfId="0" applyAlignment="1"/>
    <xf numFmtId="0" fontId="64" applyFont="1" fillId="0" borderId="19" applyBorder="1" xfId="0" applyAlignment="1">
      <alignment horizontal="center" vertical="center" wrapText="1"/>
    </xf>
    <xf numFmtId="0" fontId="64" applyFont="1" fillId="0" borderId="20" applyBorder="1" xfId="0" applyAlignment="1">
      <alignment horizontal="center" vertical="center" wrapText="1"/>
    </xf>
    <xf numFmtId="0" fontId="64" applyFont="1" fillId="0" borderId="21" applyBorder="1" xfId="0" applyAlignment="1">
      <alignment horizontal="center" vertical="center" wrapText="1"/>
    </xf>
    <xf numFmtId="0" fontId="64" applyFont="1" fillId="0" borderId="22" applyBorder="1" xfId="0" applyAlignment="1">
      <alignment horizontal="center" vertical="center" wrapText="1"/>
    </xf>
    <xf numFmtId="0" fontId="64" applyFont="1" fillId="0" borderId="12" applyBorder="1" xfId="0" applyAlignment="1">
      <alignment horizontal="center" vertical="center" wrapText="1"/>
    </xf>
    <xf numFmtId="0" fontId="64" applyFont="1" fillId="0" borderId="23" applyBorder="1" xfId="0" applyAlignment="1">
      <alignment horizontal="center" vertical="center" wrapText="1"/>
    </xf>
    <xf numFmtId="0" fontId="65" applyFont="1" fillId="0" borderId="22" applyBorder="1" xfId="0" applyAlignment="1">
      <alignment horizontal="center" vertical="center"/>
    </xf>
    <xf numFmtId="0" fontId="65" applyFont="1" fillId="0" borderId="12" applyBorder="1" xfId="0" applyAlignment="1">
      <alignment horizontal="center" vertical="center"/>
    </xf>
    <xf numFmtId="0" fontId="65" applyFont="1" fillId="0" borderId="23" applyBorder="1" xfId="0" applyAlignment="1">
      <alignment horizontal="center" vertical="center"/>
    </xf>
    <xf numFmtId="0" fontId="65" applyFont="1" fillId="3" applyFill="1" borderId="24" applyBorder="1" xfId="0" applyAlignment="1">
      <alignment vertical="center"/>
    </xf>
    <xf numFmtId="0" fontId="65" applyFont="1" fillId="3" applyFill="1" borderId="9" applyBorder="1" xfId="0" applyAlignment="1">
      <alignment vertical="center"/>
    </xf>
    <xf numFmtId="0" fontId="65" applyFont="1" fillId="3" applyFill="1" borderId="9" applyBorder="1" xfId="0" applyAlignment="1">
      <alignment horizontal="center" vertical="center" wrapText="1"/>
    </xf>
    <xf numFmtId="0" fontId="65" applyFont="1" fillId="3" applyFill="1" borderId="9" applyBorder="1" xfId="0" applyAlignment="1">
      <alignment horizontal="center" vertical="center"/>
    </xf>
    <xf numFmtId="0" fontId="65" applyFont="1" fillId="3" applyFill="1" borderId="25" applyBorder="1" xfId="0" applyAlignment="1">
      <alignment horizontal="center" vertical="center" wrapText="1"/>
    </xf>
    <xf numFmtId="0" fontId="65" applyFont="1" fillId="0" borderId="24" applyBorder="1" xfId="0" applyAlignment="1">
      <alignment vertical="center" wrapText="1"/>
    </xf>
    <xf numFmtId="0" fontId="65" applyFont="1" fillId="0" borderId="9" applyBorder="1" xfId="0" applyAlignment="1">
      <alignment vertical="center" wrapText="1"/>
    </xf>
    <xf numFmtId="0" fontId="65" applyFont="1" fillId="0" borderId="9" applyBorder="1" xfId="0" quotePrefix="1" applyAlignment="1">
      <alignment horizontal="center" vertical="center" wrapText="1"/>
    </xf>
    <xf numFmtId="0" fontId="65" applyFont="1" fillId="0" borderId="9" applyBorder="1" xfId="0" applyAlignment="1">
      <alignment horizontal="center" vertical="center" wrapText="1"/>
    </xf>
    <xf numFmtId="0" fontId="65" applyFont="1" fillId="0" borderId="25" applyBorder="1" xfId="0" quotePrefix="1" applyAlignment="1">
      <alignment horizontal="center" vertical="center" wrapText="1"/>
    </xf>
    <xf numFmtId="0" fontId="65" applyFont="1" fillId="0" borderId="24" applyBorder="1" xfId="0" applyAlignment="1">
      <alignment horizontal="left" vertical="center" wrapText="1"/>
    </xf>
    <xf numFmtId="0" fontId="65" applyFont="1" fillId="0" borderId="9" applyBorder="1" xfId="0" applyAlignment="1">
      <alignment horizontal="left" vertical="center" wrapText="1"/>
    </xf>
    <xf numFmtId="0" fontId="65" applyFont="1" fillId="0" borderId="25" applyBorder="1" xfId="0" applyAlignment="1">
      <alignment horizontal="left" vertical="center" wrapText="1"/>
    </xf>
    <xf numFmtId="0" fontId="64" applyFont="1" fillId="0" borderId="24" applyBorder="1" xfId="0" applyAlignment="1">
      <alignment horizontal="left" vertical="center" wrapText="1"/>
    </xf>
    <xf numFmtId="0" fontId="64" applyFont="1" fillId="0" borderId="9" applyBorder="1" xfId="0" applyAlignment="1">
      <alignment horizontal="left" vertical="center" wrapText="1"/>
    </xf>
    <xf numFmtId="0" fontId="64" applyFont="1" fillId="0" borderId="25" applyBorder="1" xfId="0" applyAlignment="1">
      <alignment horizontal="left" vertical="center" wrapText="1"/>
    </xf>
    <xf numFmtId="2" applyNumberFormat="1" fontId="66" applyFont="1" fillId="7" applyFill="1" borderId="24" applyBorder="1" xfId="0" applyAlignment="1">
      <alignment horizontal="center" vertical="center" wrapText="1"/>
    </xf>
    <xf numFmtId="2" applyNumberFormat="1" fontId="66" applyFont="1" fillId="7" applyFill="1" borderId="10" applyBorder="1" xfId="0" applyAlignment="1">
      <alignment horizontal="center" vertical="center" wrapText="1"/>
    </xf>
    <xf numFmtId="2" applyNumberFormat="1" fontId="66" applyFont="1" fillId="7" applyFill="1" borderId="9" applyBorder="1" xfId="0" applyAlignment="1">
      <alignment horizontal="center" vertical="center" wrapText="1"/>
    </xf>
    <xf numFmtId="2" applyNumberFormat="1" fontId="66" applyFont="1" fillId="7" applyFill="1" borderId="9" applyBorder="1" xfId="0" applyAlignment="1">
      <alignment horizontal="center" vertical="center"/>
    </xf>
    <xf numFmtId="2" applyNumberFormat="1" fontId="66" applyFont="1" fillId="7" applyFill="1" borderId="25" applyBorder="1" xfId="0" applyAlignment="1">
      <alignment horizontal="center" vertical="center" wrapText="1"/>
    </xf>
    <xf numFmtId="2" applyNumberFormat="1" fontId="66" applyFont="1" fillId="7" applyFill="1" borderId="15" applyBorder="1" xfId="0" applyAlignment="1">
      <alignment horizontal="center" vertical="center" wrapText="1"/>
    </xf>
    <xf numFmtId="2" applyNumberFormat="1" fontId="66" applyFont="1" fillId="7" applyFill="1" borderId="9" applyBorder="1" xfId="0" applyAlignment="1">
      <alignment horizontal="center" vertical="center" textRotation="90"/>
    </xf>
    <xf numFmtId="2" applyNumberFormat="1" fontId="66" applyFont="1" fillId="7" applyFill="1" borderId="9" applyBorder="1" xfId="0" applyAlignment="1">
      <alignment horizontal="center" vertical="center" wrapText="1" textRotation="90"/>
    </xf>
    <xf numFmtId="1" applyNumberFormat="1" fontId="65" applyFont="1" fillId="7" applyFill="1" borderId="24" applyBorder="1" xfId="0" applyAlignment="1">
      <alignment horizontal="center" vertical="center"/>
    </xf>
    <xf numFmtId="1" applyNumberFormat="1" fontId="65" applyFont="1" fillId="7" applyFill="1" borderId="9" applyBorder="1" xfId="0" applyAlignment="1">
      <alignment horizontal="center" vertical="center"/>
    </xf>
    <xf numFmtId="1" applyNumberFormat="1" fontId="65" applyFont="1" fillId="7" applyFill="1" borderId="25" applyBorder="1" xfId="0" applyAlignment="1">
      <alignment horizontal="center" vertical="center"/>
    </xf>
    <xf numFmtId="1" applyNumberFormat="1" fontId="67" applyFont="1" fillId="0" borderId="24" applyBorder="1" xfId="0" applyAlignment="1">
      <alignment horizontal="center" vertical="center"/>
    </xf>
    <xf numFmtId="0" fontId="67" applyFont="1" fillId="0" borderId="9" applyBorder="1" xfId="0" applyAlignment="1">
      <alignment horizontal="left" vertical="center" wrapText="1"/>
    </xf>
    <xf numFmtId="0" fontId="67" applyFont="1" fillId="0" borderId="9" applyBorder="1" xfId="0" applyAlignment="1">
      <alignment vertical="center"/>
    </xf>
    <xf numFmtId="3" applyNumberFormat="1" fontId="68" applyFont="1" fillId="0" borderId="9" applyBorder="1" xfId="0" applyAlignment="1">
      <alignment horizontal="center" vertical="center"/>
    </xf>
    <xf numFmtId="0" fontId="69" applyFont="1" fillId="0" borderId="9" applyBorder="1" xfId="3" applyAlignment="1">
      <alignment horizontal="center" vertical="center"/>
    </xf>
    <xf numFmtId="3" applyNumberFormat="1" fontId="67" applyFont="1" fillId="0" borderId="9" applyBorder="1" xfId="3" applyAlignment="1">
      <alignment horizontal="center" vertical="center"/>
    </xf>
    <xf numFmtId="3" applyNumberFormat="1" fontId="69" applyFont="1" fillId="0" borderId="9" applyBorder="1" xfId="3" applyAlignment="1">
      <alignment horizontal="center" vertical="center"/>
    </xf>
    <xf numFmtId="3" applyNumberFormat="1" fontId="66" applyFont="1" fillId="0" borderId="9" applyBorder="1" xfId="0" applyAlignment="1">
      <alignment horizontal="center" vertical="center"/>
    </xf>
    <xf numFmtId="3" applyNumberFormat="1" fontId="70" applyFont="1" fillId="0" borderId="9" applyBorder="1" xfId="0" quotePrefix="1" applyAlignment="1">
      <alignment horizontal="right" vertical="center"/>
    </xf>
    <xf numFmtId="3" applyNumberFormat="1" fontId="68" applyFont="1" fillId="0" borderId="9" applyBorder="1" xfId="0" applyAlignment="1">
      <alignment horizontal="right" vertical="center"/>
    </xf>
    <xf numFmtId="3" applyNumberFormat="1" fontId="70" applyFont="1" fillId="0" borderId="9" applyBorder="1" xfId="0" applyAlignment="1">
      <alignment horizontal="right" vertical="center"/>
    </xf>
    <xf numFmtId="0" fontId="67" applyFont="1" fillId="0" borderId="9" applyBorder="1" xfId="0" applyAlignment="1">
      <alignment horizontal="center" vertical="center"/>
    </xf>
    <xf numFmtId="49" applyNumberFormat="1" fontId="71" applyFont="1" fillId="0" borderId="9" applyBorder="1" xfId="0" quotePrefix="1" applyAlignment="1">
      <alignment horizontal="center" vertical="center"/>
    </xf>
    <xf numFmtId="1" applyNumberFormat="1" fontId="67" applyFont="1" fillId="0" borderId="25" applyBorder="1" xfId="0" applyAlignment="1">
      <alignment horizontal="center" vertical="center"/>
    </xf>
    <xf numFmtId="0" fontId="67" applyFont="1" fillId="0" borderId="9" applyBorder="1" xfId="0" applyAlignment="1">
      <alignment vertical="center" wrapText="1"/>
    </xf>
    <xf numFmtId="0" fontId="66" applyFont="1" fillId="0" borderId="9" applyBorder="1" xfId="0" applyAlignment="1">
      <alignment horizontal="left" vertical="center" wrapText="1"/>
    </xf>
    <xf numFmtId="0" fontId="66" applyFont="1" fillId="0" borderId="9" applyBorder="1" xfId="0" applyAlignment="1">
      <alignment vertical="center"/>
    </xf>
    <xf numFmtId="3" applyNumberFormat="1" fontId="66" applyFont="1" fillId="0" borderId="9" applyBorder="1" xfId="3" applyAlignment="1">
      <alignment horizontal="center" vertical="center"/>
    </xf>
    <xf numFmtId="3" applyNumberFormat="1" fontId="68" applyFont="1" fillId="0" borderId="9" applyBorder="1" xfId="3" applyAlignment="1">
      <alignment horizontal="center" vertical="center"/>
    </xf>
    <xf numFmtId="3" applyNumberFormat="1" fontId="68" applyFont="1" fillId="0" borderId="9" applyBorder="1" xfId="0" quotePrefix="1" applyAlignment="1">
      <alignment horizontal="right" vertical="center"/>
    </xf>
    <xf numFmtId="0" fontId="66" applyFont="1" fillId="0" borderId="9" applyBorder="1" xfId="0" applyAlignment="1">
      <alignment horizontal="center" vertical="center"/>
    </xf>
    <xf numFmtId="1" applyNumberFormat="1" fontId="66" applyFont="1" fillId="0" borderId="25" applyBorder="1" xfId="0" applyAlignment="1">
      <alignment horizontal="center" vertical="center"/>
    </xf>
    <xf numFmtId="0" fontId="72" applyFont="1" fillId="0" borderId="0" xfId="0" applyAlignment="1"/>
    <xf numFmtId="1" applyNumberFormat="1" fontId="66" applyFont="1" fillId="0" borderId="24" applyBorder="1" xfId="0" applyAlignment="1">
      <alignment horizontal="center" vertical="center"/>
    </xf>
    <xf numFmtId="3" applyNumberFormat="1" fontId="40" applyFont="1" fillId="0" borderId="0" xfId="0" applyAlignment="1"/>
    <xf numFmtId="0" fontId="68" applyFont="1" fillId="4" applyFill="1" borderId="26" applyBorder="1" xfId="0" applyAlignment="1">
      <alignment horizontal="center" vertical="center"/>
    </xf>
    <xf numFmtId="0" fontId="69" applyFont="1" fillId="4" applyFill="1" borderId="27" applyBorder="1" xfId="0" applyAlignment="1">
      <alignment horizontal="center" vertical="center"/>
    </xf>
    <xf numFmtId="3" applyNumberFormat="1" fontId="68" applyFont="1" fillId="4" applyFill="1" borderId="27" applyBorder="1" xfId="0" applyAlignment="1">
      <alignment horizontal="center" vertical="center"/>
    </xf>
    <xf numFmtId="3" applyNumberFormat="1" fontId="68" applyFont="1" fillId="4" applyFill="1" borderId="27" applyBorder="1" xfId="0" applyAlignment="1">
      <alignment horizontal="right" vertical="center"/>
    </xf>
    <xf numFmtId="0" fontId="68" applyFont="1" fillId="4" applyFill="1" borderId="27" applyBorder="1" xfId="0" applyAlignment="1">
      <alignment horizontal="center" vertical="center"/>
    </xf>
    <xf numFmtId="0" fontId="68" applyFont="1" fillId="4" applyFill="1" borderId="28" applyBorder="1" xfId="0" applyAlignment="1">
      <alignment horizontal="center" vertical="center"/>
    </xf>
    <xf numFmtId="3" applyNumberFormat="1" fontId="1" applyFont="1" fillId="0" borderId="0" xfId="0" applyAlignment="1"/>
    <xf numFmtId="0" fontId="73" applyFont="1" fillId="0" borderId="0" applyBorder="1" xfId="0" applyAlignment="1">
      <alignment horizontal="left"/>
    </xf>
    <xf numFmtId="0" fontId="55" applyFont="1" fillId="0" borderId="0" applyBorder="1" xfId="0" applyAlignment="1">
      <alignment horizontal="left"/>
    </xf>
    <xf numFmtId="166" applyNumberFormat="1" fontId="10" applyFont="1" fillId="0" borderId="0" applyBorder="1" xfId="1" applyAlignment="1"/>
    <xf numFmtId="0" fontId="1" applyFont="1" fillId="0" borderId="0" xfId="0" applyAlignment="1">
      <alignment horizontal="left"/>
    </xf>
    <xf numFmtId="0" fontId="1" applyFont="1" fillId="0" borderId="0" applyBorder="1" xfId="0" applyAlignment="1">
      <alignment vertical="center"/>
    </xf>
    <xf numFmtId="166" applyNumberFormat="1" fontId="10" applyFont="1" fillId="0" borderId="0" applyBorder="1" xfId="1" applyAlignment="1">
      <alignment horizontal="left"/>
    </xf>
    <xf numFmtId="0" fontId="73" applyFont="1" fillId="0" borderId="0" applyBorder="1" xfId="0" applyAlignment="1"/>
    <xf numFmtId="0" fontId="74" applyFont="1" fillId="0" borderId="9" applyBorder="1" xfId="0" applyAlignment="1">
      <alignment horizontal="center"/>
    </xf>
    <xf numFmtId="0" fontId="55" applyFont="1" fillId="3" applyFill="1" borderId="9" applyBorder="1" xfId="0" applyAlignment="1">
      <alignment horizontal="center" vertical="center" wrapText="1"/>
    </xf>
    <xf numFmtId="166" applyNumberFormat="1" fontId="55" applyFont="1" fillId="3" applyFill="1" borderId="9" applyBorder="1" xfId="1" applyAlignment="1">
      <alignment horizontal="center" vertical="center" wrapText="1"/>
    </xf>
    <xf numFmtId="0" fontId="55" applyFont="1" fillId="11" applyFill="1" borderId="9" applyBorder="1" xfId="0" applyAlignment="1"/>
    <xf numFmtId="0" fontId="55" applyFont="1" fillId="11" applyFill="1" borderId="9" applyBorder="1" xfId="0" applyAlignment="1">
      <alignment horizontal="center"/>
    </xf>
    <xf numFmtId="0" fontId="1" applyFont="1" fillId="0" borderId="9" applyBorder="1" xfId="0" applyAlignment="1">
      <alignment horizontal="center"/>
    </xf>
    <xf numFmtId="1" applyNumberFormat="1" fontId="1" applyFont="1" fillId="0" borderId="9" applyBorder="1" xfId="0" applyAlignment="1"/>
    <xf numFmtId="4" applyNumberFormat="1" fontId="1" applyFont="1" fillId="0" borderId="9" applyBorder="1" xfId="0" applyAlignment="1"/>
    <xf numFmtId="172" applyNumberFormat="1" fontId="1" applyFont="1" fillId="0" borderId="9" applyBorder="1" xfId="1" applyAlignment="1"/>
    <xf numFmtId="166" applyNumberFormat="1" fontId="1" applyFont="1" fillId="0" borderId="9" applyBorder="1" xfId="1" applyAlignment="1"/>
    <xf numFmtId="39" applyNumberFormat="1" fontId="55" applyFont="1" fillId="0" borderId="9" applyBorder="1" xfId="1" applyAlignment="1"/>
    <xf numFmtId="17" applyNumberFormat="1" fontId="1" applyFont="1" fillId="0" borderId="9" applyBorder="1" xfId="1" applyAlignment="1">
      <alignment horizontal="left" wrapText="1"/>
    </xf>
    <xf numFmtId="166" applyNumberFormat="1" fontId="1" applyFont="1" fillId="0" borderId="0" xfId="0" applyAlignment="1"/>
    <xf numFmtId="173" applyNumberFormat="1" fontId="1" applyFont="1" fillId="0" borderId="9" applyBorder="1" xfId="0" applyAlignment="1"/>
    <xf numFmtId="174" applyNumberFormat="1" fontId="1" applyFont="1" fillId="0" borderId="9" applyBorder="1" xfId="1" applyAlignment="1">
      <alignment horizontal="left" wrapText="1"/>
    </xf>
    <xf numFmtId="172" applyNumberFormat="1" fontId="1" applyFont="1" fillId="0" borderId="0" applyBorder="1" xfId="0" applyAlignment="1"/>
    <xf numFmtId="173" applyNumberFormat="1" fontId="1" applyFont="1" fillId="0" borderId="0" applyBorder="1" xfId="0" applyAlignment="1"/>
    <xf numFmtId="172" applyNumberFormat="1" fontId="1" applyFont="1" fillId="0" borderId="0" applyBorder="1" xfId="1" applyAlignment="1"/>
    <xf numFmtId="166" applyNumberFormat="1" fontId="1" applyFont="1" fillId="0" borderId="0" applyBorder="1" xfId="1" applyAlignment="1"/>
    <xf numFmtId="39" applyNumberFormat="1" fontId="55" applyFont="1" fillId="0" borderId="0" applyBorder="1" xfId="1" applyAlignment="1"/>
    <xf numFmtId="166" applyNumberFormat="1" fontId="1" applyFont="1" fillId="0" borderId="0" applyBorder="1" xfId="1" applyAlignment="1">
      <alignment horizontal="left" wrapText="1"/>
    </xf>
  </cellXfs>
  <cellStyles count="5">
    <cellStyle name="Normal" xfId="0" builtinId="0"/>
    <cellStyle name="Comma" xfId="1"/>
    <cellStyle name="Hyperlink" xfId="2"/>
    <cellStyle name="Normal 3" xfId="3"/>
    <cellStyle name="Normal 5" xfId="4"/>
  </cellStyles>
  <dxfs count="2">
    <d:dxf xmlns:d="http://schemas.openxmlformats.org/spreadsheetml/2006/main">
      <font>
        <color rgb="FF9C0006"/>
      </font>
      <fill>
        <patternFill>
          <bgColor rgb="FFFFC7CE"/>
        </patternFill>
      </fill>
    </d:dxf>
    <d:dxf xmlns:d="http://schemas.openxmlformats.org/spreadsheetml/2006/main">
      <font>
        <color rgb="FF800080"/>
      </font>
      <fill>
        <patternFill>
          <bgColor rgb="FFFF99CC"/>
        </patternFill>
      </fill>
    </d:dxf>
  </dxfs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styles" Target="styles.xml"/><Relationship Id="rId3" Type="http://schemas.openxmlformats.org/officeDocument/2006/relationships/worksheet" Target="worksheets/sheet2.xml"/><Relationship Id="rId4" Type="http://schemas.openxmlformats.org/officeDocument/2006/relationships/worksheet" Target="worksheets/sheet3.xml"/><Relationship Id="rId5" Type="http://schemas.openxmlformats.org/officeDocument/2006/relationships/worksheet" Target="worksheets/sheet4.xml"/><Relationship Id="rId6" Type="http://schemas.openxmlformats.org/officeDocument/2006/relationships/worksheet" Target="worksheets/sheet5.xml"/><Relationship Id="rId7" Type="http://schemas.openxmlformats.org/officeDocument/2006/relationships/worksheet" Target="worksheets/sheet6.xml"/><Relationship Id="rId8" Type="http://schemas.openxmlformats.org/officeDocument/2006/relationships/worksheet" Target="worksheets/sheet7.xml"/><Relationship Id="rId9" Type="http://schemas.openxmlformats.org/officeDocument/2006/relationships/worksheet" Target="worksheets/sheet8.xml"/><Relationship Id="rId10" Type="http://schemas.openxmlformats.org/officeDocument/2006/relationships/worksheet" Target="worksheets/sheet9.xml"/><Relationship Id="rId11" Type="http://schemas.openxmlformats.org/officeDocument/2006/relationships/worksheet" Target="worksheets/sheet10.xml"/><Relationship Id="rId12" Type="http://schemas.openxmlformats.org/officeDocument/2006/relationships/worksheet" Target="worksheets/sheet11.xml"/><Relationship Id="rId13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3.jp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Relationship Id="rId3" Type="http://schemas.openxmlformats.org/officeDocument/2006/relationships/image" Target="../media/image4.jpg"/></Relationships>
</file>

<file path=xl/drawings/_rels/drawing3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9.xml.rels><?xml version="1.0" encoding="UTF-8" standalone="yes"?>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1.png"/><Relationship Id="rId3" Type="http://schemas.openxmlformats.org/officeDocument/2006/relationships/image" Target="../media/image1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10</xdr:col>
      <xdr:colOff>285750</xdr:colOff>
      <xdr:row>2</xdr:row>
      <xdr:rowOff>76200</xdr:rowOff>
    </xdr:from>
    <xdr:ext cx="190500" cy="266700"/>
    <xdr:sp>
      <xdr:nvSpPr>
        <xdr:cNvPr id="1303" name="TextBox 1">
          <a:extLst>
            <a:ext uri="{FF2B5EF4-FFF2-40B4-BE49-F238E27FC236}">
              <a16:creationId xmlns:a16="http://schemas.microsoft.com/office/drawing/2014/main" id="{cf1a0e63-0c46-4d63-9ae1-c41b3e3fe6d0}"/>
            </a:ext>
          </a:extLst>
        </xdr:cNvPr>
        <xdr:cNvSpPr txBox="1"/>
      </xdr:nvSpPr>
      <xdr:spPr>
        <a:xfrm>
          <a:off x="8372475" y="457200"/>
          <a:ext cx="19050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10700" cy="266700"/>
    <xdr:sp>
      <xdr:nvSpPr>
        <xdr:cNvPr id="1304" name="TextBox 2">
          <a:extLst>
            <a:ext uri="{FF2B5EF4-FFF2-40B4-BE49-F238E27FC236}">
              <a16:creationId xmlns:a16="http://schemas.microsoft.com/office/drawing/2014/main" id="{8539be77-f3e9-43a8-8800-278579a1b18b}"/>
            </a:ext>
          </a:extLst>
        </xdr:cNvPr>
        <xdr:cNvSpPr txBox="1"/>
      </xdr:nvSpPr>
      <xdr:spPr>
        <a:xfrm>
          <a:off x="28575" y="0"/>
          <a:ext cx="941070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twoCellAnchor>
    <xdr:from>
      <xdr:col>0</xdr:col>
      <xdr:colOff>28577</xdr:colOff>
      <xdr:row>0</xdr:row>
      <xdr:rowOff>41275</xdr:rowOff>
    </xdr:from>
    <xdr:to>
      <xdr:col>9</xdr:col>
      <xdr:colOff>799912</xdr:colOff>
      <xdr:row>9</xdr:row>
      <xdr:rowOff>138607</xdr:rowOff>
    </xdr:to>
    <xdr:sp>
      <xdr:nvSpPr>
        <xdr:cNvPr id="1305" name="Text Box 9">
          <a:extLst>
            <a:ext uri="{FF2B5EF4-FFF2-40B4-BE49-F238E27FC236}">
              <a16:creationId xmlns:a16="http://schemas.microsoft.com/office/drawing/2014/main" id="{6a24d06a-5114-43d3-82d1-dc50c0390a3d}"/>
            </a:ext>
          </a:extLst>
        </xdr:cNvPr>
        <xdr:cNvSpPr txBox="1"/>
      </xdr:nvSpPr>
      <xdr:spPr>
        <a:xfrm>
          <a:off x="28575" y="38100"/>
          <a:ext cx="8020050" cy="1809750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en-US" sz="11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endParaRPr lang="en-US" sz="28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2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Singh and Sons InfoTech Private Limited</a:t>
          </a:r>
          <a:endParaRPr lang="en-IN" sz="24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8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(An Integrated Facilities Management Company)</a:t>
          </a:r>
          <a:endParaRPr lang="en-IN" sz="18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Regd. Office: 21, Indra Nagar, Dibiyapur, Auraiya, (U.P) – 206244</a:t>
          </a:r>
          <a:endParaRPr lang="en-IN" sz="1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(An ISO 9001:2015 Certified Company)</a:t>
          </a:r>
          <a:endParaRPr lang="en-IN" sz="1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 marL="0" marR="0">
            <a:lnSpc>
              <a:spcPts val="48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endParaRPr lang="en-US" sz="4000" b="1">
            <a:solidFill>
              <a:srgbClr val="000000"/>
            </a:solidFill>
            <a:effectLst/>
            <a:latin typeface="+mn-lt"/>
            <a:ea typeface="Calibri"/>
            <a:cs typeface="Times New Roman"/>
          </a:endParaRPr>
        </a:p>
        <a:p>
          <a:pPr marL="0" marR="0">
            <a:lnSpc>
              <a:spcPts val="12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133610</xdr:colOff>
      <xdr:row>3</xdr:row>
      <xdr:rowOff>162223</xdr:rowOff>
    </xdr:from>
    <xdr:to>
      <xdr:col>1</xdr:col>
      <xdr:colOff>533400</xdr:colOff>
      <xdr:row>9</xdr:row>
      <xdr:rowOff>47625</xdr:rowOff>
    </xdr:to>
    <xdr:pic>
      <xdr:nvPicPr>
        <xdr:cNvPr id="1306" name="image1.png">
          <a:extLst>
            <a:ext uri="{FF2B5EF4-FFF2-40B4-BE49-F238E27FC236}">
              <a16:creationId xmlns:a16="http://schemas.microsoft.com/office/drawing/2014/main" id="{453a13b9-993d-46c7-bedf-eb3e720b055b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33350" y="733425"/>
          <a:ext cx="952500" cy="1028700"/>
        </a:xfrm>
        <a:prstGeom prst="rect"/>
      </xdr:spPr>
    </xdr:pic>
    <xdr:clientData/>
  </xdr:twoCellAnchor>
  <xdr:twoCellAnchor editAs="oneCell">
    <xdr:from>
      <xdr:col>4</xdr:col>
      <xdr:colOff>685949</xdr:colOff>
      <xdr:row>0</xdr:row>
      <xdr:rowOff>66973</xdr:rowOff>
    </xdr:from>
    <xdr:to>
      <xdr:col>5</xdr:col>
      <xdr:colOff>323850</xdr:colOff>
      <xdr:row>3</xdr:row>
      <xdr:rowOff>133201</xdr:rowOff>
    </xdr:to>
    <xdr:pic>
      <xdr:nvPicPr>
        <xdr:cNvPr id="1307" name="Picture 11">
          <a:extLst>
            <a:ext uri="{FF2B5EF4-FFF2-40B4-BE49-F238E27FC236}">
              <a16:creationId xmlns:a16="http://schemas.microsoft.com/office/drawing/2014/main" id="{ebc5969b-ff36-4961-9113-154ba3517727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743325" y="66675"/>
          <a:ext cx="476250" cy="638175"/>
        </a:xfrm>
        <a:prstGeom prst="rect"/>
      </xdr:spPr>
    </xdr:pic>
    <xdr:clientData/>
  </xdr:twoCellAnchor>
  <xdr:oneCellAnchor>
    <xdr:from>
      <xdr:col>0</xdr:col>
      <xdr:colOff>19050</xdr:colOff>
      <xdr:row>0</xdr:row>
      <xdr:rowOff>38100</xdr:rowOff>
    </xdr:from>
    <xdr:ext cx="2009775" cy="409575"/>
    <xdr:sp>
      <xdr:nvSpPr>
        <xdr:cNvPr id="1308" name="TextBox 6">
          <a:extLst>
            <a:ext uri="{FF2B5EF4-FFF2-40B4-BE49-F238E27FC236}">
              <a16:creationId xmlns:a16="http://schemas.microsoft.com/office/drawing/2014/main" id="{b6124fe2-0e48-4f41-9ef0-38cd5ee55d1c}"/>
            </a:ext>
          </a:extLst>
        </xdr:cNvPr>
        <xdr:cNvSpPr txBox="1"/>
      </xdr:nvSpPr>
      <xdr:spPr>
        <a:xfrm>
          <a:off x="19050" y="38100"/>
          <a:ext cx="2009775" cy="4095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/>
          <a:r>
            <a:rPr lang="en-US" sz="1000" b="1">
              <a:solidFill>
                <a:schemeClr val="tx1"/>
              </a:solidFill>
              <a:latin typeface="+mn-lt"/>
            </a:rPr>
            <a:t>EMAIL : snsitech@gmail.com</a:t>
          </a:r>
        </a:p>
        <a:p>
          <a:r>
            <a:rPr lang="en-US" sz="1000" b="1">
              <a:solidFill>
                <a:schemeClr val="tx1"/>
              </a:solidFill>
              <a:latin typeface="+mn-lt"/>
            </a:rPr>
            <a:t>MOB</a:t>
          </a:r>
          <a:r>
            <a:rPr lang="en-US" sz="1000" b="1" baseline="0">
              <a:solidFill>
                <a:schemeClr val="tx1"/>
              </a:solidFill>
              <a:latin typeface="+mn-lt"/>
            </a:rPr>
            <a:t>  : +91-8979987689</a:t>
          </a:r>
          <a:endParaRPr lang="en-US" sz="1000" b="1">
            <a:latin typeface="+mn-lt"/>
          </a:endParaRPr>
        </a:p>
      </xdr:txBody>
    </xdr:sp>
    <xdr:clientData/>
  </xdr:oneCellAnchor>
  <xdr:oneCellAnchor>
    <xdr:from>
      <xdr:col>7</xdr:col>
      <xdr:colOff>704850</xdr:colOff>
      <xdr:row>0</xdr:row>
      <xdr:rowOff>47625</xdr:rowOff>
    </xdr:from>
    <xdr:ext cx="1771650" cy="400050"/>
    <xdr:sp>
      <xdr:nvSpPr>
        <xdr:cNvPr id="1309" name="TextBox 7">
          <a:extLst>
            <a:ext uri="{FF2B5EF4-FFF2-40B4-BE49-F238E27FC236}">
              <a16:creationId xmlns:a16="http://schemas.microsoft.com/office/drawing/2014/main" id="{1a4f42fe-9f48-477a-a59b-34795082dc8e}"/>
            </a:ext>
          </a:extLst>
        </xdr:cNvPr>
        <xdr:cNvSpPr txBox="1"/>
      </xdr:nvSpPr>
      <xdr:spPr>
        <a:xfrm>
          <a:off x="6276975" y="47625"/>
          <a:ext cx="1771650" cy="40005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/>
          <a:r>
            <a:rPr lang="en-US" sz="1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CIN: U40106UP2019PTC125182</a:t>
          </a:r>
          <a:endParaRPr lang="en-US" sz="1000">
            <a:solidFill>
              <a:srgbClr val="000000"/>
            </a:solidFill>
            <a:effectLst/>
            <a:latin typeface="+mn-lt"/>
          </a:endParaRPr>
        </a:p>
        <a:p>
          <a:pPr algn="r"/>
          <a:r>
            <a:rPr lang="en-US" sz="1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0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r>
            <a:rPr lang="en-US" sz="10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endParaRPr lang="en-US" sz="1000">
            <a:solidFill>
              <a:srgbClr val="000000"/>
            </a:solidFill>
            <a:effectLst/>
            <a:latin typeface="+mn-lt"/>
          </a:endParaRPr>
        </a:p>
        <a:p>
          <a:endParaRPr lang="en-US" sz="1100"/>
        </a:p>
      </xdr:txBody>
    </xdr:sp>
    <xdr:clientData/>
  </xdr:oneCellAnchor>
  <xdr:twoCellAnchor editAs="oneCell">
    <xdr:from>
      <xdr:col>0</xdr:col>
      <xdr:colOff>9544</xdr:colOff>
      <xdr:row>56</xdr:row>
      <xdr:rowOff>36761</xdr:rowOff>
    </xdr:from>
    <xdr:to>
      <xdr:col>9</xdr:col>
      <xdr:colOff>800100</xdr:colOff>
      <xdr:row>58</xdr:row>
      <xdr:rowOff>255269</xdr:rowOff>
    </xdr:to>
    <xdr:pic>
      <xdr:nvPicPr>
        <xdr:cNvPr id="1310" name="Picture 4">
          <a:extLst>
            <a:ext uri="{FF2B5EF4-FFF2-40B4-BE49-F238E27FC236}">
              <a16:creationId xmlns:a16="http://schemas.microsoft.com/office/drawing/2014/main" id="{8249d2c4-4900-4ec2-b3e4-a9e1e518f0f3}"/>
            </a:ext>
          </a:extLst>
        </xdr:cNvPr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9525" y="10658475"/>
          <a:ext cx="8048625" cy="704850"/>
        </a:xfrm>
        <a:prstGeom prst="rect"/>
      </xdr:spPr>
    </xdr:pic>
    <xdr:clientData/>
  </xdr:twoCellAnchor>
  <xdr:twoCellAnchor editAs="oneCell">
    <xdr:from>
      <xdr:col>11</xdr:col>
      <xdr:colOff>0</xdr:colOff>
      <xdr:row>10</xdr:row>
      <xdr:rowOff>38100</xdr:rowOff>
    </xdr:from>
    <xdr:to>
      <xdr:col>11</xdr:col>
      <xdr:colOff>180975</xdr:colOff>
      <xdr:row>11</xdr:row>
      <xdr:rowOff>150363</xdr:rowOff>
    </xdr:to>
    <xdr:sp>
      <xdr:nvSpPr>
        <xdr:cNvPr id="1311" name="TextBox 2">
          <a:extLst>
            <a:ext uri="{FF2B5EF4-FFF2-40B4-BE49-F238E27FC236}">
              <a16:creationId xmlns:a16="http://schemas.microsoft.com/office/drawing/2014/main" id="{de8fb631-8ca6-478b-8dee-9bcc6d932bc4}"/>
            </a:ext>
          </a:extLst>
        </xdr:cNvPr>
        <xdr:cNvSpPr txBox="1"/>
      </xdr:nvSpPr>
      <xdr:spPr>
        <a:xfrm>
          <a:off x="8696325" y="1943100"/>
          <a:ext cx="180975" cy="2762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10</xdr:col>
      <xdr:colOff>295275</xdr:colOff>
      <xdr:row>2</xdr:row>
      <xdr:rowOff>95250</xdr:rowOff>
    </xdr:from>
    <xdr:ext cx="190500" cy="266700"/>
    <xdr:sp>
      <xdr:nvSpPr>
        <xdr:cNvPr id="1303" name="TextBox 1">
          <a:extLst>
            <a:ext uri="{FF2B5EF4-FFF2-40B4-BE49-F238E27FC236}">
              <a16:creationId xmlns:a16="http://schemas.microsoft.com/office/drawing/2014/main" id="{c4127eca-ff6f-4df9-bf76-61b6cc48b886}"/>
            </a:ext>
          </a:extLst>
        </xdr:cNvPr>
        <xdr:cNvSpPr txBox="1"/>
      </xdr:nvSpPr>
      <xdr:spPr>
        <a:xfrm>
          <a:off x="8096250" y="590550"/>
          <a:ext cx="19050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363075" cy="266700"/>
    <xdr:sp>
      <xdr:nvSpPr>
        <xdr:cNvPr id="1304" name="TextBox 6">
          <a:extLst>
            <a:ext uri="{FF2B5EF4-FFF2-40B4-BE49-F238E27FC236}">
              <a16:creationId xmlns:a16="http://schemas.microsoft.com/office/drawing/2014/main" id="{64782932-5fe3-4066-aed6-39fadf4a9ca3}"/>
            </a:ext>
          </a:extLst>
        </xdr:cNvPr>
        <xdr:cNvSpPr txBox="1"/>
      </xdr:nvSpPr>
      <xdr:spPr>
        <a:xfrm>
          <a:off x="28575" y="0"/>
          <a:ext cx="93630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twoCellAnchor>
    <xdr:from>
      <xdr:col>0</xdr:col>
      <xdr:colOff>28576</xdr:colOff>
      <xdr:row>0</xdr:row>
      <xdr:rowOff>41275</xdr:rowOff>
    </xdr:from>
    <xdr:to>
      <xdr:col>9</xdr:col>
      <xdr:colOff>838865</xdr:colOff>
      <xdr:row>9</xdr:row>
      <xdr:rowOff>209550</xdr:rowOff>
    </xdr:to>
    <xdr:sp>
      <xdr:nvSpPr>
        <xdr:cNvPr id="1305" name="Text Box 9">
          <a:extLst>
            <a:ext uri="{FF2B5EF4-FFF2-40B4-BE49-F238E27FC236}">
              <a16:creationId xmlns:a16="http://schemas.microsoft.com/office/drawing/2014/main" id="{dda15d50-728f-4754-bfef-01556ad82352}"/>
            </a:ext>
          </a:extLst>
        </xdr:cNvPr>
        <xdr:cNvSpPr txBox="1"/>
      </xdr:nvSpPr>
      <xdr:spPr>
        <a:xfrm>
          <a:off x="28575" y="38100"/>
          <a:ext cx="7753350" cy="2400300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pPr algn="ctr">
            <a:lnSpc>
              <a:spcPts val="1100"/>
            </a:lnSpc>
          </a:pPr>
          <a:endParaRPr lang="en-US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100"/>
            </a:lnSpc>
          </a:pPr>
          <a:endParaRPr lang="en-US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600"/>
            </a:lnSpc>
          </a:pPr>
          <a:endParaRPr lang="en-US" sz="28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600"/>
            </a:lnSpc>
          </a:pPr>
          <a:endParaRPr lang="en-US" sz="28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600"/>
            </a:lnSpc>
          </a:pPr>
          <a:r>
            <a:rPr lang="en-US" sz="2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Singh and Sons InfoTech Private Limited</a:t>
          </a:r>
          <a:endParaRPr lang="en-IN" sz="26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800"/>
            </a:lnSpc>
          </a:pPr>
          <a:r>
            <a:rPr lang="en-US" sz="18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(An Integrated Facilities Management Company)</a:t>
          </a:r>
          <a:endParaRPr lang="en-IN" sz="1800" b="1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300"/>
            </a:lnSpc>
          </a:pP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Regd. Office: 21, Indra Nagar, Dibiyapur, Auraiya, (U.P) – 206244</a:t>
          </a:r>
          <a:endParaRPr lang="en-IN" sz="1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200"/>
            </a:lnSpc>
          </a:pP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(An ISO 9001:2015 Certified Company)</a:t>
          </a:r>
          <a:endParaRPr lang="en-IN" sz="1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l" marL="0" marR="0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endParaRPr lang="en-US" sz="4000" b="1">
            <a:solidFill>
              <a:srgbClr val="000000"/>
            </a:solidFill>
            <a:effectLst/>
            <a:latin typeface="+mn-lt"/>
            <a:ea typeface="Calibri"/>
            <a:cs typeface="Times New Roman"/>
          </a:endParaRPr>
        </a:p>
        <a:p>
          <a:pPr marL="0" marR="0">
            <a:lnSpc>
              <a:spcPts val="9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161990</xdr:colOff>
      <xdr:row>3</xdr:row>
      <xdr:rowOff>194444</xdr:rowOff>
    </xdr:from>
    <xdr:to>
      <xdr:col>1</xdr:col>
      <xdr:colOff>409575</xdr:colOff>
      <xdr:row>8</xdr:row>
      <xdr:rowOff>28053</xdr:rowOff>
    </xdr:to>
    <xdr:pic>
      <xdr:nvPicPr>
        <xdr:cNvPr id="1306" name="image1.png">
          <a:extLst>
            <a:ext uri="{FF2B5EF4-FFF2-40B4-BE49-F238E27FC236}">
              <a16:creationId xmlns:a16="http://schemas.microsoft.com/office/drawing/2014/main" id="{c3d53098-63d3-48a4-bc59-8eb3059bf0d1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161925" y="933450"/>
          <a:ext cx="1019175" cy="1076325"/>
        </a:xfrm>
        <a:prstGeom prst="rect"/>
      </xdr:spPr>
    </xdr:pic>
    <xdr:clientData/>
  </xdr:twoCellAnchor>
  <xdr:twoCellAnchor editAs="oneCell">
    <xdr:from>
      <xdr:col>4</xdr:col>
      <xdr:colOff>562068</xdr:colOff>
      <xdr:row>0</xdr:row>
      <xdr:rowOff>28054</xdr:rowOff>
    </xdr:from>
    <xdr:to>
      <xdr:col>5</xdr:col>
      <xdr:colOff>257175</xdr:colOff>
      <xdr:row>2</xdr:row>
      <xdr:rowOff>157683</xdr:rowOff>
    </xdr:to>
    <xdr:pic>
      <xdr:nvPicPr>
        <xdr:cNvPr id="1307" name="Picture 11">
          <a:extLst>
            <a:ext uri="{FF2B5EF4-FFF2-40B4-BE49-F238E27FC236}">
              <a16:creationId xmlns:a16="http://schemas.microsoft.com/office/drawing/2014/main" id="{2ff98577-933e-47c3-a4fd-288865cb2602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3648075" y="28575"/>
          <a:ext cx="476250" cy="628650"/>
        </a:xfrm>
        <a:prstGeom prst="rect"/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38375" cy="476250"/>
    <xdr:sp>
      <xdr:nvSpPr>
        <xdr:cNvPr id="1308" name="TextBox 7">
          <a:extLst>
            <a:ext uri="{FF2B5EF4-FFF2-40B4-BE49-F238E27FC236}">
              <a16:creationId xmlns:a16="http://schemas.microsoft.com/office/drawing/2014/main" id="{ad80448a-cac4-45ed-b1e1-96136bd61c80}"/>
            </a:ext>
          </a:extLst>
        </xdr:cNvPr>
        <xdr:cNvSpPr txBox="1"/>
      </xdr:nvSpPr>
      <xdr:spPr>
        <a:xfrm>
          <a:off x="19050" y="19050"/>
          <a:ext cx="2238375" cy="47625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l"/>
          <a:r>
            <a:rPr lang="en-US" sz="1200" b="1">
              <a:solidFill>
                <a:schemeClr val="tx1"/>
              </a:solidFill>
              <a:latin typeface="+mn-lt"/>
            </a:rPr>
            <a:t>EMAIL : snsitech@gmail.com</a:t>
          </a:r>
        </a:p>
        <a:p>
          <a:pPr algn="l"/>
          <a:r>
            <a:rPr lang="en-US" sz="1200" b="1">
              <a:solidFill>
                <a:schemeClr val="tx1"/>
              </a:solidFill>
              <a:latin typeface="+mn-lt"/>
            </a:rPr>
            <a:t>MOB</a:t>
          </a:r>
          <a:r>
            <a:rPr lang="en-US" sz="1200" b="1" baseline="0">
              <a:solidFill>
                <a:schemeClr val="tx1"/>
              </a:solidFill>
              <a:latin typeface="+mn-lt"/>
            </a:rPr>
            <a:t>  : +91-8979987689</a:t>
          </a:r>
          <a:endParaRPr lang="en-US" sz="1200" b="1">
            <a:latin typeface="+mn-lt"/>
          </a:endParaRPr>
        </a:p>
      </xdr:txBody>
    </xdr:sp>
    <xdr:clientData/>
  </xdr:oneCellAnchor>
  <xdr:oneCellAnchor>
    <xdr:from>
      <xdr:col>7</xdr:col>
      <xdr:colOff>76200</xdr:colOff>
      <xdr:row>0</xdr:row>
      <xdr:rowOff>38100</xdr:rowOff>
    </xdr:from>
    <xdr:ext cx="2295525" cy="542925"/>
    <xdr:sp>
      <xdr:nvSpPr>
        <xdr:cNvPr id="1309" name="TextBox 8">
          <a:extLst>
            <a:ext uri="{FF2B5EF4-FFF2-40B4-BE49-F238E27FC236}">
              <a16:creationId xmlns:a16="http://schemas.microsoft.com/office/drawing/2014/main" id="{882749fd-0749-4230-93be-376b8c39bcac}"/>
            </a:ext>
          </a:extLst>
        </xdr:cNvPr>
        <xdr:cNvSpPr txBox="1"/>
      </xdr:nvSpPr>
      <xdr:spPr>
        <a:xfrm>
          <a:off x="5476875" y="38100"/>
          <a:ext cx="2295525" cy="5429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/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CIN: U40106UP2019PTC125182</a:t>
          </a:r>
          <a:endParaRPr lang="en-US" sz="1200">
            <a:solidFill>
              <a:srgbClr val="000000"/>
            </a:solidFill>
            <a:effectLst/>
            <a:latin typeface="+mn-lt"/>
          </a:endParaRPr>
        </a:p>
        <a:p>
          <a:pPr algn="r"/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endParaRPr lang="en-US" sz="1200">
            <a:solidFill>
              <a:srgbClr val="000000"/>
            </a:solidFill>
            <a:effectLst/>
            <a:latin typeface="+mn-lt"/>
          </a:endParaRPr>
        </a:p>
        <a:p>
          <a:endParaRPr lang="en-US" sz="1100"/>
        </a:p>
      </xdr:txBody>
    </xdr:sp>
    <xdr:clientData/>
  </xdr:oneCellAnchor>
  <xdr:twoCellAnchor editAs="oneCell">
    <xdr:from>
      <xdr:col>11</xdr:col>
      <xdr:colOff>288</xdr:colOff>
      <xdr:row>10</xdr:row>
      <xdr:rowOff>38100</xdr:rowOff>
    </xdr:from>
    <xdr:to>
      <xdr:col>11</xdr:col>
      <xdr:colOff>190500</xdr:colOff>
      <xdr:row>12</xdr:row>
      <xdr:rowOff>0</xdr:rowOff>
    </xdr:to>
    <xdr:sp>
      <xdr:nvSpPr>
        <xdr:cNvPr id="1310" name="TextBox 2">
          <a:extLst>
            <a:ext uri="{FF2B5EF4-FFF2-40B4-BE49-F238E27FC236}">
              <a16:creationId xmlns:a16="http://schemas.microsoft.com/office/drawing/2014/main" id="{8fc2601c-ba32-46d0-b53f-c3ef0dd953e6}"/>
            </a:ext>
          </a:extLst>
        </xdr:cNvPr>
        <xdr:cNvSpPr txBox="1"/>
      </xdr:nvSpPr>
      <xdr:spPr>
        <a:xfrm>
          <a:off x="8410575" y="2514600"/>
          <a:ext cx="190500" cy="28575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twoCellAnchor>
  <xdr:twoCellAnchor editAs="oneCell">
    <xdr:from>
      <xdr:col>0</xdr:col>
      <xdr:colOff>18836</xdr:colOff>
      <xdr:row>52</xdr:row>
      <xdr:rowOff>18380</xdr:rowOff>
    </xdr:from>
    <xdr:to>
      <xdr:col>9</xdr:col>
      <xdr:colOff>819150</xdr:colOff>
      <xdr:row>54</xdr:row>
      <xdr:rowOff>231204</xdr:rowOff>
    </xdr:to>
    <xdr:pic>
      <xdr:nvPicPr>
        <xdr:cNvPr id="1311" name="Picture 4">
          <a:extLst>
            <a:ext uri="{FF2B5EF4-FFF2-40B4-BE49-F238E27FC236}">
              <a16:creationId xmlns:a16="http://schemas.microsoft.com/office/drawing/2014/main" id="{9fe333ec-fca0-4935-9bb9-f91fce9215f1}"/>
            </a:ext>
          </a:extLst>
        </xdr:cNvPr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19050" y="10086975"/>
          <a:ext cx="7753350" cy="704850"/>
        </a:xfrm>
        <a:prstGeom prst="rect"/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oneCellAnchor>
    <xdr:from>
      <xdr:col>13</xdr:col>
      <xdr:colOff>276225</xdr:colOff>
      <xdr:row>1</xdr:row>
      <xdr:rowOff>228600</xdr:rowOff>
    </xdr:from>
    <xdr:ext cx="180975" cy="266700"/>
    <xdr:sp>
      <xdr:nvSpPr>
        <xdr:cNvPr id="1272" name="TextBox 1">
          <a:extLst>
            <a:ext uri="{FF2B5EF4-FFF2-40B4-BE49-F238E27FC236}">
              <a16:creationId xmlns:a16="http://schemas.microsoft.com/office/drawing/2014/main" id="{7023b42d-83b9-4388-93e0-e27be7b08513}"/>
            </a:ext>
          </a:extLst>
        </xdr:cNvPr>
        <xdr:cNvSpPr txBox="1"/>
      </xdr:nvSpPr>
      <xdr:spPr>
        <a:xfrm>
          <a:off x="10287000" y="47625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13</xdr:col>
      <xdr:colOff>381000</xdr:colOff>
      <xdr:row>7</xdr:row>
      <xdr:rowOff>228600</xdr:rowOff>
    </xdr:from>
    <xdr:ext cx="180975" cy="266700"/>
    <xdr:sp>
      <xdr:nvSpPr>
        <xdr:cNvPr id="1273" name="TextBox 2">
          <a:extLst>
            <a:ext uri="{FF2B5EF4-FFF2-40B4-BE49-F238E27FC236}">
              <a16:creationId xmlns:a16="http://schemas.microsoft.com/office/drawing/2014/main" id="{51f60379-cd74-4553-9203-4d8bd1502c36}"/>
            </a:ext>
          </a:extLst>
        </xdr:cNvPr>
        <xdr:cNvSpPr txBox="1"/>
      </xdr:nvSpPr>
      <xdr:spPr>
        <a:xfrm>
          <a:off x="10391775" y="1962150"/>
          <a:ext cx="180975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496300" cy="266700"/>
    <xdr:sp>
      <xdr:nvSpPr>
        <xdr:cNvPr id="1274" name="TextBox 3">
          <a:extLst>
            <a:ext uri="{FF2B5EF4-FFF2-40B4-BE49-F238E27FC236}">
              <a16:creationId xmlns:a16="http://schemas.microsoft.com/office/drawing/2014/main" id="{56c71857-53d0-487d-895d-e5e93d133570}"/>
            </a:ext>
          </a:extLst>
        </xdr:cNvPr>
        <xdr:cNvSpPr txBox="1"/>
      </xdr:nvSpPr>
      <xdr:spPr>
        <a:xfrm>
          <a:off x="9525" y="0"/>
          <a:ext cx="8496300" cy="266700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819223</xdr:colOff>
      <xdr:row>7</xdr:row>
      <xdr:rowOff>187798</xdr:rowOff>
    </xdr:to>
    <xdr:sp>
      <xdr:nvSpPr>
        <xdr:cNvPr id="1275" name="Text Box 9">
          <a:extLst>
            <a:ext uri="{FF2B5EF4-FFF2-40B4-BE49-F238E27FC236}">
              <a16:creationId xmlns:a16="http://schemas.microsoft.com/office/drawing/2014/main" id="{10dbfc1a-afb0-435c-b33c-72deff71d435}"/>
            </a:ext>
          </a:extLst>
        </xdr:cNvPr>
        <xdr:cNvSpPr txBox="1"/>
      </xdr:nvSpPr>
      <xdr:spPr>
        <a:xfrm>
          <a:off x="66675" y="47625"/>
          <a:ext cx="8696325" cy="1876425"/>
        </a:xfrm>
        <a:prstGeom prst="rect"/>
        <a:solidFill>
          <a:schemeClr val="bg1"/>
        </a:solidFill>
        <a:ln w="6350">
          <a:solidFill>
            <a:schemeClr val="bg1"/>
          </a:solidFill>
        </a:ln>
        <a:effectLst xmlns:a="http://schemas.openxmlformats.org/drawingml/2006/main"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fromWordArt="0" lIns="91440" tIns="45720" rIns="91440" bIns="45720" vert="horz" wrap="square" numCol="1" spcCol="0" rtlCol="0" anchor="ctr" anchorCtr="0">
          <a:prstTxWarp prst="textNoShape"/>
          <a:noAutofit/>
        </a:bodyPr>
        <a:lstStyle xmlns:a="http://schemas.openxmlformats.org/drawingml/2006/main"/>
        <a:p>
          <a:pPr>
            <a:lnSpc>
              <a:spcPts val="1000"/>
            </a:lnSpc>
          </a:pPr>
          <a:endParaRPr lang="en-US" sz="11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500"/>
            </a:lnSpc>
          </a:pPr>
          <a:endParaRPr lang="en-US" sz="32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200"/>
            </a:lnSpc>
          </a:pPr>
          <a:endParaRPr lang="en-US" sz="2800" b="1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2100"/>
            </a:lnSpc>
          </a:pPr>
          <a:r>
            <a:rPr lang="en-US" sz="28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Singh and Sons InfoTech Private Limited</a:t>
          </a:r>
          <a:endParaRPr lang="en-IN" sz="28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600"/>
            </a:lnSpc>
          </a:pPr>
          <a:r>
            <a:rPr lang="en-US" sz="20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(An Integrated Facilities Management Company)</a:t>
          </a:r>
          <a:endParaRPr lang="en-IN" sz="20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200"/>
            </a:lnSpc>
          </a:pPr>
          <a:r>
            <a:rPr lang="en-US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Regd. Office: 21, Indra Nagar, Dibiyapur, Auraiya, (U.P) – 206244</a:t>
          </a:r>
          <a:endParaRPr lang="en-IN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>
            <a:lnSpc>
              <a:spcPts val="1200"/>
            </a:lnSpc>
          </a:pPr>
          <a:r>
            <a:rPr lang="en-US" sz="14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(An ISO 9001:2015 Certified Company)</a:t>
          </a:r>
          <a:endParaRPr lang="en-IN" sz="14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algn="ctr" marL="0" marR="0">
            <a:lnSpc>
              <a:spcPts val="8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/>
          </a:r>
        </a:p>
        <a:p>
          <a:pPr algn="ctr" marL="0" marR="0">
            <a:lnSpc>
              <a:spcPts val="900"/>
            </a:lnSpc>
            <a:spcBef>
              <a:spcPts val="0"/>
            </a:spcBef>
            <a:spcAft>
              <a:spcPts val="0"/>
            </a:spcAft>
            <a:tabLst>
              <a:tab algn="l" pos="-457200"/>
            </a:tabLst>
          </a:pPr>
          <a:r>
            <a:rPr lang="en-US" sz="1000" b="1">
              <a:solidFill>
                <a:schemeClr val="tx1"/>
              </a:solidFill>
              <a:effectLst/>
              <a:latin typeface="Gauge Heavy"/>
              <a:ea typeface="Calibri"/>
              <a:cs typeface="Times New Roman"/>
            </a:rPr>
            <a:t/>
          </a:r>
        </a:p>
        <a:p>
          <a:pPr marL="0" marR="0">
            <a:lnSpc>
              <a:spcPts val="10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solidFill>
                <a:schemeClr val="tx1"/>
              </a:solidFill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219019</xdr:colOff>
      <xdr:row>2</xdr:row>
      <xdr:rowOff>157683</xdr:rowOff>
    </xdr:from>
    <xdr:to>
      <xdr:col>1</xdr:col>
      <xdr:colOff>495300</xdr:colOff>
      <xdr:row>6</xdr:row>
      <xdr:rowOff>83194</xdr:rowOff>
    </xdr:to>
    <xdr:pic>
      <xdr:nvPicPr>
        <xdr:cNvPr id="1276" name="image1.png">
          <a:extLst>
            <a:ext uri="{FF2B5EF4-FFF2-40B4-BE49-F238E27FC236}">
              <a16:creationId xmlns:a16="http://schemas.microsoft.com/office/drawing/2014/main" id="{570b8f94-9386-4ab0-a654-34c7b44dc4bf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219075" y="657225"/>
          <a:ext cx="866775" cy="914400"/>
        </a:xfrm>
        <a:prstGeom prst="rect"/>
      </xdr:spPr>
    </xdr:pic>
    <xdr:clientData/>
  </xdr:twoCellAnchor>
  <xdr:twoCellAnchor editAs="oneCell">
    <xdr:from>
      <xdr:col>5</xdr:col>
      <xdr:colOff>380814</xdr:colOff>
      <xdr:row>0</xdr:row>
      <xdr:rowOff>28054</xdr:rowOff>
    </xdr:from>
    <xdr:to>
      <xdr:col>6</xdr:col>
      <xdr:colOff>19050</xdr:colOff>
      <xdr:row>2</xdr:row>
      <xdr:rowOff>119954</xdr:rowOff>
    </xdr:to>
    <xdr:pic>
      <xdr:nvPicPr>
        <xdr:cNvPr id="1277" name="Picture 8">
          <a:extLst>
            <a:ext uri="{FF2B5EF4-FFF2-40B4-BE49-F238E27FC236}">
              <a16:creationId xmlns:a16="http://schemas.microsoft.com/office/drawing/2014/main" id="{984adaf8-9191-424a-946b-f7db256d10b7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4086225" y="28575"/>
          <a:ext cx="495300" cy="590550"/>
        </a:xfrm>
        <a:prstGeom prst="rect"/>
      </xdr:spPr>
    </xdr:pic>
    <xdr:clientData/>
  </xdr:twoCellAnchor>
  <xdr:oneCellAnchor>
    <xdr:from>
      <xdr:col>0</xdr:col>
      <xdr:colOff>0</xdr:colOff>
      <xdr:row>0</xdr:row>
      <xdr:rowOff>9525</xdr:rowOff>
    </xdr:from>
    <xdr:ext cx="1981200" cy="466725"/>
    <xdr:sp>
      <xdr:nvSpPr>
        <xdr:cNvPr id="1278" name="TextBox 7">
          <a:extLst>
            <a:ext uri="{FF2B5EF4-FFF2-40B4-BE49-F238E27FC236}">
              <a16:creationId xmlns:a16="http://schemas.microsoft.com/office/drawing/2014/main" id="{0b36af52-079a-49bc-ace9-ece7f25fb37c}"/>
            </a:ext>
          </a:extLst>
        </xdr:cNvPr>
        <xdr:cNvSpPr txBox="1"/>
      </xdr:nvSpPr>
      <xdr:spPr>
        <a:xfrm>
          <a:off x="0" y="9525"/>
          <a:ext cx="1981200" cy="46672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 xmlns:a="http://schemas.openxmlformats.org/drawingml/2006/main"/>
        <a:p>
          <a:pPr/>
          <a:r>
            <a:rPr lang="en-US" sz="1200" b="1">
              <a:solidFill>
                <a:schemeClr val="tx1"/>
              </a:solidFill>
              <a:latin typeface="+mn-lt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200" b="1">
              <a:solidFill>
                <a:schemeClr val="tx1"/>
              </a:solidFill>
              <a:latin typeface="+mn-lt"/>
              <a:cs typeface="Times New Roman" panose="02020603050405020304" pitchFamily="18" charset="0"/>
            </a:rPr>
            <a:t>Mob</a:t>
          </a:r>
          <a:r>
            <a:rPr lang="en-US" sz="1200" b="1" baseline="0">
              <a:solidFill>
                <a:schemeClr val="tx1"/>
              </a:solidFill>
              <a:latin typeface="+mn-lt"/>
              <a:cs typeface="Times New Roman" panose="02020603050405020304" pitchFamily="18" charset="0"/>
            </a:rPr>
            <a:t>  : +91-8979987689</a:t>
          </a:r>
          <a:endParaRPr lang="en-US" sz="1200" b="1">
            <a:latin typeface="+mn-lt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428625</xdr:colOff>
      <xdr:row>0</xdr:row>
      <xdr:rowOff>28575</xdr:rowOff>
    </xdr:from>
    <xdr:ext cx="2095500" cy="485775"/>
    <xdr:sp>
      <xdr:nvSpPr>
        <xdr:cNvPr id="1279" name="TextBox 8">
          <a:extLst>
            <a:ext uri="{FF2B5EF4-FFF2-40B4-BE49-F238E27FC236}">
              <a16:creationId xmlns:a16="http://schemas.microsoft.com/office/drawing/2014/main" id="{ef32aec7-2334-4ba5-afe6-33212697f40a}"/>
            </a:ext>
          </a:extLst>
        </xdr:cNvPr>
        <xdr:cNvSpPr txBox="1"/>
      </xdr:nvSpPr>
      <xdr:spPr>
        <a:xfrm>
          <a:off x="6677025" y="28575"/>
          <a:ext cx="2095500" cy="485775"/>
        </a:xfrm>
        <a:prstGeom prst="rect"/>
        <a:noFill/>
      </xdr:spPr>
      <xdr:style>
        <a:lnRef idx="0">
          <a:srgbClr val="000000"/>
        </a:lnRef>
        <a:fillRef idx="0">
          <a:srgbClr val="000000"/>
        </a:fillRef>
        <a:effectRef idx="0">
          <a:srgbClr val="00000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 xmlns:a="http://schemas.openxmlformats.org/drawingml/2006/main"/>
        <a:p>
          <a:pPr algn="r">
            <a:lnSpc>
              <a:spcPts val="1200"/>
            </a:lnSpc>
          </a:pP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200">
            <a:solidFill>
              <a:srgbClr val="000000"/>
            </a:solidFill>
            <a:effectLst/>
            <a:latin typeface="+mn-lt"/>
            <a:cs typeface="Times New Roman" panose="02020603050405020304" pitchFamily="18" charset="0"/>
          </a:endParaRPr>
        </a:p>
        <a:p>
          <a:pPr algn="r">
            <a:lnSpc>
              <a:spcPts val="1200"/>
            </a:lnSpc>
          </a:pP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200" b="1" baseline="0">
              <a:solidFill>
                <a:schemeClr val="tx1"/>
              </a:solidFill>
              <a:effectLst/>
              <a:latin typeface="+mn-lt"/>
              <a:ea typeface="+mn-ea"/>
              <a:cs typeface="Times New Roman" panose="02020603050405020304" pitchFamily="18" charset="0"/>
            </a:rPr>
            <a:t/>
          </a:r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Times New Roman" panose="02020603050405020304" pitchFamily="18" charset="0"/>
            </a:rPr>
            <a:t/>
          </a:r>
          <a:endParaRPr lang="en-US" sz="1200">
            <a:solidFill>
              <a:srgbClr val="000000"/>
            </a:solidFill>
            <a:effectLst/>
            <a:latin typeface="+mn-lt"/>
            <a:cs typeface="Times New Roman" panose="02020603050405020304" pitchFamily="18" charset="0"/>
          </a:endParaRPr>
        </a:p>
        <a:p>
          <a:pPr>
            <a:lnSpc>
              <a:spcPts val="800"/>
            </a:lnSpc>
          </a:pPr>
          <a:endParaRPr lang="en-US" sz="1100"/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627962</xdr:colOff>
          <xdr:row>6</xdr:row>
          <xdr:rowOff>66415</xdr:rowOff>
        </xdr:from>
        <xdr:to>
          <xdr:col>8</xdr:col>
          <xdr:colOff>561975</xdr:colOff>
          <xdr:row>14</xdr:row>
          <xdr:rowOff>56927</xdr:rowOff>
        </xdr:to>
        <xdr:sp macro="[0]!Button11_Click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d55bd4-1682-4136-8ebd-3b928d2ebf21}"/>
                </a:ext>
              </a:extLst>
            </xdr:cNvPr>
            <xdr:cNvSpPr>
              <a:spLocks noRot="1"/>
            </xdr:cNvSpPr>
          </xdr:nvSpPr>
          <xdr:spPr>
            <a:xfrm>
              <a:off x="8648700" y="1038225"/>
              <a:ext cx="3257550" cy="1285875"/>
            </a:xfrm>
            <a:prstGeom prst="rect"/>
            <a:ln w="9525"/>
          </xdr:spPr>
          <xdr:txBody>
            <a:bodyPr lIns="91440" tIns="45720" rIns="91440" bIns="45720" vert="horz" anchor="ctr" anchorCtr="1" upright="1"/>
            <a:p>
              <a:pPr/>
              <a:r>
                <a:rPr lang="en-US" sz="1000" b="0" i="0" u="dbl" baseline="0">
                  <a:solidFill>
                    <a:srgbClr val="FF0000"/>
                  </a:solidFill>
                  <a:latin typeface="Arial"/>
                  <a:ea typeface="Arial"/>
                  <a:cs typeface="Arial"/>
                </a:rPr>
                <a:t>PRESS - MOP &amp; AOC BUTTON FIRST 
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a14="http://schemas.microsoft.com/office/drawing/2010/main">
  <xdr:twoCellAnchor editAs="oneCell">
    <xdr:from>
      <xdr:col>0</xdr:col>
      <xdr:colOff>561975</xdr:colOff>
      <xdr:row>10</xdr:row>
      <xdr:rowOff>47625</xdr:rowOff>
    </xdr:from>
    <xdr:to>
      <xdr:col>9</xdr:col>
      <xdr:colOff>428625</xdr:colOff>
      <xdr:row>36</xdr:row>
      <xdr:rowOff>199950</xdr:rowOff>
    </xdr:to>
    <xdr:pic>
      <xdr:nvPicPr>
        <xdr:cNvPr id="797" name="Picture 5">
          <a:extLst>
            <a:ext uri="{FF2B5EF4-FFF2-40B4-BE49-F238E27FC236}">
              <a16:creationId xmlns:a16="http://schemas.microsoft.com/office/drawing/2014/main" id="{f10f3e95-0a68-49cb-8d0b-5553494ea964}"/>
            </a:ext>
          </a:extLst>
        </xdr:cNvPr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561975" y="1981200"/>
          <a:ext cx="5400675" cy="5314950"/>
        </a:xfrm>
        <a:prstGeom prst="rect"/>
      </xdr:spPr>
    </xdr:pic>
    <xdr:clientData/>
  </xdr:twoCellAnchor>
  <xdr:twoCellAnchor editAs="oneCell">
    <xdr:from>
      <xdr:col>0</xdr:col>
      <xdr:colOff>38100</xdr:colOff>
      <xdr:row>0</xdr:row>
      <xdr:rowOff>57299</xdr:rowOff>
    </xdr:from>
    <xdr:to>
      <xdr:col>1</xdr:col>
      <xdr:colOff>514350</xdr:colOff>
      <xdr:row>5</xdr:row>
      <xdr:rowOff>171151</xdr:rowOff>
    </xdr:to>
    <xdr:pic>
      <xdr:nvPicPr>
        <xdr:cNvPr id="798" name="image1.png">
          <a:extLst>
            <a:ext uri="{FF2B5EF4-FFF2-40B4-BE49-F238E27FC236}">
              <a16:creationId xmlns:a16="http://schemas.microsoft.com/office/drawing/2014/main" id="{33224360-e00e-4c95-9ffa-a4bcd17d72c7}"/>
            </a:ext>
          </a:extLst>
        </xdr:cNvPr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>
          <a:off x="38100" y="57150"/>
          <a:ext cx="1085850" cy="1066800"/>
        </a:xfrm>
        <a:prstGeom prst="rect"/>
      </xdr:spPr>
    </xdr:pic>
    <xdr:clientData/>
  </xdr:twoCellAnchor>
  <xdr:twoCellAnchor editAs="oneCell">
    <xdr:from>
      <xdr:col>0</xdr:col>
      <xdr:colOff>76200</xdr:colOff>
      <xdr:row>48</xdr:row>
      <xdr:rowOff>47625</xdr:rowOff>
    </xdr:from>
    <xdr:to>
      <xdr:col>1</xdr:col>
      <xdr:colOff>542925</xdr:colOff>
      <xdr:row>54</xdr:row>
      <xdr:rowOff>0</xdr:rowOff>
    </xdr:to>
    <xdr:pic>
      <xdr:nvPicPr>
        <xdr:cNvPr id="799" name="image1.png">
          <a:extLst>
            <a:ext uri="{FF2B5EF4-FFF2-40B4-BE49-F238E27FC236}">
              <a16:creationId xmlns:a16="http://schemas.microsoft.com/office/drawing/2014/main" id="{7aad01ec-0a70-4e10-af5b-de1616837efb}"/>
            </a:ext>
          </a:extLst>
        </xdr:cNvPr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>
          <a:off x="76200" y="9477375"/>
          <a:ext cx="1085850" cy="1095375"/>
        </a:xfrm>
        <a:prstGeom prst="rect"/>
      </xdr:spPr>
    </xdr:pic>
    <xdr:clientData/>
  </xdr:twoCellAnchor>
  <xdr:twoCellAnchor editAs="oneCell">
    <xdr:from>
      <xdr:col>1</xdr:col>
      <xdr:colOff>276513</xdr:colOff>
      <xdr:row>59</xdr:row>
      <xdr:rowOff>18752</xdr:rowOff>
    </xdr:from>
    <xdr:to>
      <xdr:col>10</xdr:col>
      <xdr:colOff>142875</xdr:colOff>
      <xdr:row>89</xdr:row>
      <xdr:rowOff>142615</xdr:rowOff>
    </xdr:to>
    <xdr:pic>
      <xdr:nvPicPr>
        <xdr:cNvPr id="800" name="Picture 7">
          <a:extLst>
            <a:ext uri="{FF2B5EF4-FFF2-40B4-BE49-F238E27FC236}">
              <a16:creationId xmlns:a16="http://schemas.microsoft.com/office/drawing/2014/main" id="{da40986d-e850-4205-bc03-a3db808309b5}"/>
            </a:ext>
          </a:extLst>
        </xdr:cNvPr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885825" y="11582400"/>
          <a:ext cx="5400675" cy="5743575"/>
        </a:xfrm>
        <a:prstGeom prst="rect"/>
      </xdr:spPr>
    </xdr:pic>
    <xdr:clientData/>
  </xdr:twoCellAnchor>
</xdr:wsDr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<Relationships xmlns="http://schemas.openxmlformats.org/package/2006/relationships"><Relationship Id="rId1" Type="http://schemas.openxmlformats.org/officeDocument/2006/relationships/hyperlink" Target="mailto:IGST@18%" TargetMode="External"/><Relationship Id="rId2" Type="http://schemas.openxmlformats.org/officeDocument/2006/relationships/hyperlink" Target="mailto:IGST@0%" TargetMode="External"/><Relationship Id="rId3" Type="http://schemas.openxmlformats.org/officeDocument/2006/relationships/hyperlink" Target="mailto:IGST@18%" TargetMode="External"/><Relationship Id="rId4" Type="http://schemas.openxmlformats.org/officeDocument/2006/relationships/hyperlink" Target="mailto:IGST@18%" TargetMode="External"/></Relationships>
</file>

<file path=xl/worksheets/_rels/sheet8.xml.rels><?xml version="1.0" encoding="UTF-8" standalone="yes"?>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3" Type="http://schemas.openxmlformats.org/officeDocument/2006/relationships/ctrlProp" Target="../ctrlProps/ctrlProp1.xml"/></Relationships>
</file>

<file path=xl/worksheets/_rels/sheet9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9.xml"/><Relationship Id="rId2" Type="http://schemas.openxmlformats.org/officeDocument/2006/relationships/hyperlink" Target="mailto:snsitech@gmail.com" TargetMode="External"/><Relationship Id="rId3" Type="http://schemas.openxmlformats.org/officeDocument/2006/relationships/hyperlink" Target="http://www.snsinfotech.com/" TargetMode="External"/><Relationship Id="rId4" Type="http://schemas.openxmlformats.org/officeDocument/2006/relationships/hyperlink" Target="mailto:snsitech@gmail.com" TargetMode="External"/><Relationship Id="rId5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5EBC7CDD-8B8B-4756-B47D-15E2E3ADA8A0}">
  <dimension ref="A1:K70"/>
  <sheetViews>
    <sheetView view="pageBreakPreview" zoomScale="71" zoomScaleNormal="40" zoomScaleSheetLayoutView="71" zoomScalePageLayoutView="75" workbookViewId="0" topLeftCell="A12">
      <selection pane="topLeft" activeCell="F15" sqref="F15:G15"/>
    </sheetView>
  </sheetViews>
  <sheetFormatPr defaultRowHeight="12.75"/>
  <cols>
    <col min="1" max="1" width="8.14285714285714" customWidth="1"/>
    <col min="2" max="10" width="12.5714285714286" customWidth="1"/>
    <col min="14" max="14" bestFit="1" width="11.5714285714286" customWidth="1"/>
  </cols>
  <sheetData>
    <row r="1" ht="15" customHeight="1">
      <c r="A1" s="1"/>
      <c r="B1" s="2"/>
      <c r="C1" s="2"/>
      <c r="D1" s="2"/>
      <c r="E1" s="2"/>
      <c r="F1" s="2"/>
      <c r="G1" s="2"/>
      <c r="H1" s="2"/>
      <c r="I1" s="2"/>
      <c r="J1" s="3"/>
    </row>
    <row r="2" ht="15" customHeight="1">
      <c r="A2" s="4"/>
      <c r="B2" s="5"/>
      <c r="C2" s="5"/>
      <c r="D2" s="5"/>
      <c r="E2" s="5"/>
      <c r="F2" s="5"/>
      <c r="G2" s="5"/>
      <c r="H2" s="5"/>
      <c r="I2" s="5"/>
      <c r="J2" s="6"/>
    </row>
    <row r="3" ht="15" customHeight="1">
      <c r="A3" s="4"/>
      <c r="B3" s="5"/>
      <c r="C3" s="5"/>
      <c r="D3" s="5"/>
      <c r="E3" s="5"/>
      <c r="F3" s="5"/>
      <c r="G3" s="5"/>
      <c r="H3" s="5"/>
      <c r="I3" s="5"/>
      <c r="J3" s="6"/>
    </row>
    <row r="4" ht="15" customHeight="1">
      <c r="A4" s="4"/>
      <c r="B4" s="5"/>
      <c r="C4" s="5"/>
      <c r="D4" s="5"/>
      <c r="E4" s="5"/>
      <c r="F4" s="5"/>
      <c r="G4" s="5"/>
      <c r="H4" s="5"/>
      <c r="I4" s="5"/>
      <c r="J4" s="6"/>
    </row>
    <row r="5" ht="15" customHeight="1">
      <c r="A5" s="4"/>
      <c r="B5" s="5"/>
      <c r="C5" s="5"/>
      <c r="D5" s="5"/>
      <c r="E5" s="5"/>
      <c r="F5" s="5"/>
      <c r="G5" s="5"/>
      <c r="H5" s="5"/>
      <c r="I5" s="5"/>
      <c r="J5" s="6"/>
    </row>
    <row r="6" ht="15" customHeight="1">
      <c r="A6" s="4"/>
      <c r="B6" s="5"/>
      <c r="C6" s="5"/>
      <c r="D6" s="5"/>
      <c r="E6" s="5"/>
      <c r="F6" s="5"/>
      <c r="G6" s="5"/>
      <c r="H6" s="5"/>
      <c r="I6" s="5"/>
      <c r="J6" s="6"/>
    </row>
    <row r="7" ht="15" customHeight="1">
      <c r="A7" s="4"/>
      <c r="B7" s="5"/>
      <c r="C7" s="5"/>
      <c r="D7" s="5"/>
      <c r="E7" s="5"/>
      <c r="F7" s="5"/>
      <c r="G7" s="5"/>
      <c r="H7" s="5"/>
      <c r="I7" s="5"/>
      <c r="J7" s="6"/>
    </row>
    <row r="8" ht="15" customHeight="1">
      <c r="A8" s="4"/>
      <c r="B8" s="5"/>
      <c r="C8" s="5"/>
      <c r="D8" s="5"/>
      <c r="E8" s="5"/>
      <c r="F8" s="5"/>
      <c r="G8" s="5"/>
      <c r="H8" s="5"/>
      <c r="I8" s="5"/>
      <c r="J8" s="6"/>
    </row>
    <row r="9" ht="15" customHeight="1">
      <c r="A9" s="7"/>
      <c r="B9" s="8"/>
      <c r="C9" s="8"/>
      <c r="D9" s="8"/>
      <c r="E9" s="8"/>
      <c r="F9" s="8"/>
      <c r="G9" s="8"/>
      <c r="H9" s="8"/>
      <c r="I9" s="8"/>
      <c r="J9" s="9"/>
    </row>
    <row r="10" ht="15" customHeight="1">
      <c r="A10" s="10"/>
      <c r="B10" s="11"/>
      <c r="C10" s="11"/>
      <c r="D10" s="11"/>
      <c r="E10" s="11"/>
      <c r="F10" s="11"/>
      <c r="G10" s="11"/>
      <c r="H10" s="11"/>
      <c r="I10" s="11"/>
      <c r="J10" s="12"/>
    </row>
    <row r="11" ht="12.75">
      <c r="A11" s="13" t="s">
        <v>0</v>
      </c>
      <c r="B11" s="14"/>
      <c r="C11" s="14"/>
      <c r="D11" s="14"/>
      <c r="E11" s="14"/>
      <c r="F11" s="14"/>
      <c r="G11" s="14"/>
      <c r="H11" s="15"/>
      <c r="I11" s="16" t="s">
        <v>1</v>
      </c>
      <c r="J11" s="16"/>
    </row>
    <row r="12" ht="12.75">
      <c r="A12" s="17"/>
      <c r="B12" s="18"/>
      <c r="C12" s="18"/>
      <c r="D12" s="18"/>
      <c r="E12" s="18"/>
      <c r="F12" s="18"/>
      <c r="G12" s="18"/>
      <c r="H12" s="19"/>
      <c r="I12" s="16" t="s">
        <v>2</v>
      </c>
      <c r="J12" s="16"/>
    </row>
    <row r="13" ht="12.75">
      <c r="A13" s="20"/>
      <c r="B13" s="21"/>
      <c r="C13" s="21"/>
      <c r="D13" s="21"/>
      <c r="E13" s="21"/>
      <c r="F13" s="21"/>
      <c r="G13" s="21"/>
      <c r="H13" s="19"/>
      <c r="I13" s="22" t="s">
        <v>3</v>
      </c>
      <c r="J13" s="22"/>
    </row>
    <row r="14" ht="12.95" customHeight="1">
      <c r="A14" s="23" t="s">
        <v>4</v>
      </c>
      <c r="B14" s="24"/>
      <c r="C14" s="25">
        <v>13</v>
      </c>
      <c r="D14" s="26"/>
      <c r="E14" s="27"/>
      <c r="F14" s="23" t="s">
        <v>5</v>
      </c>
      <c r="G14" s="28"/>
      <c r="H14" s="29">
        <f>H15</f>
        <v>45964</v>
      </c>
      <c r="I14" s="30"/>
      <c r="J14" s="31"/>
    </row>
    <row r="15" ht="12.95" customHeight="1">
      <c r="A15" s="32" t="s">
        <v>6</v>
      </c>
      <c r="B15" s="33"/>
      <c r="C15" s="25" t="str">
        <f>'Working Sheet'!B3</f>
        <v>SSI/1183</v>
      </c>
      <c r="D15" s="26"/>
      <c r="E15" s="27"/>
      <c r="F15" s="32" t="s">
        <v>7</v>
      </c>
      <c r="G15" s="33"/>
      <c r="H15" s="34">
        <f>'Working Sheet'!B5</f>
        <v>45964</v>
      </c>
      <c r="I15" s="34"/>
      <c r="J15" s="35"/>
    </row>
    <row r="16" ht="12.95" customHeight="1">
      <c r="A16" s="32" t="s">
        <v>8</v>
      </c>
      <c r="B16" s="33"/>
      <c r="C16" s="32" t="s">
        <v>9</v>
      </c>
      <c r="D16" s="36"/>
      <c r="E16" s="33"/>
      <c r="F16" s="32" t="s">
        <v>10</v>
      </c>
      <c r="G16" s="33"/>
      <c r="H16" s="36">
        <v>37</v>
      </c>
      <c r="I16" s="36"/>
      <c r="J16" s="33"/>
    </row>
    <row r="17" ht="12.95" customHeight="1">
      <c r="A17" s="32" t="s">
        <v>11</v>
      </c>
      <c r="B17" s="33"/>
      <c r="C17" s="32" t="s">
        <v>12</v>
      </c>
      <c r="D17" s="36"/>
      <c r="E17" s="33"/>
      <c r="F17" s="32" t="s">
        <v>13</v>
      </c>
      <c r="G17" s="33"/>
      <c r="H17" s="36">
        <v>101065975</v>
      </c>
      <c r="I17" s="36"/>
      <c r="J17" s="33"/>
    </row>
    <row r="18" ht="12.95" customHeight="1">
      <c r="A18" s="37" t="s">
        <v>14</v>
      </c>
      <c r="B18" s="38"/>
      <c r="C18" s="37" t="s">
        <v>15</v>
      </c>
      <c r="D18" s="39"/>
      <c r="E18" s="38"/>
      <c r="F18" s="37" t="s">
        <v>16</v>
      </c>
      <c r="G18" s="38"/>
      <c r="H18" s="39" t="s">
        <v>17</v>
      </c>
      <c r="I18" s="39"/>
      <c r="J18" s="38"/>
      <c r="K18" s="40"/>
    </row>
    <row r="19" ht="4.5" customHeight="1">
      <c r="A19" s="41"/>
      <c r="B19" s="42"/>
      <c r="C19" s="42"/>
      <c r="D19" s="42"/>
      <c r="E19" s="42"/>
      <c r="F19" s="42"/>
      <c r="G19" s="42"/>
      <c r="H19" s="42"/>
      <c r="I19" s="42"/>
      <c r="J19" s="43"/>
    </row>
    <row r="20" ht="15" customHeight="1">
      <c r="A20" s="44" t="s">
        <v>18</v>
      </c>
      <c r="B20" s="45"/>
      <c r="C20" s="45"/>
      <c r="D20" s="45"/>
      <c r="E20" s="45"/>
      <c r="F20" s="45" t="s">
        <v>19</v>
      </c>
      <c r="G20" s="45"/>
      <c r="H20" s="45"/>
      <c r="I20" s="45"/>
      <c r="J20" s="46"/>
    </row>
    <row r="21" ht="12.75">
      <c r="A21" s="23" t="s">
        <v>20</v>
      </c>
      <c r="B21" s="24"/>
      <c r="C21" s="47" t="s">
        <v>21</v>
      </c>
      <c r="D21" s="48"/>
      <c r="E21" s="49"/>
      <c r="F21" s="23" t="s">
        <v>20</v>
      </c>
      <c r="G21" s="24"/>
      <c r="H21" s="50" t="s">
        <v>22</v>
      </c>
      <c r="I21" s="51"/>
      <c r="J21" s="52"/>
    </row>
    <row r="22" ht="12.75">
      <c r="A22" s="32" t="s">
        <v>23</v>
      </c>
      <c r="B22" s="33"/>
      <c r="C22" s="53" t="s">
        <v>24</v>
      </c>
      <c r="D22" s="54"/>
      <c r="E22" s="55"/>
      <c r="F22" s="32" t="s">
        <v>23</v>
      </c>
      <c r="G22" s="33"/>
      <c r="H22" s="56" t="s">
        <v>25</v>
      </c>
      <c r="I22" s="57"/>
      <c r="J22" s="58"/>
    </row>
    <row r="23" ht="12.75">
      <c r="A23" s="32"/>
      <c r="B23" s="33"/>
      <c r="C23" s="53" t="s">
        <v>26</v>
      </c>
      <c r="D23" s="54"/>
      <c r="E23" s="55"/>
      <c r="F23" s="53"/>
      <c r="G23" s="55"/>
      <c r="H23" s="41" t="s">
        <v>27</v>
      </c>
      <c r="I23" s="42"/>
      <c r="J23" s="43"/>
    </row>
    <row r="24" ht="12.75">
      <c r="A24" s="32"/>
      <c r="B24" s="33"/>
      <c r="C24" s="53" t="s">
        <v>28</v>
      </c>
      <c r="D24" s="54"/>
      <c r="E24" s="55"/>
      <c r="F24" s="53"/>
      <c r="G24" s="55"/>
      <c r="H24" s="41" t="s">
        <v>29</v>
      </c>
      <c r="I24" s="42"/>
      <c r="J24" s="43"/>
    </row>
    <row r="25" ht="12.75">
      <c r="A25" s="32" t="s">
        <v>30</v>
      </c>
      <c r="B25" s="33"/>
      <c r="C25" s="53" t="s">
        <v>9</v>
      </c>
      <c r="D25" s="54"/>
      <c r="E25" s="55"/>
      <c r="F25" s="32" t="s">
        <v>8</v>
      </c>
      <c r="G25" s="33"/>
      <c r="H25" s="56" t="s">
        <v>31</v>
      </c>
      <c r="I25" s="57"/>
      <c r="J25" s="58"/>
    </row>
    <row r="26" ht="12.75">
      <c r="A26" s="32" t="s">
        <v>32</v>
      </c>
      <c r="B26" s="33"/>
      <c r="C26" s="25" t="s">
        <v>33</v>
      </c>
      <c r="D26" s="26"/>
      <c r="E26" s="27"/>
      <c r="F26" s="32" t="s">
        <v>32</v>
      </c>
      <c r="G26" s="33"/>
      <c r="H26" s="59" t="s">
        <v>34</v>
      </c>
      <c r="I26" s="60"/>
      <c r="J26" s="61"/>
    </row>
    <row r="27" ht="12.75">
      <c r="A27" s="37" t="s">
        <v>35</v>
      </c>
      <c r="B27" s="38"/>
      <c r="C27" s="62">
        <v>37</v>
      </c>
      <c r="D27" s="63"/>
      <c r="E27" s="64"/>
      <c r="F27" s="37" t="s">
        <v>35</v>
      </c>
      <c r="G27" s="38"/>
      <c r="H27" s="65" t="s">
        <v>36</v>
      </c>
      <c r="I27" s="66"/>
      <c r="J27" s="67"/>
    </row>
    <row r="28" ht="4.35" customHeight="1">
      <c r="A28" s="68"/>
      <c r="B28" s="69"/>
      <c r="C28" s="69"/>
      <c r="D28" s="69"/>
      <c r="E28" s="69"/>
      <c r="F28" s="69"/>
      <c r="G28" s="69"/>
      <c r="H28" s="69"/>
      <c r="I28" s="69"/>
      <c r="J28" s="70"/>
    </row>
    <row r="29" ht="28.5" customHeight="1">
      <c r="A29" s="71" t="s">
        <v>37</v>
      </c>
      <c r="B29" s="72"/>
      <c r="C29" s="72"/>
      <c r="D29" s="72"/>
      <c r="E29" s="72"/>
      <c r="F29" s="72"/>
      <c r="G29" s="72"/>
      <c r="H29" s="72"/>
      <c r="I29" s="72"/>
      <c r="J29" s="73"/>
    </row>
    <row r="30" ht="24.95" customHeight="1">
      <c r="A30" s="74" t="s">
        <v>38</v>
      </c>
      <c r="B30" s="75" t="s">
        <v>39</v>
      </c>
      <c r="C30" s="76"/>
      <c r="D30" s="76"/>
      <c r="E30" s="74" t="s">
        <v>40</v>
      </c>
      <c r="F30" s="74" t="s">
        <v>41</v>
      </c>
      <c r="G30" s="74" t="s">
        <v>42</v>
      </c>
      <c r="H30" s="74" t="s">
        <v>43</v>
      </c>
      <c r="I30" s="77" t="s">
        <v>44</v>
      </c>
      <c r="J30" s="74" t="s">
        <v>45</v>
      </c>
    </row>
    <row r="31" ht="12.75">
      <c r="A31" s="78"/>
      <c r="B31" s="79" t="s">
        <v>46</v>
      </c>
      <c r="C31" s="80"/>
      <c r="D31" s="80"/>
      <c r="E31" s="81"/>
      <c r="F31" s="81"/>
      <c r="G31" s="81"/>
      <c r="H31" s="81"/>
      <c r="I31" s="82"/>
      <c r="J31" s="81"/>
    </row>
    <row r="32" ht="12.75">
      <c r="A32" s="83">
        <v>1</v>
      </c>
      <c r="B32" s="84" t="s">
        <v>47</v>
      </c>
      <c r="C32" s="85"/>
      <c r="D32" s="85"/>
      <c r="E32" s="86"/>
      <c r="F32" s="87">
        <v>998533</v>
      </c>
      <c r="G32" s="87" t="s">
        <v>48</v>
      </c>
      <c r="H32" s="86">
        <v>1</v>
      </c>
      <c r="I32" s="88">
        <f>ABSTRACT!J52</f>
        <v>0</v>
      </c>
      <c r="J32" s="89">
        <f ref="J32:J37" t="shared" si="0">I32</f>
        <v>0</v>
      </c>
    </row>
    <row r="33" ht="12.75">
      <c r="A33" s="83">
        <v>2</v>
      </c>
      <c r="B33" s="84" t="s">
        <v>49</v>
      </c>
      <c r="C33" s="85"/>
      <c r="D33" s="85"/>
      <c r="E33" s="86"/>
      <c r="F33" s="87">
        <v>998533</v>
      </c>
      <c r="G33" s="87" t="s">
        <v>48</v>
      </c>
      <c r="H33" s="86">
        <v>1</v>
      </c>
      <c r="I33" s="88">
        <f>ABSTRACT!J55</f>
        <v>0</v>
      </c>
      <c r="J33" s="89">
        <f t="shared" si="0"/>
        <v>0</v>
      </c>
    </row>
    <row r="34" ht="12.75">
      <c r="A34" s="83">
        <v>3</v>
      </c>
      <c r="B34" s="84" t="s">
        <v>50</v>
      </c>
      <c r="C34" s="85"/>
      <c r="D34" s="85"/>
      <c r="E34" s="86"/>
      <c r="F34" s="87">
        <v>998533</v>
      </c>
      <c r="G34" s="87" t="s">
        <v>48</v>
      </c>
      <c r="H34" s="86">
        <v>1</v>
      </c>
      <c r="I34" s="88">
        <f>ABSTRACT!J58</f>
        <v>0</v>
      </c>
      <c r="J34" s="89">
        <f t="shared" si="0"/>
        <v>0</v>
      </c>
    </row>
    <row r="35" ht="12.75">
      <c r="A35" s="83">
        <v>4</v>
      </c>
      <c r="B35" s="84" t="s">
        <v>51</v>
      </c>
      <c r="C35" s="85"/>
      <c r="D35" s="85"/>
      <c r="E35" s="86"/>
      <c r="F35" s="87">
        <v>998533</v>
      </c>
      <c r="G35" s="87" t="s">
        <v>48</v>
      </c>
      <c r="H35" s="86">
        <v>1</v>
      </c>
      <c r="I35" s="88">
        <f>ABSTRACT!J61</f>
        <v>0</v>
      </c>
      <c r="J35" s="89">
        <f t="shared" si="0"/>
        <v>0</v>
      </c>
    </row>
    <row r="36" ht="12.75">
      <c r="A36" s="83">
        <v>5</v>
      </c>
      <c r="B36" s="84" t="s">
        <v>52</v>
      </c>
      <c r="C36" s="85"/>
      <c r="D36" s="85"/>
      <c r="E36" s="86"/>
      <c r="F36" s="87">
        <v>998533</v>
      </c>
      <c r="G36" s="87" t="s">
        <v>48</v>
      </c>
      <c r="H36" s="86">
        <v>1</v>
      </c>
      <c r="I36" s="88">
        <f>ABSTRACT!J64</f>
        <v>0</v>
      </c>
      <c r="J36" s="89">
        <f t="shared" si="0"/>
        <v>0</v>
      </c>
    </row>
    <row r="37" ht="12.75">
      <c r="A37" s="83">
        <v>6</v>
      </c>
      <c r="B37" s="84" t="s">
        <v>53</v>
      </c>
      <c r="C37" s="85"/>
      <c r="D37" s="85"/>
      <c r="E37" s="86"/>
      <c r="F37" s="87">
        <v>998533</v>
      </c>
      <c r="G37" s="87" t="s">
        <v>48</v>
      </c>
      <c r="H37" s="86">
        <v>1</v>
      </c>
      <c r="I37" s="88">
        <f>ABSTRACT!J67</f>
        <v>0</v>
      </c>
      <c r="J37" s="89">
        <f t="shared" si="0"/>
        <v>0</v>
      </c>
    </row>
    <row r="38" ht="12.75">
      <c r="A38" s="83"/>
      <c r="B38" s="85"/>
      <c r="C38" s="85"/>
      <c r="D38" s="85"/>
      <c r="E38" s="86"/>
      <c r="F38" s="87"/>
      <c r="G38" s="87"/>
      <c r="H38" s="86"/>
      <c r="I38" s="88"/>
      <c r="J38" s="89"/>
    </row>
    <row r="39" ht="12.75">
      <c r="A39" s="83"/>
      <c r="B39" s="90"/>
      <c r="C39" s="91"/>
      <c r="D39" s="92"/>
      <c r="E39" s="93"/>
      <c r="F39" s="94"/>
      <c r="G39" s="94"/>
      <c r="H39" s="93"/>
      <c r="I39" s="88"/>
      <c r="J39" s="89"/>
    </row>
    <row r="40" ht="24.95" customHeight="1">
      <c r="A40" s="74"/>
      <c r="B40" s="95" t="s">
        <v>54</v>
      </c>
      <c r="C40" s="96"/>
      <c r="D40" s="96"/>
      <c r="E40" s="96"/>
      <c r="F40" s="96"/>
      <c r="G40" s="96"/>
      <c r="H40" s="96"/>
      <c r="I40" s="97"/>
      <c r="J40" s="98">
        <f>SUM(J32:J39)</f>
        <v>0</v>
      </c>
    </row>
    <row r="41" ht="20.1" customHeight="1">
      <c r="A41" s="83"/>
      <c r="B41" s="99"/>
      <c r="C41" s="99"/>
      <c r="D41" s="99"/>
      <c r="E41" s="100"/>
      <c r="F41" s="101"/>
      <c r="G41" s="102" t="s">
        <v>55</v>
      </c>
      <c r="H41" s="102"/>
      <c r="I41" s="103">
        <f>J40</f>
        <v>0</v>
      </c>
      <c r="J41" s="103"/>
    </row>
    <row r="42" ht="20.1" customHeight="1">
      <c r="A42" s="83"/>
      <c r="B42" s="99"/>
      <c r="C42" s="99"/>
      <c r="D42" s="99"/>
      <c r="E42" s="100"/>
      <c r="F42" s="101"/>
      <c r="G42" s="102" t="s">
        <v>56</v>
      </c>
      <c r="H42" s="102"/>
      <c r="I42" s="103">
        <f>I41*0%</f>
        <v>0</v>
      </c>
      <c r="J42" s="103"/>
    </row>
    <row r="43" ht="20.1" customHeight="1">
      <c r="A43" s="83"/>
      <c r="B43" s="99"/>
      <c r="C43" s="99"/>
      <c r="D43" s="99"/>
      <c r="E43" s="100"/>
      <c r="F43" s="101"/>
      <c r="G43" s="102" t="s">
        <v>57</v>
      </c>
      <c r="H43" s="102"/>
      <c r="I43" s="103">
        <v>0</v>
      </c>
      <c r="J43" s="103"/>
    </row>
    <row r="44" ht="20.1" customHeight="1">
      <c r="A44" s="83"/>
      <c r="B44" s="99"/>
      <c r="C44" s="99"/>
      <c r="D44" s="99"/>
      <c r="E44" s="100"/>
      <c r="F44" s="101"/>
      <c r="G44" s="102" t="s">
        <v>58</v>
      </c>
      <c r="H44" s="102"/>
      <c r="I44" s="103">
        <f>I41+I42+I43</f>
        <v>0</v>
      </c>
      <c r="J44" s="103"/>
    </row>
    <row r="45" ht="3" customHeight="1">
      <c r="A45" s="104"/>
      <c r="B45" s="105"/>
      <c r="C45" s="105"/>
      <c r="D45" s="105"/>
      <c r="E45" s="105"/>
      <c r="F45" s="105"/>
      <c r="G45" s="105"/>
      <c r="H45" s="105"/>
      <c r="I45" s="105"/>
      <c r="J45" s="106"/>
    </row>
    <row r="46" ht="20.1" customHeight="1">
      <c r="A46" s="23" t="s">
        <v>59</v>
      </c>
      <c r="B46" s="28"/>
      <c r="C46" s="28"/>
      <c r="D46" s="28"/>
      <c r="E46" s="28"/>
      <c r="F46" s="28"/>
      <c r="G46" s="28"/>
      <c r="H46" s="28"/>
      <c r="I46" s="28"/>
      <c r="J46" s="24"/>
    </row>
    <row r="47" ht="20.1" customHeight="1">
      <c r="A47" s="32" t="s">
        <v>60</v>
      </c>
      <c r="B47" s="36"/>
      <c r="C47" s="36"/>
      <c r="D47" s="36"/>
      <c r="E47" s="36"/>
      <c r="F47" s="36"/>
      <c r="G47" s="36"/>
      <c r="H47" s="36"/>
      <c r="I47" s="36"/>
      <c r="J47" s="33"/>
    </row>
    <row r="48" ht="20.1" customHeight="1">
      <c r="A48" s="90" t="s">
        <v>61</v>
      </c>
      <c r="B48" s="91"/>
      <c r="C48" s="91"/>
      <c r="D48" s="91"/>
      <c r="E48" s="91"/>
      <c r="F48" s="91"/>
      <c r="G48" s="91"/>
      <c r="H48" s="91"/>
      <c r="I48" s="91"/>
      <c r="J48" s="92"/>
    </row>
    <row r="49" ht="3" customHeight="1">
      <c r="A49" s="107"/>
      <c r="B49" s="108"/>
      <c r="C49" s="108"/>
      <c r="D49" s="108"/>
      <c r="E49" s="108"/>
      <c r="F49" s="109"/>
      <c r="G49" s="109"/>
      <c r="H49" s="110"/>
      <c r="I49" s="111"/>
      <c r="J49" s="112"/>
    </row>
    <row r="50" ht="20.1" customHeight="1">
      <c r="A50" s="113">
        <f>[1]!SpellNumber(I44)</f>
        <v>0</v>
      </c>
      <c r="B50" s="114"/>
      <c r="C50" s="114"/>
      <c r="D50" s="114"/>
      <c r="E50" s="114"/>
      <c r="F50" s="114"/>
      <c r="G50" s="114"/>
      <c r="H50" s="114"/>
      <c r="I50" s="114"/>
      <c r="J50" s="115"/>
    </row>
    <row r="51" ht="20.1" customHeight="1">
      <c r="A51" s="116" t="s">
        <v>62</v>
      </c>
      <c r="B51" s="117"/>
      <c r="C51" s="117"/>
      <c r="D51" s="117"/>
      <c r="E51" s="117"/>
      <c r="F51" s="117"/>
      <c r="G51" s="117"/>
      <c r="H51" s="117"/>
      <c r="I51" s="117"/>
      <c r="J51" s="118"/>
    </row>
    <row r="52" ht="20.1" customHeight="1">
      <c r="A52" s="68"/>
      <c r="B52" s="69"/>
      <c r="C52" s="69"/>
      <c r="D52" s="69"/>
      <c r="E52" s="69"/>
      <c r="F52" s="69"/>
      <c r="G52" s="119" t="s">
        <v>63</v>
      </c>
      <c r="H52" s="119"/>
      <c r="I52" s="119"/>
      <c r="J52" s="120"/>
    </row>
    <row r="53" ht="20.1" customHeight="1">
      <c r="A53" s="68"/>
      <c r="B53" s="69"/>
      <c r="C53" s="69"/>
      <c r="D53" s="69"/>
      <c r="E53" s="69"/>
      <c r="F53" s="69"/>
      <c r="G53" s="69"/>
      <c r="H53" s="69"/>
      <c r="I53" s="69"/>
      <c r="J53" s="70"/>
    </row>
    <row r="54" ht="20.1" customHeight="1">
      <c r="A54" s="68"/>
      <c r="B54" s="69"/>
      <c r="C54" s="69"/>
      <c r="D54" s="69"/>
      <c r="E54" s="69"/>
      <c r="F54" s="69"/>
      <c r="G54" s="69"/>
      <c r="H54" s="69"/>
      <c r="I54" s="69"/>
      <c r="J54" s="70"/>
    </row>
    <row r="55" ht="20.1" customHeight="1">
      <c r="A55" s="68"/>
      <c r="B55" s="69"/>
      <c r="C55" s="69"/>
      <c r="D55" s="69"/>
      <c r="E55" s="69"/>
      <c r="F55" s="69"/>
      <c r="G55" s="69"/>
      <c r="H55" s="69"/>
      <c r="I55" s="69"/>
      <c r="J55" s="70"/>
    </row>
    <row r="56" ht="20.1" customHeight="1">
      <c r="A56" s="121"/>
      <c r="B56" s="122"/>
      <c r="C56" s="122"/>
      <c r="D56" s="122"/>
      <c r="E56" s="122"/>
      <c r="F56" s="122"/>
      <c r="G56" s="123" t="s">
        <v>64</v>
      </c>
      <c r="H56" s="123"/>
      <c r="I56" s="123"/>
      <c r="J56" s="124"/>
    </row>
    <row r="57" ht="20.1" customHeight="1">
      <c r="A57" s="125"/>
      <c r="B57" s="126"/>
      <c r="C57" s="126"/>
      <c r="D57" s="126"/>
      <c r="E57" s="126"/>
      <c r="F57" s="126"/>
      <c r="G57" s="126"/>
      <c r="H57" s="126"/>
      <c r="I57" s="126"/>
      <c r="J57" s="127"/>
    </row>
    <row r="58" ht="20.1" customHeight="1">
      <c r="A58" s="125"/>
      <c r="B58" s="126"/>
      <c r="C58" s="126"/>
      <c r="D58" s="126"/>
      <c r="E58" s="126"/>
      <c r="F58" s="126"/>
      <c r="G58" s="126"/>
      <c r="H58" s="126"/>
      <c r="I58" s="126"/>
      <c r="J58" s="127"/>
    </row>
    <row r="59" ht="20.1" customHeight="1">
      <c r="A59" s="128"/>
      <c r="B59" s="129"/>
      <c r="C59" s="129"/>
      <c r="D59" s="129"/>
      <c r="E59" s="129"/>
      <c r="F59" s="129"/>
      <c r="G59" s="129"/>
      <c r="H59" s="129"/>
      <c r="I59" s="129"/>
      <c r="J59" s="130"/>
    </row>
    <row r="60" ht="15">
      <c r="A60" s="131"/>
      <c r="B60" s="131"/>
      <c r="C60" s="131"/>
      <c r="D60" s="131"/>
      <c r="E60" s="131"/>
      <c r="F60" s="131"/>
      <c r="G60" s="26"/>
      <c r="H60" s="26"/>
      <c r="I60" s="132"/>
      <c r="J60" s="132"/>
    </row>
    <row r="69" ht="12.75">
      <c r="G69" s="0">
        <f>2726671.15/24</f>
        <v>113611.29791666666</v>
      </c>
    </row>
    <row r="70" ht="12.75">
      <c r="G70" s="5">
        <f>743715.19/24</f>
        <v>30988.132916666666</v>
      </c>
    </row>
  </sheetData>
  <sheetProtection/>
  <mergeCells>
    <mergeCell ref="A11:H13"/>
    <mergeCell ref="I11:J11"/>
    <mergeCell ref="I12:J12"/>
    <mergeCell ref="I13:J13"/>
    <mergeCell ref="A14:B14"/>
    <mergeCell ref="C14:E14"/>
    <mergeCell ref="F14:G14"/>
    <mergeCell ref="H14:J14"/>
    <mergeCell ref="A16:B16"/>
    <mergeCell ref="C16:E16"/>
    <mergeCell ref="F16:G16"/>
    <mergeCell ref="H16:J16"/>
    <mergeCell ref="A17:B17"/>
    <mergeCell ref="C17:E17"/>
    <mergeCell ref="F17:G17"/>
    <mergeCell ref="H17:J17"/>
    <mergeCell ref="A18:B18"/>
    <mergeCell ref="C18:E18"/>
    <mergeCell ref="F18:G18"/>
    <mergeCell ref="H18:J18"/>
    <mergeCell ref="A20:E20"/>
    <mergeCell ref="F20:J20"/>
    <mergeCell ref="A21:B21"/>
    <mergeCell ref="C21:E21"/>
    <mergeCell ref="F21:G21"/>
    <mergeCell ref="H21:J21"/>
    <mergeCell ref="A22:B22"/>
    <mergeCell ref="C22:E22"/>
    <mergeCell ref="F22:G22"/>
    <mergeCell ref="H22:J22"/>
    <mergeCell ref="A23:B23"/>
    <mergeCell ref="C23:E23"/>
    <mergeCell ref="F23:G23"/>
    <mergeCell ref="H23:J23"/>
    <mergeCell ref="A24:B24"/>
    <mergeCell ref="C24:E24"/>
    <mergeCell ref="F24:G24"/>
    <mergeCell ref="H24:J24"/>
    <mergeCell ref="A25:B25"/>
    <mergeCell ref="C25:E25"/>
    <mergeCell ref="F25:G25"/>
    <mergeCell ref="H25:J25"/>
    <mergeCell ref="A26:B26"/>
    <mergeCell ref="C26:E26"/>
    <mergeCell ref="F26:G26"/>
    <mergeCell ref="H26:J26"/>
    <mergeCell ref="A27:B27"/>
    <mergeCell ref="C27:E27"/>
    <mergeCell ref="F27:G27"/>
    <mergeCell ref="H27:J27"/>
    <mergeCell ref="A29:J29"/>
    <mergeCell ref="B30:D30"/>
    <mergeCell ref="B31:D31"/>
    <mergeCell ref="B32:D32"/>
    <mergeCell ref="B33:D33"/>
    <mergeCell ref="B34:D34"/>
    <mergeCell ref="B35:D35"/>
    <mergeCell ref="B36:D36"/>
    <mergeCell ref="G44:H44"/>
    <mergeCell ref="I44:J44"/>
    <mergeCell ref="B37:D37"/>
    <mergeCell ref="B38:D38"/>
    <mergeCell ref="B39:D39"/>
    <mergeCell ref="B40:I40"/>
    <mergeCell ref="G41:H41"/>
    <mergeCell ref="I41:J41"/>
    <mergeCell ref="A57:J59"/>
    <mergeCell ref="A60:F60"/>
    <mergeCell ref="G60:H60"/>
    <mergeCell ref="I60:J60"/>
    <mergeCell ref="A45:J45"/>
    <mergeCell ref="A46:J46"/>
    <mergeCell ref="A47:J47"/>
    <mergeCell ref="A48:J48"/>
    <mergeCell ref="A50:J50"/>
    <mergeCell ref="A51:J51"/>
    <mergeCell ref="F15:G15"/>
    <mergeCell ref="H15:J15"/>
    <mergeCell ref="A15:B15"/>
    <mergeCell ref="C15:E15"/>
    <mergeCell ref="G52:J52"/>
    <mergeCell ref="G56:J56"/>
    <mergeCell ref="G42:H42"/>
    <mergeCell ref="I42:J42"/>
    <mergeCell ref="G43:H43"/>
    <mergeCell ref="I43:J43"/>
  </mergeCells>
  <printOptions horizontalCentered="1"/>
  <pageMargins left="0.25" right="0.25" top="0.44" bottom="0.32" header="0.3" footer="0.3"/>
  <pageSetup orientation="portrait" paperSize="9" scale="8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FDA15C93-1F72-4B14-9749-B68E8CD1AB18}">
  <dimension ref="A1:K66"/>
  <sheetViews>
    <sheetView view="pageBreakPreview" zoomScale="110" zoomScaleNormal="40" zoomScaleSheetLayoutView="110" zoomScalePageLayoutView="75" workbookViewId="0" topLeftCell="A31">
      <selection pane="topLeft" activeCell="A47" sqref="A47:J47"/>
    </sheetView>
  </sheetViews>
  <sheetFormatPr defaultRowHeight="12.75"/>
  <cols>
    <col min="1" max="9" width="11.5714285714286" customWidth="1"/>
    <col min="10" max="10" width="12.8571428571429" customWidth="1"/>
    <col min="14" max="14" bestFit="1" width="11.5714285714286" customWidth="1"/>
  </cols>
  <sheetData>
    <row r="1" ht="20.1" customHeight="1">
      <c r="A1" s="1"/>
      <c r="B1" s="2"/>
      <c r="C1" s="2"/>
      <c r="D1" s="2"/>
      <c r="E1" s="2"/>
      <c r="F1" s="2"/>
      <c r="G1" s="2"/>
      <c r="H1" s="2"/>
      <c r="I1" s="2"/>
      <c r="J1" s="3"/>
    </row>
    <row r="2" ht="20.1" customHeight="1">
      <c r="A2" s="4"/>
      <c r="B2" s="5"/>
      <c r="C2" s="5"/>
      <c r="D2" s="5"/>
      <c r="E2" s="5"/>
      <c r="F2" s="5"/>
      <c r="G2" s="5"/>
      <c r="H2" s="5"/>
      <c r="I2" s="5"/>
      <c r="J2" s="6"/>
    </row>
    <row r="3" ht="20.1" customHeight="1">
      <c r="A3" s="4"/>
      <c r="B3" s="5"/>
      <c r="C3" s="5"/>
      <c r="D3" s="5"/>
      <c r="E3" s="5"/>
      <c r="F3" s="5"/>
      <c r="G3" s="5"/>
      <c r="H3" s="5"/>
      <c r="I3" s="5"/>
      <c r="J3" s="6"/>
    </row>
    <row r="4" ht="20.1" customHeight="1">
      <c r="A4" s="4"/>
      <c r="B4" s="5"/>
      <c r="C4" s="5"/>
      <c r="D4" s="5"/>
      <c r="E4" s="5"/>
      <c r="F4" s="5"/>
      <c r="G4" s="5"/>
      <c r="H4" s="5"/>
      <c r="I4" s="5"/>
      <c r="J4" s="6"/>
    </row>
    <row r="5" ht="20.1" customHeight="1">
      <c r="A5" s="4"/>
      <c r="B5" s="5"/>
      <c r="C5" s="5"/>
      <c r="D5" s="5"/>
      <c r="E5" s="5"/>
      <c r="F5" s="5"/>
      <c r="G5" s="5"/>
      <c r="H5" s="5"/>
      <c r="I5" s="5"/>
      <c r="J5" s="6"/>
    </row>
    <row r="6" ht="20.1" customHeight="1">
      <c r="A6" s="4"/>
      <c r="B6" s="5"/>
      <c r="C6" s="5"/>
      <c r="D6" s="5"/>
      <c r="E6" s="5"/>
      <c r="F6" s="5"/>
      <c r="G6" s="5"/>
      <c r="H6" s="5"/>
      <c r="I6" s="5"/>
      <c r="J6" s="6"/>
    </row>
    <row r="7" ht="20.1" customHeight="1">
      <c r="A7" s="4"/>
      <c r="B7" s="5"/>
      <c r="C7" s="5"/>
      <c r="D7" s="5"/>
      <c r="E7" s="5"/>
      <c r="F7" s="5"/>
      <c r="G7" s="5"/>
      <c r="H7" s="5"/>
      <c r="I7" s="5"/>
      <c r="J7" s="6"/>
    </row>
    <row r="8" ht="20.1" customHeight="1">
      <c r="A8" s="4"/>
      <c r="B8" s="5"/>
      <c r="C8" s="5"/>
      <c r="D8" s="5"/>
      <c r="E8" s="5"/>
      <c r="F8" s="5"/>
      <c r="G8" s="5"/>
      <c r="H8" s="5"/>
      <c r="I8" s="5"/>
      <c r="J8" s="6"/>
    </row>
    <row r="9" ht="20.1" customHeight="1">
      <c r="A9" s="7"/>
      <c r="B9" s="8"/>
      <c r="C9" s="8"/>
      <c r="D9" s="8"/>
      <c r="E9" s="8"/>
      <c r="F9" s="8"/>
      <c r="G9" s="8"/>
      <c r="H9" s="8"/>
      <c r="I9" s="8"/>
      <c r="J9" s="9"/>
    </row>
    <row r="10" ht="20.1" customHeight="1">
      <c r="A10" s="10"/>
      <c r="B10" s="11"/>
      <c r="C10" s="11"/>
      <c r="D10" s="11"/>
      <c r="E10" s="11"/>
      <c r="F10" s="11"/>
      <c r="G10" s="11"/>
      <c r="H10" s="11"/>
      <c r="I10" s="11"/>
      <c r="J10" s="12"/>
    </row>
    <row r="11" ht="12.75">
      <c r="A11" s="133" t="s">
        <v>65</v>
      </c>
      <c r="B11" s="134"/>
      <c r="C11" s="134"/>
      <c r="D11" s="134"/>
      <c r="E11" s="134"/>
      <c r="F11" s="134"/>
      <c r="G11" s="134"/>
      <c r="H11" s="135"/>
      <c r="I11" s="16" t="s">
        <v>1</v>
      </c>
      <c r="J11" s="16"/>
    </row>
    <row r="12" ht="12.75">
      <c r="A12" s="136"/>
      <c r="B12" s="137"/>
      <c r="C12" s="137"/>
      <c r="D12" s="137"/>
      <c r="E12" s="137"/>
      <c r="F12" s="137"/>
      <c r="G12" s="137"/>
      <c r="H12" s="138"/>
      <c r="I12" s="16" t="s">
        <v>2</v>
      </c>
      <c r="J12" s="16"/>
    </row>
    <row r="13" ht="12.75">
      <c r="A13" s="139"/>
      <c r="B13" s="140"/>
      <c r="C13" s="140"/>
      <c r="D13" s="140"/>
      <c r="E13" s="140"/>
      <c r="F13" s="140"/>
      <c r="G13" s="140"/>
      <c r="H13" s="141"/>
      <c r="I13" s="16" t="s">
        <v>3</v>
      </c>
      <c r="J13" s="16"/>
    </row>
    <row r="14" ht="9.95" customHeight="1">
      <c r="A14" s="142" t="s">
        <v>6</v>
      </c>
      <c r="B14" s="143"/>
      <c r="C14" s="144" t="str">
        <f>'Working Sheet'!B3</f>
        <v>SSI/1183</v>
      </c>
      <c r="D14" s="145"/>
      <c r="E14" s="146"/>
      <c r="F14" s="142" t="s">
        <v>7</v>
      </c>
      <c r="G14" s="143"/>
      <c r="H14" s="147">
        <f>'Working Sheet'!B5</f>
        <v>45964</v>
      </c>
      <c r="I14" s="147"/>
      <c r="J14" s="148"/>
    </row>
    <row r="15" ht="9.95" customHeight="1">
      <c r="A15" s="149" t="s">
        <v>8</v>
      </c>
      <c r="B15" s="150"/>
      <c r="C15" s="149" t="s">
        <v>9</v>
      </c>
      <c r="D15" s="151"/>
      <c r="E15" s="150"/>
      <c r="F15" s="149" t="s">
        <v>10</v>
      </c>
      <c r="G15" s="150"/>
      <c r="H15" s="151">
        <v>37</v>
      </c>
      <c r="I15" s="151"/>
      <c r="J15" s="150"/>
    </row>
    <row r="16" ht="9.95" customHeight="1">
      <c r="A16" s="149" t="s">
        <v>11</v>
      </c>
      <c r="B16" s="150"/>
      <c r="C16" s="149" t="str">
        <f>'Working Sheet'!B2</f>
        <v>01 Oct 2025 To 31 Oct 2025</v>
      </c>
      <c r="D16" s="151"/>
      <c r="E16" s="150"/>
      <c r="F16" s="149" t="s">
        <v>13</v>
      </c>
      <c r="G16" s="150"/>
      <c r="H16" s="151">
        <v>101065975</v>
      </c>
      <c r="I16" s="151"/>
      <c r="J16" s="150"/>
    </row>
    <row r="17" ht="9.95" customHeight="1">
      <c r="A17" s="152" t="s">
        <v>14</v>
      </c>
      <c r="B17" s="153"/>
      <c r="C17" s="152" t="s">
        <v>15</v>
      </c>
      <c r="D17" s="154"/>
      <c r="E17" s="153"/>
      <c r="F17" s="152" t="s">
        <v>16</v>
      </c>
      <c r="G17" s="153"/>
      <c r="H17" s="154" t="s">
        <v>17</v>
      </c>
      <c r="I17" s="154"/>
      <c r="J17" s="153"/>
      <c r="K17" s="40"/>
    </row>
    <row r="18" ht="4.5" customHeight="1">
      <c r="A18" s="155"/>
      <c r="B18" s="156"/>
      <c r="C18" s="156"/>
      <c r="D18" s="156"/>
      <c r="E18" s="156"/>
      <c r="F18" s="156"/>
      <c r="G18" s="156"/>
      <c r="H18" s="156"/>
      <c r="I18" s="156"/>
      <c r="J18" s="157"/>
    </row>
    <row r="19" ht="15" customHeight="1">
      <c r="A19" s="158" t="s">
        <v>18</v>
      </c>
      <c r="B19" s="159"/>
      <c r="C19" s="159"/>
      <c r="D19" s="159"/>
      <c r="E19" s="159"/>
      <c r="F19" s="159" t="s">
        <v>19</v>
      </c>
      <c r="G19" s="159"/>
      <c r="H19" s="159"/>
      <c r="I19" s="159"/>
      <c r="J19" s="160"/>
    </row>
    <row r="20" ht="9.95" customHeight="1">
      <c r="A20" s="142" t="s">
        <v>20</v>
      </c>
      <c r="B20" s="143"/>
      <c r="C20" s="144" t="s">
        <v>21</v>
      </c>
      <c r="D20" s="145"/>
      <c r="E20" s="146"/>
      <c r="F20" s="142" t="s">
        <v>20</v>
      </c>
      <c r="G20" s="143"/>
      <c r="H20" s="161" t="s">
        <v>22</v>
      </c>
      <c r="I20" s="162"/>
      <c r="J20" s="163"/>
    </row>
    <row r="21" ht="9.95" customHeight="1">
      <c r="A21" s="149" t="s">
        <v>23</v>
      </c>
      <c r="B21" s="150"/>
      <c r="C21" s="164" t="s">
        <v>24</v>
      </c>
      <c r="D21" s="165"/>
      <c r="E21" s="166"/>
      <c r="F21" s="149" t="s">
        <v>23</v>
      </c>
      <c r="G21" s="150"/>
      <c r="H21" s="167" t="s">
        <v>25</v>
      </c>
      <c r="I21" s="168"/>
      <c r="J21" s="169"/>
    </row>
    <row r="22" ht="9.95" customHeight="1">
      <c r="A22" s="149"/>
      <c r="B22" s="150"/>
      <c r="C22" s="164" t="s">
        <v>26</v>
      </c>
      <c r="D22" s="165"/>
      <c r="E22" s="166"/>
      <c r="F22" s="164"/>
      <c r="G22" s="166"/>
      <c r="H22" s="155" t="s">
        <v>27</v>
      </c>
      <c r="I22" s="156"/>
      <c r="J22" s="157"/>
    </row>
    <row r="23" ht="9.95" customHeight="1">
      <c r="A23" s="149"/>
      <c r="B23" s="150"/>
      <c r="C23" s="164" t="s">
        <v>28</v>
      </c>
      <c r="D23" s="165"/>
      <c r="E23" s="166"/>
      <c r="F23" s="164"/>
      <c r="G23" s="166"/>
      <c r="H23" s="155" t="s">
        <v>29</v>
      </c>
      <c r="I23" s="156"/>
      <c r="J23" s="157"/>
    </row>
    <row r="24" ht="9.95" customHeight="1">
      <c r="A24" s="149" t="s">
        <v>30</v>
      </c>
      <c r="B24" s="150"/>
      <c r="C24" s="164" t="s">
        <v>9</v>
      </c>
      <c r="D24" s="165"/>
      <c r="E24" s="166"/>
      <c r="F24" s="149" t="s">
        <v>8</v>
      </c>
      <c r="G24" s="150"/>
      <c r="H24" s="167" t="s">
        <v>31</v>
      </c>
      <c r="I24" s="168"/>
      <c r="J24" s="169"/>
    </row>
    <row r="25" ht="9.95" customHeight="1">
      <c r="A25" s="149" t="s">
        <v>32</v>
      </c>
      <c r="B25" s="150"/>
      <c r="C25" s="170" t="s">
        <v>33</v>
      </c>
      <c r="D25" s="131"/>
      <c r="E25" s="171"/>
      <c r="F25" s="149" t="s">
        <v>32</v>
      </c>
      <c r="G25" s="150"/>
      <c r="H25" s="172" t="s">
        <v>34</v>
      </c>
      <c r="I25" s="173"/>
      <c r="J25" s="174"/>
    </row>
    <row r="26" ht="9.95" customHeight="1">
      <c r="A26" s="152" t="s">
        <v>35</v>
      </c>
      <c r="B26" s="153"/>
      <c r="C26" s="175">
        <v>37</v>
      </c>
      <c r="D26" s="176"/>
      <c r="E26" s="177"/>
      <c r="F26" s="152" t="s">
        <v>35</v>
      </c>
      <c r="G26" s="153"/>
      <c r="H26" s="178" t="s">
        <v>36</v>
      </c>
      <c r="I26" s="179"/>
      <c r="J26" s="180"/>
    </row>
    <row r="27" ht="4.35" customHeight="1">
      <c r="A27" s="68"/>
      <c r="B27" s="69"/>
      <c r="C27" s="69"/>
      <c r="D27" s="69"/>
      <c r="E27" s="69"/>
      <c r="F27" s="69"/>
      <c r="G27" s="69"/>
      <c r="H27" s="69"/>
      <c r="I27" s="69"/>
      <c r="J27" s="70"/>
    </row>
    <row r="28" ht="28.5" customHeight="1">
      <c r="A28" s="181" t="str">
        <f>"Annual Maintenance Contract for Housekeeping &amp; Sanitation Services at Gail KG Basin Terminals M/S. GAIL (INDIA) LIMITED for the Month of "&amp;'Working Sheet'!B4</f>
        <v>Annual Maintenance Contract for Housekeeping &amp; Sanitation Services at Gail KG Basin Terminals M/S. GAIL (INDIA) LIMITED for the Month of OCTOBER-2025</v>
      </c>
      <c r="B28" s="182"/>
      <c r="C28" s="182"/>
      <c r="D28" s="182"/>
      <c r="E28" s="182"/>
      <c r="F28" s="182"/>
      <c r="G28" s="182"/>
      <c r="H28" s="182"/>
      <c r="I28" s="182"/>
      <c r="J28" s="183"/>
    </row>
    <row r="29" ht="24.95" customHeight="1">
      <c r="A29" s="74" t="s">
        <v>38</v>
      </c>
      <c r="B29" s="75" t="s">
        <v>39</v>
      </c>
      <c r="C29" s="76"/>
      <c r="D29" s="76"/>
      <c r="E29" s="74" t="s">
        <v>40</v>
      </c>
      <c r="F29" s="74" t="s">
        <v>41</v>
      </c>
      <c r="G29" s="74" t="s">
        <v>42</v>
      </c>
      <c r="H29" s="74" t="s">
        <v>43</v>
      </c>
      <c r="I29" s="77" t="s">
        <v>44</v>
      </c>
      <c r="J29" s="74" t="s">
        <v>45</v>
      </c>
    </row>
    <row r="30" ht="18.75">
      <c r="A30" s="78"/>
      <c r="B30" s="184" t="s">
        <v>66</v>
      </c>
      <c r="C30" s="185"/>
      <c r="D30" s="185"/>
      <c r="E30" s="81"/>
      <c r="F30" s="81"/>
      <c r="G30" s="81"/>
      <c r="H30" s="81"/>
      <c r="I30" s="82"/>
      <c r="J30" s="81"/>
    </row>
    <row r="31" ht="12.75">
      <c r="A31" s="83">
        <v>1</v>
      </c>
      <c r="B31" s="84" t="s">
        <v>47</v>
      </c>
      <c r="C31" s="85"/>
      <c r="D31" s="85"/>
      <c r="E31" s="86"/>
      <c r="F31" s="87">
        <v>998533</v>
      </c>
      <c r="G31" s="87" t="s">
        <v>67</v>
      </c>
      <c r="H31" s="86">
        <v>1</v>
      </c>
      <c r="I31" s="88">
        <f>ABSTRACT!K16</f>
        <v>117935.81999999999</v>
      </c>
      <c r="J31" s="89">
        <f>H31*I31</f>
        <v>117935.81999999999</v>
      </c>
    </row>
    <row r="32" ht="12.75">
      <c r="A32" s="83">
        <v>2</v>
      </c>
      <c r="B32" s="84" t="s">
        <v>49</v>
      </c>
      <c r="C32" s="85"/>
      <c r="D32" s="85"/>
      <c r="E32" s="86"/>
      <c r="F32" s="87">
        <v>998533</v>
      </c>
      <c r="G32" s="87" t="s">
        <v>67</v>
      </c>
      <c r="H32" s="86">
        <v>1</v>
      </c>
      <c r="I32" s="88">
        <f>ABSTRACT!K21</f>
        <v>117244.21961999999</v>
      </c>
      <c r="J32" s="89">
        <f ref="J32:J38" t="shared" si="0">H32*I32</f>
        <v>117244.21961999999</v>
      </c>
    </row>
    <row r="33" ht="12.75">
      <c r="A33" s="83">
        <v>3</v>
      </c>
      <c r="B33" s="84" t="s">
        <v>50</v>
      </c>
      <c r="C33" s="85"/>
      <c r="D33" s="85"/>
      <c r="E33" s="86"/>
      <c r="F33" s="87">
        <v>998533</v>
      </c>
      <c r="G33" s="87" t="s">
        <v>67</v>
      </c>
      <c r="H33" s="86">
        <v>1</v>
      </c>
      <c r="I33" s="88">
        <f>ABSTRACT!K26</f>
        <v>117244.21961999999</v>
      </c>
      <c r="J33" s="89">
        <f t="shared" si="0"/>
        <v>117244.21961999999</v>
      </c>
    </row>
    <row r="34" ht="12.75">
      <c r="A34" s="83">
        <v>4</v>
      </c>
      <c r="B34" s="84" t="s">
        <v>51</v>
      </c>
      <c r="C34" s="85"/>
      <c r="D34" s="85"/>
      <c r="E34" s="86"/>
      <c r="F34" s="87">
        <v>998533</v>
      </c>
      <c r="G34" s="87" t="s">
        <v>67</v>
      </c>
      <c r="H34" s="86">
        <v>1</v>
      </c>
      <c r="I34" s="88">
        <f>ABSTRACT!K31</f>
        <v>59732.26962000001</v>
      </c>
      <c r="J34" s="89">
        <f t="shared" si="0"/>
        <v>59732.26962000001</v>
      </c>
    </row>
    <row r="35" ht="12.75">
      <c r="A35" s="83">
        <v>5</v>
      </c>
      <c r="B35" s="84" t="s">
        <v>52</v>
      </c>
      <c r="C35" s="85"/>
      <c r="D35" s="85"/>
      <c r="E35" s="86"/>
      <c r="F35" s="87">
        <v>998533</v>
      </c>
      <c r="G35" s="87" t="s">
        <v>67</v>
      </c>
      <c r="H35" s="86">
        <v>1</v>
      </c>
      <c r="I35" s="88">
        <f>ABSTRACT!K36</f>
        <v>37876.80300384615</v>
      </c>
      <c r="J35" s="89">
        <f t="shared" si="0"/>
        <v>37876.80300384615</v>
      </c>
    </row>
    <row r="36" ht="12.75">
      <c r="A36" s="83">
        <v>6</v>
      </c>
      <c r="B36" s="84" t="s">
        <v>53</v>
      </c>
      <c r="C36" s="85"/>
      <c r="D36" s="85"/>
      <c r="E36" s="86"/>
      <c r="F36" s="87">
        <v>998533</v>
      </c>
      <c r="G36" s="87" t="s">
        <v>67</v>
      </c>
      <c r="H36" s="86">
        <v>1</v>
      </c>
      <c r="I36" s="88">
        <f>ABSTRACT!K41</f>
        <v>39311.939999999995</v>
      </c>
      <c r="J36" s="89">
        <f t="shared" si="0"/>
        <v>39311.939999999995</v>
      </c>
    </row>
    <row r="37" ht="12.75">
      <c r="A37" s="83">
        <v>7</v>
      </c>
      <c r="B37" s="85" t="s">
        <v>68</v>
      </c>
      <c r="C37" s="85"/>
      <c r="D37" s="85"/>
      <c r="E37" s="86"/>
      <c r="F37" s="87">
        <v>998533</v>
      </c>
      <c r="G37" s="87" t="s">
        <v>67</v>
      </c>
      <c r="H37" s="86">
        <v>1</v>
      </c>
      <c r="I37" s="88">
        <f>ABSTRACT!K46</f>
        <v>26944.21</v>
      </c>
      <c r="J37" s="89">
        <f t="shared" si="0"/>
        <v>26944.21</v>
      </c>
    </row>
    <row r="38" ht="12.75">
      <c r="A38" s="83">
        <v>8</v>
      </c>
      <c r="B38" s="186" t="str">
        <f>ABSTRACT!C73</f>
        <v>Premiums for GPA,PMJJBY,PMSBY</v>
      </c>
      <c r="C38" s="99"/>
      <c r="D38" s="187"/>
      <c r="E38" s="86"/>
      <c r="F38" s="87">
        <v>998533</v>
      </c>
      <c r="G38" s="87" t="s">
        <v>48</v>
      </c>
      <c r="H38" s="86">
        <f>ABSTRACT!J73</f>
        <v>0</v>
      </c>
      <c r="I38" s="88">
        <f>ABSTRACT!E73</f>
        <v>1</v>
      </c>
      <c r="J38" s="89">
        <f t="shared" si="0"/>
        <v>0</v>
      </c>
    </row>
    <row r="39" ht="12.75">
      <c r="A39" s="83"/>
      <c r="B39" s="90"/>
      <c r="C39" s="91"/>
      <c r="D39" s="92"/>
      <c r="E39" s="93"/>
      <c r="F39" s="94"/>
      <c r="G39" s="94"/>
      <c r="H39" s="86"/>
      <c r="I39" s="88"/>
      <c r="J39" s="89"/>
    </row>
    <row r="40" ht="24.95" customHeight="1">
      <c r="A40" s="74"/>
      <c r="B40" s="95" t="s">
        <v>69</v>
      </c>
      <c r="C40" s="96"/>
      <c r="D40" s="96"/>
      <c r="E40" s="96"/>
      <c r="F40" s="96"/>
      <c r="G40" s="96"/>
      <c r="H40" s="96"/>
      <c r="I40" s="97"/>
      <c r="J40" s="98">
        <f>SUM(J31:J39)</f>
        <v>516289.48186384613</v>
      </c>
    </row>
    <row r="41" ht="20.1" customHeight="1">
      <c r="A41" s="188" t="s">
        <v>59</v>
      </c>
      <c r="B41" s="189"/>
      <c r="C41" s="189"/>
      <c r="D41" s="189"/>
      <c r="E41" s="190"/>
      <c r="F41" s="191"/>
      <c r="G41" s="102" t="s">
        <v>55</v>
      </c>
      <c r="H41" s="102"/>
      <c r="I41" s="103">
        <f>J40</f>
        <v>516289.48186384613</v>
      </c>
      <c r="J41" s="103"/>
    </row>
    <row r="42" ht="20.1" customHeight="1">
      <c r="A42" s="56" t="s">
        <v>60</v>
      </c>
      <c r="B42" s="57"/>
      <c r="C42" s="57"/>
      <c r="D42" s="57"/>
      <c r="E42" s="100"/>
      <c r="F42" s="101"/>
      <c r="G42" s="102" t="s">
        <v>70</v>
      </c>
      <c r="H42" s="102"/>
      <c r="I42" s="192">
        <f>I41*18%</f>
        <v>92932.1067354923</v>
      </c>
      <c r="J42" s="192"/>
    </row>
    <row r="43" ht="20.1" customHeight="1">
      <c r="A43" s="186" t="s">
        <v>61</v>
      </c>
      <c r="B43" s="99"/>
      <c r="C43" s="99"/>
      <c r="D43" s="99"/>
      <c r="E43" s="100"/>
      <c r="F43" s="101"/>
      <c r="G43" s="102" t="s">
        <v>71</v>
      </c>
      <c r="H43" s="102"/>
      <c r="I43" s="103">
        <v>0</v>
      </c>
      <c r="J43" s="103"/>
    </row>
    <row r="44" ht="20.1" customHeight="1">
      <c r="A44" s="193"/>
      <c r="B44" s="91"/>
      <c r="C44" s="91"/>
      <c r="D44" s="91"/>
      <c r="E44" s="194"/>
      <c r="F44" s="195"/>
      <c r="G44" s="102" t="s">
        <v>58</v>
      </c>
      <c r="H44" s="102"/>
      <c r="I44" s="103">
        <f>ROUND(I41+I42+I43,3)</f>
        <v>609221.589</v>
      </c>
      <c r="J44" s="103"/>
    </row>
    <row r="45" ht="3" customHeight="1">
      <c r="A45" s="107"/>
      <c r="B45" s="108"/>
      <c r="C45" s="108"/>
      <c r="D45" s="108"/>
      <c r="E45" s="108"/>
      <c r="F45" s="109"/>
      <c r="G45" s="109"/>
      <c r="H45" s="110"/>
      <c r="I45" s="111"/>
      <c r="J45" s="112"/>
    </row>
    <row r="46" ht="20.1" customHeight="1">
      <c r="A46" s="113" t="str">
        <f>[1]!SpellNumber(I44)</f>
        <v>Rupees Six Lakh Nine Thousand Two Hundred TwentyOne Paise FiftyNine Only </v>
      </c>
      <c r="B46" s="114"/>
      <c r="C46" s="114"/>
      <c r="D46" s="114"/>
      <c r="E46" s="114"/>
      <c r="F46" s="114"/>
      <c r="G46" s="114"/>
      <c r="H46" s="114"/>
      <c r="I46" s="114"/>
      <c r="J46" s="115"/>
    </row>
    <row r="47" ht="20.1" customHeight="1">
      <c r="A47" s="116" t="s">
        <v>62</v>
      </c>
      <c r="B47" s="117"/>
      <c r="C47" s="117"/>
      <c r="D47" s="117"/>
      <c r="E47" s="117"/>
      <c r="F47" s="117"/>
      <c r="G47" s="117"/>
      <c r="H47" s="117"/>
      <c r="I47" s="117"/>
      <c r="J47" s="118"/>
    </row>
    <row r="48" ht="20.1" customHeight="1">
      <c r="A48" s="68"/>
      <c r="B48" s="69"/>
      <c r="C48" s="69"/>
      <c r="D48" s="69"/>
      <c r="E48" s="69"/>
      <c r="F48" s="69"/>
      <c r="G48" s="119" t="s">
        <v>63</v>
      </c>
      <c r="H48" s="119"/>
      <c r="I48" s="119"/>
      <c r="J48" s="120"/>
    </row>
    <row r="49" ht="20.1" customHeight="1">
      <c r="A49" s="68"/>
      <c r="B49" s="69"/>
      <c r="C49" s="69"/>
      <c r="D49" s="69"/>
      <c r="E49" s="69"/>
      <c r="F49" s="69"/>
      <c r="G49" s="69"/>
      <c r="H49" s="69"/>
      <c r="I49" s="69"/>
      <c r="J49" s="70"/>
    </row>
    <row r="50" ht="20.1" customHeight="1">
      <c r="A50" s="68"/>
      <c r="B50" s="69"/>
      <c r="C50" s="69"/>
      <c r="D50" s="69"/>
      <c r="E50" s="69"/>
      <c r="F50" s="69"/>
      <c r="G50" s="69"/>
      <c r="H50" s="69"/>
      <c r="I50" s="69"/>
      <c r="J50" s="70"/>
    </row>
    <row r="51" ht="20.1" customHeight="1">
      <c r="A51" s="68"/>
      <c r="B51" s="69"/>
      <c r="C51" s="69"/>
      <c r="D51" s="69"/>
      <c r="E51" s="69"/>
      <c r="F51" s="69"/>
      <c r="G51" s="69"/>
      <c r="H51" s="69"/>
      <c r="I51" s="69"/>
      <c r="J51" s="70"/>
    </row>
    <row r="52" ht="20.1" customHeight="1">
      <c r="A52" s="121"/>
      <c r="B52" s="122"/>
      <c r="C52" s="122"/>
      <c r="D52" s="122"/>
      <c r="E52" s="122"/>
      <c r="F52" s="122"/>
      <c r="G52" s="123" t="s">
        <v>64</v>
      </c>
      <c r="H52" s="123"/>
      <c r="I52" s="123"/>
      <c r="J52" s="124"/>
    </row>
    <row r="53" ht="20.1" customHeight="1">
      <c r="A53" s="125"/>
      <c r="B53" s="126"/>
      <c r="C53" s="126"/>
      <c r="D53" s="126"/>
      <c r="E53" s="126"/>
      <c r="F53" s="126"/>
      <c r="G53" s="126"/>
      <c r="H53" s="126"/>
      <c r="I53" s="126"/>
      <c r="J53" s="127"/>
    </row>
    <row r="54" ht="20.1" customHeight="1">
      <c r="A54" s="125"/>
      <c r="B54" s="126"/>
      <c r="C54" s="126"/>
      <c r="D54" s="126"/>
      <c r="E54" s="126"/>
      <c r="F54" s="126"/>
      <c r="G54" s="126"/>
      <c r="H54" s="126"/>
      <c r="I54" s="126"/>
      <c r="J54" s="127"/>
    </row>
    <row r="55" ht="20.1" customHeight="1">
      <c r="A55" s="128"/>
      <c r="B55" s="129"/>
      <c r="C55" s="129"/>
      <c r="D55" s="129"/>
      <c r="E55" s="129"/>
      <c r="F55" s="129"/>
      <c r="G55" s="129"/>
      <c r="H55" s="129"/>
      <c r="I55" s="129"/>
      <c r="J55" s="130"/>
    </row>
    <row r="56" ht="15">
      <c r="A56" s="131"/>
      <c r="B56" s="131"/>
      <c r="C56" s="131"/>
      <c r="D56" s="131"/>
      <c r="E56" s="131"/>
      <c r="F56" s="131"/>
      <c r="G56" s="26"/>
      <c r="H56" s="26"/>
      <c r="I56" s="132"/>
      <c r="J56" s="132"/>
    </row>
    <row r="65" ht="12.75">
      <c r="G65" s="0">
        <f>2726671.15/24</f>
        <v>113611.29791666666</v>
      </c>
    </row>
    <row r="66" ht="12.75">
      <c r="G66" s="5">
        <f>743715.19/24</f>
        <v>30988.132916666666</v>
      </c>
    </row>
  </sheetData>
  <sheetProtection/>
  <mergeCells>
    <mergeCell ref="B40:I40"/>
    <mergeCell ref="G41:H41"/>
    <mergeCell ref="I41:J41"/>
    <mergeCell ref="G43:H43"/>
    <mergeCell ref="I43:J43"/>
    <mergeCell ref="I42:J42"/>
    <mergeCell ref="G42:H42"/>
    <mergeCell ref="I44:J44"/>
    <mergeCell ref="B29:D29"/>
    <mergeCell ref="B30:D30"/>
    <mergeCell ref="B31:D31"/>
    <mergeCell ref="B32:D32"/>
    <mergeCell ref="B33:D33"/>
    <mergeCell ref="B34:D34"/>
    <mergeCell ref="B35:D35"/>
    <mergeCell ref="B36:D36"/>
    <mergeCell ref="A43:D43"/>
    <mergeCell ref="I56:J56"/>
    <mergeCell ref="A25:B25"/>
    <mergeCell ref="A26:B26"/>
    <mergeCell ref="A47:J47"/>
    <mergeCell ref="A46:J46"/>
    <mergeCell ref="G48:J48"/>
    <mergeCell ref="G52:J52"/>
    <mergeCell ref="A53:J55"/>
    <mergeCell ref="C26:E26"/>
    <mergeCell ref="G44:H44"/>
    <mergeCell ref="A21:B21"/>
    <mergeCell ref="A22:B22"/>
    <mergeCell ref="A23:B23"/>
    <mergeCell ref="A24:B24"/>
    <mergeCell ref="H22:J22"/>
    <mergeCell ref="H23:J23"/>
    <mergeCell ref="H24:J24"/>
    <mergeCell ref="C14:E14"/>
    <mergeCell ref="C15:E15"/>
    <mergeCell ref="A56:F56"/>
    <mergeCell ref="G56:H56"/>
    <mergeCell ref="B37:D37"/>
    <mergeCell ref="A28:J28"/>
    <mergeCell ref="A16:B16"/>
    <mergeCell ref="A17:B17"/>
    <mergeCell ref="A20:B20"/>
    <mergeCell ref="C20:E20"/>
    <mergeCell ref="F19:J19"/>
    <mergeCell ref="A19:E19"/>
    <mergeCell ref="C16:E16"/>
    <mergeCell ref="C17:E17"/>
    <mergeCell ref="H25:J25"/>
    <mergeCell ref="F15:G15"/>
    <mergeCell ref="F16:G16"/>
    <mergeCell ref="F17:G17"/>
    <mergeCell ref="H15:J15"/>
    <mergeCell ref="H16:J16"/>
    <mergeCell ref="H17:J17"/>
    <mergeCell ref="H26:J26"/>
    <mergeCell ref="F20:G20"/>
    <mergeCell ref="F21:G21"/>
    <mergeCell ref="F22:G22"/>
    <mergeCell ref="F23:G23"/>
    <mergeCell ref="F24:G24"/>
    <mergeCell ref="F25:G25"/>
    <mergeCell ref="F26:G26"/>
    <mergeCell ref="H21:J21"/>
    <mergeCell ref="H20:J20"/>
    <mergeCell ref="C21:E21"/>
    <mergeCell ref="C22:E22"/>
    <mergeCell ref="C23:E23"/>
    <mergeCell ref="C24:E24"/>
    <mergeCell ref="C25:E25"/>
    <mergeCell ref="A15:B15"/>
    <mergeCell ref="F14:G14"/>
    <mergeCell ref="B38:D38"/>
    <mergeCell ref="B39:D39"/>
    <mergeCell ref="I11:J11"/>
    <mergeCell ref="I12:J12"/>
    <mergeCell ref="I13:J13"/>
    <mergeCell ref="A11:H13"/>
    <mergeCell ref="H14:J14"/>
    <mergeCell ref="A14:B14"/>
  </mergeCells>
  <printOptions horizontalCentered="1"/>
  <pageMargins left="0.25" right="0.25" top="0.5" bottom="0.34" header="0.3" footer="0.3"/>
  <pageSetup orientation="portrait" paperSize="9" scale="86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5E4ED1AA-14AE-48B8-9CF3-6D2CD326A42F}">
  <dimension ref="A1:N48"/>
  <sheetViews>
    <sheetView tabSelected="1" zoomScale="88" zoomScaleNormal="88" zoomScaleSheetLayoutView="62" workbookViewId="0" topLeftCell="A1">
      <selection pane="topLeft" activeCell="A29" sqref="A29:K29"/>
    </sheetView>
  </sheetViews>
  <sheetFormatPr defaultRowHeight="14.25"/>
  <cols>
    <col min="1" max="1" width="8.71428571428571" customWidth="1" style="196"/>
    <col min="2" max="5" width="11.7142857142857" customWidth="1" style="196"/>
    <col min="6" max="11" width="12.7142857142857" customWidth="1" style="196"/>
    <col min="14" max="14" bestFit="1" width="13.5714285714286" customWidth="1"/>
  </cols>
  <sheetData>
    <row r="1" ht="20.1" customHeight="1">
      <c r="A1" s="197"/>
      <c r="B1" s="198"/>
      <c r="C1" s="198"/>
      <c r="D1" s="198"/>
      <c r="E1" s="198"/>
      <c r="F1" s="198"/>
      <c r="G1" s="198"/>
      <c r="H1" s="198"/>
      <c r="I1" s="198"/>
      <c r="J1" s="198"/>
      <c r="K1" s="199"/>
    </row>
    <row r="2" ht="20.1" customHeight="1">
      <c r="A2" s="200"/>
      <c r="K2" s="201"/>
    </row>
    <row r="3" ht="20.1" customHeight="1">
      <c r="A3" s="200"/>
      <c r="K3" s="201"/>
    </row>
    <row r="4" ht="20.1" customHeight="1">
      <c r="A4" s="200"/>
      <c r="K4" s="201"/>
    </row>
    <row r="5" ht="20.1" customHeight="1">
      <c r="A5" s="200"/>
      <c r="K5" s="201"/>
    </row>
    <row r="6" ht="20.1" customHeight="1">
      <c r="A6" s="200"/>
      <c r="K6" s="201"/>
    </row>
    <row r="7" ht="20.1" customHeight="1">
      <c r="A7" s="200"/>
      <c r="K7" s="201"/>
    </row>
    <row r="8" ht="20.1" customHeight="1">
      <c r="A8" s="202"/>
      <c r="B8" s="203"/>
      <c r="C8" s="203"/>
      <c r="D8" s="203"/>
      <c r="E8" s="203"/>
      <c r="F8" s="203"/>
      <c r="G8" s="203"/>
      <c r="H8" s="203"/>
      <c r="I8" s="203"/>
      <c r="J8" s="203"/>
      <c r="K8" s="204"/>
    </row>
    <row r="9" ht="30" customHeight="1">
      <c r="A9" s="205" t="s">
        <v>72</v>
      </c>
      <c r="B9" s="205"/>
      <c r="C9" s="205"/>
      <c r="D9" s="205"/>
      <c r="E9" s="205"/>
      <c r="F9" s="205"/>
      <c r="G9" s="205"/>
      <c r="H9" s="205"/>
      <c r="I9" s="205"/>
      <c r="J9" s="205"/>
      <c r="K9" s="205"/>
    </row>
    <row r="10" ht="30" customHeight="1">
      <c r="A10" s="205" t="str">
        <f>'Working Sheet'!C6</f>
        <v>RA BILL NO-19</v>
      </c>
      <c r="B10" s="205"/>
      <c r="C10" s="205"/>
      <c r="D10" s="205"/>
      <c r="E10" s="205"/>
      <c r="F10" s="205"/>
      <c r="G10" s="205"/>
      <c r="H10" s="205"/>
      <c r="I10" s="205"/>
      <c r="J10" s="205"/>
      <c r="K10" s="205"/>
    </row>
    <row r="11" ht="30" customHeight="1">
      <c r="A11" s="206" t="s">
        <v>73</v>
      </c>
      <c r="B11" s="206"/>
      <c r="C11" s="206"/>
      <c r="D11" s="206"/>
      <c r="E11" s="206"/>
      <c r="F11" s="207" t="s">
        <v>74</v>
      </c>
      <c r="G11" s="208"/>
      <c r="H11" s="208"/>
      <c r="I11" s="208"/>
      <c r="J11" s="208"/>
      <c r="K11" s="209"/>
    </row>
    <row r="12" ht="30" customHeight="1" s="210" customFormat="1">
      <c r="A12" s="206" t="s">
        <v>75</v>
      </c>
      <c r="B12" s="206"/>
      <c r="C12" s="206"/>
      <c r="D12" s="206"/>
      <c r="E12" s="206"/>
      <c r="F12" s="211" t="s">
        <v>76</v>
      </c>
      <c r="G12" s="211"/>
      <c r="H12" s="211"/>
      <c r="I12" s="211"/>
      <c r="J12" s="211"/>
      <c r="K12" s="211"/>
    </row>
    <row r="13" ht="30" customHeight="1" s="210" customFormat="1">
      <c r="A13" s="206" t="s">
        <v>77</v>
      </c>
      <c r="B13" s="206"/>
      <c r="C13" s="206"/>
      <c r="D13" s="206"/>
      <c r="E13" s="206"/>
      <c r="F13" s="206" t="s">
        <v>78</v>
      </c>
      <c r="G13" s="206"/>
      <c r="H13" s="206"/>
      <c r="I13" s="206"/>
      <c r="J13" s="206"/>
      <c r="K13" s="206"/>
    </row>
    <row r="14" ht="30" customHeight="1" s="210" customFormat="1">
      <c r="A14" s="206" t="s">
        <v>79</v>
      </c>
      <c r="B14" s="206"/>
      <c r="C14" s="206"/>
      <c r="D14" s="206"/>
      <c r="E14" s="206"/>
      <c r="F14" s="212" t="s">
        <v>80</v>
      </c>
      <c r="G14" s="212"/>
      <c r="H14" s="212"/>
      <c r="I14" s="212"/>
      <c r="J14" s="212"/>
      <c r="K14" s="212"/>
    </row>
    <row r="15" ht="30" customHeight="1" s="210" customFormat="1">
      <c r="A15" s="206" t="s">
        <v>81</v>
      </c>
      <c r="B15" s="206"/>
      <c r="C15" s="206"/>
      <c r="D15" s="206"/>
      <c r="E15" s="206"/>
      <c r="F15" s="212" t="s">
        <v>82</v>
      </c>
      <c r="G15" s="212"/>
      <c r="H15" s="212"/>
      <c r="I15" s="212"/>
      <c r="J15" s="212"/>
      <c r="K15" s="212"/>
    </row>
    <row r="16" ht="30" customHeight="1" s="210" customFormat="1">
      <c r="A16" s="206" t="s">
        <v>83</v>
      </c>
      <c r="B16" s="206"/>
      <c r="C16" s="206"/>
      <c r="D16" s="206"/>
      <c r="E16" s="206"/>
      <c r="F16" s="212" t="s">
        <v>84</v>
      </c>
      <c r="G16" s="212"/>
      <c r="H16" s="212"/>
      <c r="I16" s="212"/>
      <c r="J16" s="212"/>
      <c r="K16" s="212"/>
    </row>
    <row r="17" ht="30" customHeight="1" s="210" customFormat="1">
      <c r="A17" s="206" t="s">
        <v>85</v>
      </c>
      <c r="B17" s="206"/>
      <c r="C17" s="206"/>
      <c r="D17" s="206"/>
      <c r="E17" s="206"/>
      <c r="F17" s="206" t="str">
        <f>'Working Sheet'!C6</f>
        <v>RA BILL NO-19</v>
      </c>
      <c r="G17" s="206"/>
      <c r="H17" s="206"/>
      <c r="I17" s="206"/>
      <c r="J17" s="206"/>
      <c r="K17" s="206"/>
    </row>
    <row r="18" ht="30" customHeight="1" s="210" customFormat="1">
      <c r="A18" s="206" t="s">
        <v>86</v>
      </c>
      <c r="B18" s="206"/>
      <c r="C18" s="206"/>
      <c r="D18" s="206"/>
      <c r="E18" s="206"/>
      <c r="F18" s="213" t="str">
        <f>'Working Sheet'!B2</f>
        <v>01 Oct 2025 To 31 Oct 2025</v>
      </c>
      <c r="G18" s="214"/>
      <c r="H18" s="214"/>
      <c r="I18" s="214"/>
      <c r="J18" s="214"/>
      <c r="K18" s="215"/>
    </row>
    <row r="19" ht="5.1" customHeight="1" s="210" customFormat="1">
      <c r="A19" s="216"/>
      <c r="B19" s="217"/>
      <c r="C19" s="217"/>
      <c r="D19" s="217"/>
      <c r="E19" s="217"/>
      <c r="F19" s="217"/>
      <c r="G19" s="217"/>
      <c r="H19" s="217"/>
      <c r="I19" s="217"/>
      <c r="J19" s="217"/>
      <c r="K19" s="218"/>
    </row>
    <row r="20" ht="30" customHeight="1">
      <c r="A20" s="219" t="s">
        <v>87</v>
      </c>
      <c r="B20" s="220" t="s">
        <v>88</v>
      </c>
      <c r="C20" s="221"/>
      <c r="D20" s="221"/>
      <c r="E20" s="222"/>
      <c r="F20" s="223" t="s">
        <v>89</v>
      </c>
      <c r="G20" s="224"/>
      <c r="H20" s="225" t="s">
        <v>90</v>
      </c>
      <c r="I20" s="226"/>
      <c r="J20" s="225" t="s">
        <v>91</v>
      </c>
      <c r="K20" s="226"/>
    </row>
    <row r="21" ht="15.75">
      <c r="A21" s="227">
        <v>1</v>
      </c>
      <c r="B21" s="211" t="s">
        <v>92</v>
      </c>
      <c r="C21" s="211"/>
      <c r="D21" s="211"/>
      <c r="E21" s="211"/>
      <c r="F21" s="228">
        <v>0</v>
      </c>
      <c r="G21" s="229"/>
      <c r="H21" s="230">
        <f>ABSTRACT!K77</f>
        <v>516289.48186384613</v>
      </c>
      <c r="I21" s="231"/>
      <c r="J21" s="232">
        <f ref="J21:J28" t="shared" si="0">F21+H21</f>
        <v>516289.48186384613</v>
      </c>
      <c r="K21" s="232"/>
      <c r="N21" s="233"/>
    </row>
    <row r="22" ht="15.75">
      <c r="A22" s="227">
        <v>2</v>
      </c>
      <c r="B22" s="234" t="s">
        <v>93</v>
      </c>
      <c r="C22" s="235"/>
      <c r="D22" s="235"/>
      <c r="E22" s="236"/>
      <c r="F22" s="228">
        <v>0</v>
      </c>
      <c r="G22" s="229"/>
      <c r="H22" s="237">
        <f>ABSTRACT!K78</f>
        <v>92932.1067354923</v>
      </c>
      <c r="I22" s="238"/>
      <c r="J22" s="228">
        <f t="shared" si="0"/>
        <v>92932.1067354923</v>
      </c>
      <c r="K22" s="229"/>
      <c r="N22" s="233"/>
    </row>
    <row r="23" ht="15.75">
      <c r="A23" s="227">
        <v>3</v>
      </c>
      <c r="B23" s="234" t="s">
        <v>94</v>
      </c>
      <c r="C23" s="235"/>
      <c r="D23" s="235"/>
      <c r="E23" s="236"/>
      <c r="F23" s="228">
        <v>0</v>
      </c>
      <c r="G23" s="229"/>
      <c r="H23" s="230">
        <v>0</v>
      </c>
      <c r="I23" s="231"/>
      <c r="J23" s="228">
        <f t="shared" si="0"/>
        <v>0</v>
      </c>
      <c r="K23" s="229"/>
      <c r="N23" s="233"/>
    </row>
    <row r="24" ht="15.75">
      <c r="A24" s="227">
        <v>4</v>
      </c>
      <c r="B24" s="234" t="s">
        <v>95</v>
      </c>
      <c r="C24" s="214"/>
      <c r="D24" s="214"/>
      <c r="E24" s="215"/>
      <c r="F24" s="228">
        <v>0</v>
      </c>
      <c r="G24" s="229"/>
      <c r="H24" s="230">
        <f>H21+H22+H23</f>
        <v>609221.5885993384</v>
      </c>
      <c r="I24" s="231"/>
      <c r="J24" s="228">
        <f t="shared" si="0"/>
        <v>609221.5885993384</v>
      </c>
      <c r="K24" s="229"/>
      <c r="N24" s="233"/>
    </row>
    <row r="25" ht="15.75">
      <c r="A25" s="227">
        <v>5</v>
      </c>
      <c r="B25" s="213" t="s">
        <v>96</v>
      </c>
      <c r="C25" s="214"/>
      <c r="D25" s="214"/>
      <c r="E25" s="215"/>
      <c r="F25" s="228">
        <v>0</v>
      </c>
      <c r="G25" s="229"/>
      <c r="H25" s="230">
        <f>H21*2%</f>
        <v>10325.789637276923</v>
      </c>
      <c r="I25" s="231"/>
      <c r="J25" s="228">
        <f t="shared" si="0"/>
        <v>10325.789637276923</v>
      </c>
      <c r="K25" s="229"/>
      <c r="N25" s="233"/>
    </row>
    <row r="26" ht="15.75">
      <c r="A26" s="227">
        <v>7</v>
      </c>
      <c r="B26" s="234" t="s">
        <v>97</v>
      </c>
      <c r="C26" s="235"/>
      <c r="D26" s="235"/>
      <c r="E26" s="236"/>
      <c r="F26" s="228">
        <v>0</v>
      </c>
      <c r="G26" s="229"/>
      <c r="H26" s="230">
        <f>H21*2%</f>
        <v>10325.789637276923</v>
      </c>
      <c r="I26" s="231"/>
      <c r="J26" s="228">
        <f t="shared" si="0"/>
        <v>10325.789637276923</v>
      </c>
      <c r="K26" s="229"/>
      <c r="N26" s="233"/>
    </row>
    <row r="27" ht="15.75">
      <c r="A27" s="227">
        <v>8</v>
      </c>
      <c r="B27" s="234" t="s">
        <v>98</v>
      </c>
      <c r="C27" s="235"/>
      <c r="D27" s="235"/>
      <c r="E27" s="236"/>
      <c r="F27" s="228">
        <v>0</v>
      </c>
      <c r="G27" s="229"/>
      <c r="H27" s="230">
        <v>0</v>
      </c>
      <c r="I27" s="231"/>
      <c r="J27" s="228">
        <f t="shared" si="0"/>
        <v>0</v>
      </c>
      <c r="K27" s="229"/>
      <c r="N27" s="233"/>
    </row>
    <row r="28" ht="15.75">
      <c r="A28" s="227">
        <v>9</v>
      </c>
      <c r="B28" s="206" t="s">
        <v>99</v>
      </c>
      <c r="C28" s="206"/>
      <c r="D28" s="206"/>
      <c r="E28" s="206"/>
      <c r="F28" s="228">
        <v>0</v>
      </c>
      <c r="G28" s="229"/>
      <c r="H28" s="239">
        <f>H24-(H25+H26)</f>
        <v>588570.0093247846</v>
      </c>
      <c r="I28" s="240"/>
      <c r="J28" s="228">
        <f t="shared" si="0"/>
        <v>588570.0093247846</v>
      </c>
      <c r="K28" s="229"/>
      <c r="N28" s="233"/>
    </row>
    <row r="29" ht="30" customHeight="1">
      <c r="A29" s="241" t="str">
        <f>[1]!SpellNumber(H28)</f>
        <v>Rupees Five Lakh EightyEight Thousand Five Hundred Seventy Paise One Only </v>
      </c>
      <c r="B29" s="242"/>
      <c r="C29" s="242"/>
      <c r="D29" s="242"/>
      <c r="E29" s="242"/>
      <c r="F29" s="242"/>
      <c r="G29" s="242"/>
      <c r="H29" s="242"/>
      <c r="I29" s="242"/>
      <c r="J29" s="242"/>
      <c r="K29" s="243"/>
    </row>
    <row r="30" ht="24.95" customHeight="1">
      <c r="A30" s="244">
        <v>1</v>
      </c>
      <c r="B30" s="245" t="s">
        <v>100</v>
      </c>
      <c r="C30" s="245"/>
      <c r="D30" s="245"/>
      <c r="E30" s="245"/>
      <c r="F30" s="245"/>
      <c r="G30" s="245"/>
      <c r="H30" s="245"/>
      <c r="I30" s="245"/>
      <c r="J30" s="245"/>
      <c r="K30" s="246"/>
    </row>
    <row r="31" ht="24.95" customHeight="1">
      <c r="A31" s="247">
        <v>2</v>
      </c>
      <c r="B31" s="245" t="s">
        <v>101</v>
      </c>
      <c r="C31" s="245"/>
      <c r="D31" s="245"/>
      <c r="E31" s="245"/>
      <c r="F31" s="245"/>
      <c r="G31" s="245"/>
      <c r="H31" s="245"/>
      <c r="I31" s="245"/>
      <c r="J31" s="245"/>
      <c r="K31" s="246"/>
    </row>
    <row r="32" ht="24.95" customHeight="1">
      <c r="A32" s="247">
        <v>3</v>
      </c>
      <c r="B32" s="248" t="s">
        <v>102</v>
      </c>
      <c r="C32" s="248"/>
      <c r="D32" s="248"/>
      <c r="E32" s="248"/>
      <c r="F32" s="248"/>
      <c r="G32" s="248"/>
      <c r="H32" s="248"/>
      <c r="I32" s="248"/>
      <c r="J32" s="248"/>
      <c r="K32" s="249"/>
    </row>
    <row r="33" ht="24.95" customHeight="1">
      <c r="A33" s="247">
        <v>4</v>
      </c>
      <c r="B33" s="248" t="s">
        <v>103</v>
      </c>
      <c r="C33" s="248"/>
      <c r="D33" s="248"/>
      <c r="E33" s="248"/>
      <c r="F33" s="248"/>
      <c r="G33" s="248"/>
      <c r="H33" s="248"/>
      <c r="I33" s="248"/>
      <c r="J33" s="248"/>
      <c r="K33" s="249"/>
    </row>
    <row r="34" ht="24.95" customHeight="1">
      <c r="A34" s="227" t="s">
        <v>104</v>
      </c>
      <c r="B34" s="250" t="s">
        <v>105</v>
      </c>
      <c r="C34" s="251"/>
      <c r="D34" s="251"/>
      <c r="E34" s="251"/>
      <c r="F34" s="252"/>
      <c r="G34" s="250" t="s">
        <v>106</v>
      </c>
      <c r="H34" s="251"/>
      <c r="I34" s="251"/>
      <c r="J34" s="251"/>
      <c r="K34" s="252"/>
    </row>
    <row r="35" ht="24.95" customHeight="1">
      <c r="A35" s="253"/>
      <c r="B35" s="254"/>
      <c r="C35" s="254"/>
      <c r="D35" s="254"/>
      <c r="E35" s="254"/>
      <c r="F35" s="254"/>
      <c r="G35" s="254"/>
      <c r="H35" s="254"/>
      <c r="I35" s="254"/>
      <c r="J35" s="254"/>
      <c r="K35" s="255"/>
    </row>
    <row r="36" ht="24.95" customHeight="1">
      <c r="A36" s="256"/>
      <c r="B36" s="257"/>
      <c r="C36" s="257"/>
      <c r="D36" s="257"/>
      <c r="E36" s="257"/>
      <c r="F36" s="257"/>
      <c r="G36" s="257"/>
      <c r="H36" s="257"/>
      <c r="I36" s="257"/>
      <c r="J36" s="257"/>
      <c r="K36" s="258"/>
    </row>
    <row r="37" ht="24.95" customHeight="1">
      <c r="A37" s="227" t="s">
        <v>107</v>
      </c>
      <c r="B37" s="259" t="s">
        <v>108</v>
      </c>
      <c r="C37" s="260"/>
      <c r="D37" s="260"/>
      <c r="E37" s="260"/>
      <c r="F37" s="261"/>
      <c r="G37" s="259" t="s">
        <v>109</v>
      </c>
      <c r="H37" s="260"/>
      <c r="I37" s="260"/>
      <c r="J37" s="260"/>
      <c r="K37" s="261"/>
    </row>
    <row r="38" ht="24.95" customHeight="1">
      <c r="A38" s="227" t="s">
        <v>110</v>
      </c>
      <c r="B38" s="262">
        <f>'Working Sheet'!B5</f>
        <v>45964</v>
      </c>
      <c r="C38" s="263"/>
      <c r="D38" s="263"/>
      <c r="E38" s="263"/>
      <c r="F38" s="264"/>
      <c r="G38" s="250" t="s">
        <v>111</v>
      </c>
      <c r="H38" s="251"/>
      <c r="I38" s="251"/>
      <c r="J38" s="251"/>
      <c r="K38" s="252"/>
    </row>
    <row r="39" ht="24.75" customHeight="1"/>
    <row r="47" ht="14.25">
      <c r="J47" s="265"/>
    </row>
    <row r="48" ht="14.25" s="196" customFormat="1">
      <c r="L48"/>
    </row>
  </sheetData>
  <sheetProtection/>
  <mergeCells>
    <mergeCell ref="A9:K9"/>
    <mergeCell ref="A10:K10"/>
    <mergeCell ref="A11:E11"/>
    <mergeCell ref="F11:K11"/>
    <mergeCell ref="A12:E12"/>
    <mergeCell ref="F12:K12"/>
    <mergeCell ref="A13:E13"/>
    <mergeCell ref="F13:K13"/>
    <mergeCell ref="A14:E14"/>
    <mergeCell ref="F14:K14"/>
    <mergeCell ref="A15:E15"/>
    <mergeCell ref="F15:K15"/>
    <mergeCell ref="A16:E16"/>
    <mergeCell ref="F16:K16"/>
    <mergeCell ref="A17:E17"/>
    <mergeCell ref="F17:K17"/>
    <mergeCell ref="A18:E18"/>
    <mergeCell ref="F18:K18"/>
    <mergeCell ref="A19:K19"/>
    <mergeCell ref="B20:E20"/>
    <mergeCell ref="F20:G20"/>
    <mergeCell ref="H20:I20"/>
    <mergeCell ref="J20:K20"/>
    <mergeCell ref="B21:E21"/>
    <mergeCell ref="F21:G21"/>
    <mergeCell ref="H21:I21"/>
    <mergeCell ref="J21:K21"/>
    <mergeCell ref="J25:K25"/>
    <mergeCell ref="B22:E22"/>
    <mergeCell ref="F22:G22"/>
    <mergeCell ref="H22:I22"/>
    <mergeCell ref="J22:K22"/>
    <mergeCell ref="B23:E23"/>
    <mergeCell ref="F23:G23"/>
    <mergeCell ref="H23:I23"/>
    <mergeCell ref="J23:K23"/>
    <mergeCell ref="H27:I27"/>
    <mergeCell ref="J27:K27"/>
    <mergeCell ref="B28:E28"/>
    <mergeCell ref="B24:E24"/>
    <mergeCell ref="F24:G24"/>
    <mergeCell ref="H24:I24"/>
    <mergeCell ref="J24:K24"/>
    <mergeCell ref="B25:E25"/>
    <mergeCell ref="F25:G25"/>
    <mergeCell ref="H25:I25"/>
    <mergeCell ref="B32:K32"/>
    <mergeCell ref="B33:K33"/>
    <mergeCell ref="B34:F34"/>
    <mergeCell ref="B26:E26"/>
    <mergeCell ref="F26:G26"/>
    <mergeCell ref="H26:I26"/>
    <mergeCell ref="J26:K26"/>
    <mergeCell ref="G34:K34"/>
    <mergeCell ref="B27:E27"/>
    <mergeCell ref="F27:G27"/>
    <mergeCell ref="F28:G28"/>
    <mergeCell ref="H28:I28"/>
    <mergeCell ref="J28:K28"/>
    <mergeCell ref="B37:F37"/>
    <mergeCell ref="G37:K37"/>
    <mergeCell ref="B38:F38"/>
    <mergeCell ref="G38:K38"/>
    <mergeCell ref="A29:K29"/>
    <mergeCell ref="B30:K30"/>
    <mergeCell ref="B31:K31"/>
  </mergeCells>
  <printOptions horizontalCentered="1"/>
  <pageMargins left="0.236220472440945" right="0.236220472440945" top="0.748031496062992" bottom="0.748031496062992" header="0.31496062992126" footer="0.31496062992126"/>
  <pageSetup orientation="portrait" paperSize="9" scale="77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13D8BD99-396B-488B-8DD3-69AEDECB03AB}">
  <dimension ref="A1:P79"/>
  <sheetViews>
    <sheetView view="pageBreakPreview" zoomScale="114" zoomScaleNormal="102" zoomScaleSheetLayoutView="114" workbookViewId="0" topLeftCell="A43">
      <selection pane="topLeft" activeCell="E3" sqref="E3:M3"/>
    </sheetView>
  </sheetViews>
  <sheetFormatPr defaultRowHeight="12.75"/>
  <cols>
    <col min="1" max="1" width="5.57142857142857" customWidth="1"/>
    <col min="2" max="2" width="8.71428571428571" customWidth="1"/>
    <col min="3" max="3" width="31.4285714285714" customWidth="1"/>
    <col min="4" max="4" width="5.57142857142857" customWidth="1"/>
    <col min="5" max="6" width="10.5714285714286" customWidth="1"/>
    <col min="7" max="7" bestFit="1" width="13.5714285714286" customWidth="1"/>
    <col min="8" max="8" width="10.5714285714286" customWidth="1"/>
    <col min="9" max="9" width="10.8571428571429" customWidth="1"/>
    <col min="10" max="10" bestFit="1" width="12.8571428571429" customWidth="1" style="266"/>
    <col min="11" max="11" bestFit="1" width="12.1428571428571" customWidth="1"/>
    <col min="12" max="13" width="10.5714285714286" customWidth="1"/>
    <col min="14" max="14" bestFit="1" width="10.5714285714286" customWidth="1"/>
    <col min="15" max="15" width="15.4285714285714" customWidth="1"/>
    <col min="16" max="16" bestFit="1" width="12.4285714285714" customWidth="1"/>
  </cols>
  <sheetData>
    <row r="1" ht="12.75">
      <c r="A1" s="267" t="s">
        <v>112</v>
      </c>
      <c r="B1" s="268"/>
      <c r="C1" s="268"/>
      <c r="D1" s="268"/>
      <c r="E1" s="268"/>
      <c r="F1" s="268"/>
      <c r="G1" s="268"/>
      <c r="H1" s="268"/>
      <c r="I1" s="268"/>
      <c r="J1" s="268"/>
      <c r="K1" s="268"/>
      <c r="L1" s="268"/>
      <c r="M1" s="269"/>
    </row>
    <row r="2" ht="12.75">
      <c r="A2" s="270" t="s">
        <v>6</v>
      </c>
      <c r="B2" s="270"/>
      <c r="C2" s="270"/>
      <c r="D2" s="271" t="s">
        <v>113</v>
      </c>
      <c r="E2" s="270" t="str">
        <f>'Working Sheet'!B3</f>
        <v>SSI/1183</v>
      </c>
      <c r="F2" s="270"/>
      <c r="G2" s="270"/>
      <c r="H2" s="270"/>
      <c r="I2" s="270"/>
      <c r="J2" s="270"/>
      <c r="K2" s="270"/>
      <c r="L2" s="270"/>
      <c r="M2" s="270"/>
    </row>
    <row r="3" ht="12.75">
      <c r="A3" s="270" t="s">
        <v>7</v>
      </c>
      <c r="B3" s="270"/>
      <c r="C3" s="270"/>
      <c r="D3" s="271" t="s">
        <v>113</v>
      </c>
      <c r="E3" s="272">
        <f>'Working Sheet'!B5</f>
        <v>45964</v>
      </c>
      <c r="F3" s="272"/>
      <c r="G3" s="272"/>
      <c r="H3" s="272"/>
      <c r="I3" s="272"/>
      <c r="J3" s="272"/>
      <c r="K3" s="272"/>
      <c r="L3" s="272"/>
      <c r="M3" s="272"/>
    </row>
    <row r="4" ht="12.75">
      <c r="A4" s="270" t="s">
        <v>114</v>
      </c>
      <c r="B4" s="270"/>
      <c r="C4" s="270"/>
      <c r="D4" s="271" t="s">
        <v>113</v>
      </c>
      <c r="E4" s="270" t="str">
        <f>'Working Sheet'!B2</f>
        <v>01 Oct 2025 To 31 Oct 2025</v>
      </c>
      <c r="F4" s="270"/>
      <c r="G4" s="270"/>
      <c r="H4" s="270"/>
      <c r="I4" s="270"/>
      <c r="J4" s="270"/>
      <c r="K4" s="270"/>
      <c r="L4" s="270"/>
      <c r="M4" s="270"/>
    </row>
    <row r="5" ht="12.75">
      <c r="A5" s="270" t="s">
        <v>115</v>
      </c>
      <c r="B5" s="270"/>
      <c r="C5" s="270"/>
      <c r="D5" s="271" t="s">
        <v>113</v>
      </c>
      <c r="E5" s="270" t="s">
        <v>17</v>
      </c>
      <c r="F5" s="270"/>
      <c r="G5" s="270"/>
      <c r="H5" s="270"/>
      <c r="I5" s="270"/>
      <c r="J5" s="270"/>
      <c r="K5" s="270"/>
      <c r="L5" s="270"/>
      <c r="M5" s="270"/>
    </row>
    <row r="6" ht="12.75">
      <c r="A6" s="270" t="s">
        <v>116</v>
      </c>
      <c r="B6" s="270"/>
      <c r="C6" s="270"/>
      <c r="D6" s="271" t="s">
        <v>113</v>
      </c>
      <c r="E6" s="273">
        <v>45080</v>
      </c>
      <c r="F6" s="273"/>
      <c r="G6" s="273"/>
      <c r="H6" s="273"/>
      <c r="I6" s="273"/>
      <c r="J6" s="273"/>
      <c r="K6" s="273"/>
      <c r="L6" s="273"/>
      <c r="M6" s="273"/>
    </row>
    <row r="7" ht="12.75">
      <c r="A7" s="270" t="s">
        <v>117</v>
      </c>
      <c r="B7" s="270"/>
      <c r="C7" s="270"/>
      <c r="D7" s="271" t="s">
        <v>113</v>
      </c>
      <c r="E7" s="270" t="s">
        <v>118</v>
      </c>
      <c r="F7" s="270"/>
      <c r="G7" s="270"/>
      <c r="H7" s="270"/>
      <c r="I7" s="270"/>
      <c r="J7" s="270"/>
      <c r="K7" s="270"/>
      <c r="L7" s="270"/>
      <c r="M7" s="270"/>
    </row>
    <row r="8" ht="12.75">
      <c r="A8" s="270" t="s">
        <v>119</v>
      </c>
      <c r="B8" s="270"/>
      <c r="C8" s="270"/>
      <c r="D8" s="271" t="s">
        <v>113</v>
      </c>
      <c r="E8" s="270">
        <v>101065975</v>
      </c>
      <c r="F8" s="270"/>
      <c r="G8" s="270"/>
      <c r="H8" s="270"/>
      <c r="I8" s="270"/>
      <c r="J8" s="270"/>
      <c r="K8" s="270"/>
      <c r="L8" s="270"/>
      <c r="M8" s="270"/>
    </row>
    <row r="9" ht="12.75">
      <c r="A9" s="274" t="s">
        <v>120</v>
      </c>
      <c r="B9" s="275"/>
      <c r="C9" s="275"/>
      <c r="D9" s="275"/>
      <c r="E9" s="275"/>
      <c r="F9" s="275"/>
      <c r="G9" s="275"/>
      <c r="H9" s="275"/>
      <c r="I9" s="275"/>
      <c r="J9" s="275"/>
      <c r="K9" s="275"/>
      <c r="L9" s="275"/>
      <c r="M9" s="276"/>
    </row>
    <row r="10" ht="26.1" customHeight="1">
      <c r="A10" s="277" t="s">
        <v>121</v>
      </c>
      <c r="B10" s="278" t="s">
        <v>122</v>
      </c>
      <c r="C10" s="278" t="s">
        <v>123</v>
      </c>
      <c r="D10" s="279" t="s">
        <v>124</v>
      </c>
      <c r="E10" s="280"/>
      <c r="F10" s="280"/>
      <c r="G10" s="281"/>
      <c r="H10" s="282" t="s">
        <v>125</v>
      </c>
      <c r="I10" s="283"/>
      <c r="J10" s="282" t="s">
        <v>126</v>
      </c>
      <c r="K10" s="283"/>
      <c r="L10" s="284" t="s">
        <v>127</v>
      </c>
      <c r="M10" s="283"/>
    </row>
    <row r="11" ht="22.5">
      <c r="A11" s="285"/>
      <c r="B11" s="286"/>
      <c r="C11" s="286"/>
      <c r="D11" s="286" t="s">
        <v>128</v>
      </c>
      <c r="E11" s="287" t="s">
        <v>129</v>
      </c>
      <c r="F11" s="287" t="s">
        <v>130</v>
      </c>
      <c r="G11" s="288" t="s">
        <v>131</v>
      </c>
      <c r="H11" s="287" t="s">
        <v>129</v>
      </c>
      <c r="I11" s="287" t="s">
        <v>44</v>
      </c>
      <c r="J11" s="289" t="s">
        <v>129</v>
      </c>
      <c r="K11" s="287" t="s">
        <v>44</v>
      </c>
      <c r="L11" s="287" t="s">
        <v>129</v>
      </c>
      <c r="M11" s="290" t="s">
        <v>44</v>
      </c>
    </row>
    <row r="12" ht="12.75">
      <c r="A12" s="291">
        <v>29</v>
      </c>
      <c r="B12" s="292">
        <v>10</v>
      </c>
      <c r="C12" s="293" t="s">
        <v>132</v>
      </c>
      <c r="D12" s="292"/>
      <c r="E12" s="294"/>
      <c r="F12" s="294"/>
      <c r="G12" s="295"/>
      <c r="H12" s="294"/>
      <c r="I12" s="296"/>
      <c r="J12" s="297"/>
      <c r="K12" s="294"/>
      <c r="L12" s="294"/>
      <c r="M12" s="298"/>
    </row>
    <row r="13" ht="12.75">
      <c r="A13" s="299"/>
      <c r="B13" s="299">
        <v>20</v>
      </c>
      <c r="C13" s="300" t="s">
        <v>133</v>
      </c>
      <c r="D13" s="301" t="s">
        <v>67</v>
      </c>
      <c r="E13" s="301">
        <v>18</v>
      </c>
      <c r="F13" s="302">
        <v>18200</v>
      </c>
      <c r="G13" s="303">
        <f>E13*F13</f>
        <v>327600</v>
      </c>
      <c r="H13" s="304">
        <v>0</v>
      </c>
      <c r="I13" s="304">
        <f>H13*F13</f>
        <v>0</v>
      </c>
      <c r="J13" s="305">
        <f>ROUND(MB!$E$52,3)</f>
        <v>6</v>
      </c>
      <c r="K13" s="306">
        <f>J13*F13</f>
        <v>109200</v>
      </c>
      <c r="L13" s="304">
        <f>H13+J13</f>
        <v>6</v>
      </c>
      <c r="M13" s="307">
        <f>L13*F13</f>
        <v>109200</v>
      </c>
      <c r="P13" s="308"/>
    </row>
    <row r="14" ht="12.75">
      <c r="A14" s="292"/>
      <c r="B14" s="292">
        <v>30</v>
      </c>
      <c r="C14" s="309" t="s">
        <v>134</v>
      </c>
      <c r="D14" s="291" t="s">
        <v>67</v>
      </c>
      <c r="E14" s="301">
        <v>18</v>
      </c>
      <c r="F14" s="291">
        <v>0.01</v>
      </c>
      <c r="G14" s="303">
        <f>E14*F14</f>
        <v>0.18</v>
      </c>
      <c r="H14" s="304">
        <v>0</v>
      </c>
      <c r="I14" s="304">
        <f>H14*F14</f>
        <v>0</v>
      </c>
      <c r="J14" s="305">
        <f>ROUND(MB!$E$52,3)</f>
        <v>6</v>
      </c>
      <c r="K14" s="306">
        <f>J14*F14</f>
        <v>0.06</v>
      </c>
      <c r="L14" s="304">
        <f ref="L14:L45" t="shared" si="0">H14+J14</f>
        <v>6</v>
      </c>
      <c r="M14" s="307">
        <f ref="M14:M45" t="shared" si="1">L14*F14</f>
        <v>0.06</v>
      </c>
      <c r="P14" s="308"/>
    </row>
    <row r="15" ht="12.75">
      <c r="A15" s="299"/>
      <c r="B15" s="299">
        <v>40</v>
      </c>
      <c r="C15" s="310" t="s">
        <v>135</v>
      </c>
      <c r="D15" s="301" t="s">
        <v>67</v>
      </c>
      <c r="E15" s="301">
        <v>18</v>
      </c>
      <c r="F15" s="303">
        <v>1455.96</v>
      </c>
      <c r="G15" s="303">
        <f>E15*F15</f>
        <v>26207.28</v>
      </c>
      <c r="H15" s="304">
        <v>0</v>
      </c>
      <c r="I15" s="304">
        <f>H15*F15</f>
        <v>0</v>
      </c>
      <c r="J15" s="305">
        <v>6</v>
      </c>
      <c r="K15" s="306">
        <f ref="K15:K45" t="shared" si="2">J15*F15</f>
        <v>8735.76</v>
      </c>
      <c r="L15" s="304">
        <f t="shared" si="0"/>
        <v>6</v>
      </c>
      <c r="M15" s="307">
        <f t="shared" si="1"/>
        <v>8735.76</v>
      </c>
      <c r="O15" s="233"/>
      <c r="P15" s="308"/>
    </row>
    <row r="16" ht="12.75">
      <c r="A16" s="299"/>
      <c r="B16" s="299"/>
      <c r="C16" s="310"/>
      <c r="D16" s="301"/>
      <c r="E16" s="311"/>
      <c r="F16" s="311"/>
      <c r="G16" s="302"/>
      <c r="H16" s="304"/>
      <c r="I16" s="304"/>
      <c r="J16" s="312" t="s">
        <v>136</v>
      </c>
      <c r="K16" s="313">
        <f>SUM(K13:K15)</f>
        <v>117935.81999999999</v>
      </c>
      <c r="L16" s="304"/>
      <c r="M16" s="307"/>
      <c r="O16" s="233"/>
      <c r="P16" s="308"/>
    </row>
    <row r="17" ht="12.75">
      <c r="A17" s="314">
        <v>30</v>
      </c>
      <c r="B17" s="315">
        <v>10</v>
      </c>
      <c r="C17" s="316" t="s">
        <v>137</v>
      </c>
      <c r="D17" s="317"/>
      <c r="E17" s="317"/>
      <c r="F17" s="318"/>
      <c r="G17" s="319"/>
      <c r="H17" s="320"/>
      <c r="I17" s="304"/>
      <c r="J17" s="321"/>
      <c r="K17" s="322"/>
      <c r="L17" s="304"/>
      <c r="M17" s="307"/>
      <c r="P17" s="308"/>
    </row>
    <row r="18" ht="12.75">
      <c r="A18" s="299"/>
      <c r="B18" s="323">
        <v>20</v>
      </c>
      <c r="C18" s="300" t="s">
        <v>133</v>
      </c>
      <c r="D18" s="301" t="s">
        <v>67</v>
      </c>
      <c r="E18" s="301">
        <v>18</v>
      </c>
      <c r="F18" s="302">
        <v>18200</v>
      </c>
      <c r="G18" s="303">
        <f>E18*F18</f>
        <v>327600</v>
      </c>
      <c r="H18" s="324">
        <v>0</v>
      </c>
      <c r="I18" s="304">
        <f>H18*F18</f>
        <v>0</v>
      </c>
      <c r="J18" s="325">
        <f>ROUND(MB!$E$53,3)</f>
        <v>5.962</v>
      </c>
      <c r="K18" s="322">
        <f t="shared" si="2"/>
        <v>108508.4</v>
      </c>
      <c r="L18" s="326">
        <f t="shared" si="0"/>
        <v>5.962</v>
      </c>
      <c r="M18" s="307">
        <f t="shared" si="1"/>
        <v>108508.4</v>
      </c>
      <c r="O18" s="233"/>
      <c r="P18" s="308"/>
    </row>
    <row r="19" ht="12.75">
      <c r="A19" s="299"/>
      <c r="B19" s="327">
        <v>30</v>
      </c>
      <c r="C19" s="309" t="s">
        <v>134</v>
      </c>
      <c r="D19" s="291" t="s">
        <v>67</v>
      </c>
      <c r="E19" s="301">
        <v>18</v>
      </c>
      <c r="F19" s="291">
        <v>0.01</v>
      </c>
      <c r="G19" s="303">
        <f>E19*F19</f>
        <v>0.18</v>
      </c>
      <c r="H19" s="324">
        <v>0</v>
      </c>
      <c r="I19" s="304">
        <f>H19*F19</f>
        <v>0</v>
      </c>
      <c r="J19" s="325">
        <f>ROUND(MB!$E$53,3)</f>
        <v>5.962</v>
      </c>
      <c r="K19" s="322">
        <f t="shared" si="2"/>
        <v>0.05962</v>
      </c>
      <c r="L19" s="326">
        <f t="shared" si="0"/>
        <v>5.962</v>
      </c>
      <c r="M19" s="307">
        <f t="shared" si="1"/>
        <v>0.05962</v>
      </c>
      <c r="P19" s="308"/>
    </row>
    <row r="20" ht="12.75">
      <c r="A20" s="299"/>
      <c r="B20" s="299">
        <v>40</v>
      </c>
      <c r="C20" s="310" t="s">
        <v>135</v>
      </c>
      <c r="D20" s="301" t="s">
        <v>67</v>
      </c>
      <c r="E20" s="301">
        <v>18</v>
      </c>
      <c r="F20" s="303">
        <v>1455.96</v>
      </c>
      <c r="G20" s="303">
        <f>F20*E20</f>
        <v>26207.28</v>
      </c>
      <c r="H20" s="324">
        <v>0</v>
      </c>
      <c r="I20" s="304">
        <f>H20*F20</f>
        <v>0</v>
      </c>
      <c r="J20" s="325">
        <v>6</v>
      </c>
      <c r="K20" s="322">
        <f t="shared" si="2"/>
        <v>8735.76</v>
      </c>
      <c r="L20" s="326">
        <f t="shared" si="0"/>
        <v>6</v>
      </c>
      <c r="M20" s="307">
        <f t="shared" si="1"/>
        <v>8735.76</v>
      </c>
      <c r="P20" s="308"/>
    </row>
    <row r="21" ht="12.75">
      <c r="A21" s="299"/>
      <c r="B21" s="299"/>
      <c r="C21" s="328"/>
      <c r="D21" s="301"/>
      <c r="E21" s="301"/>
      <c r="F21" s="301"/>
      <c r="G21" s="301"/>
      <c r="H21" s="304"/>
      <c r="I21" s="304"/>
      <c r="J21" s="312" t="s">
        <v>136</v>
      </c>
      <c r="K21" s="313">
        <f>SUM(K18:K20)</f>
        <v>117244.21961999999</v>
      </c>
      <c r="L21" s="304"/>
      <c r="M21" s="307"/>
      <c r="P21" s="308"/>
    </row>
    <row r="22" ht="12.75">
      <c r="A22" s="317">
        <v>31</v>
      </c>
      <c r="B22" s="317"/>
      <c r="C22" s="329" t="s">
        <v>138</v>
      </c>
      <c r="D22" s="317"/>
      <c r="E22" s="317"/>
      <c r="F22" s="317"/>
      <c r="G22" s="317"/>
      <c r="H22" s="324"/>
      <c r="I22" s="304"/>
      <c r="J22" s="330"/>
      <c r="K22" s="322"/>
      <c r="L22" s="304"/>
      <c r="M22" s="307"/>
      <c r="P22" s="308"/>
    </row>
    <row r="23" ht="12.75">
      <c r="A23" s="299"/>
      <c r="B23" s="299">
        <v>10</v>
      </c>
      <c r="C23" s="300" t="s">
        <v>133</v>
      </c>
      <c r="D23" s="301" t="s">
        <v>67</v>
      </c>
      <c r="E23" s="301">
        <v>18</v>
      </c>
      <c r="F23" s="302">
        <v>18200</v>
      </c>
      <c r="G23" s="331">
        <f>F23*E23</f>
        <v>327600</v>
      </c>
      <c r="H23" s="304">
        <v>0</v>
      </c>
      <c r="I23" s="304">
        <f>H23*F23</f>
        <v>0</v>
      </c>
      <c r="J23" s="305">
        <f>ROUND(MB!$E$54,3)</f>
        <v>5.962</v>
      </c>
      <c r="K23" s="322">
        <f t="shared" si="2"/>
        <v>108508.4</v>
      </c>
      <c r="L23" s="304">
        <f t="shared" si="0"/>
        <v>5.962</v>
      </c>
      <c r="M23" s="307">
        <f t="shared" si="1"/>
        <v>108508.4</v>
      </c>
      <c r="P23" s="308"/>
    </row>
    <row r="24" ht="12.75">
      <c r="A24" s="292"/>
      <c r="B24" s="292">
        <v>20</v>
      </c>
      <c r="C24" s="309" t="s">
        <v>134</v>
      </c>
      <c r="D24" s="291" t="s">
        <v>67</v>
      </c>
      <c r="E24" s="291">
        <v>18</v>
      </c>
      <c r="F24" s="291">
        <v>0.01</v>
      </c>
      <c r="G24" s="331">
        <f>F24*E24</f>
        <v>0.18</v>
      </c>
      <c r="H24" s="304">
        <v>0</v>
      </c>
      <c r="I24" s="304">
        <f>H24*F24</f>
        <v>0</v>
      </c>
      <c r="J24" s="305">
        <f>ROUND(MB!$E$54,3)</f>
        <v>5.962</v>
      </c>
      <c r="K24" s="322">
        <f>J24*F24</f>
        <v>0.05962</v>
      </c>
      <c r="L24" s="304">
        <f t="shared" si="0"/>
        <v>5.962</v>
      </c>
      <c r="M24" s="307">
        <f t="shared" si="1"/>
        <v>0.05962</v>
      </c>
      <c r="P24" s="308"/>
    </row>
    <row r="25" ht="12.75">
      <c r="A25" s="299"/>
      <c r="B25" s="299">
        <v>30</v>
      </c>
      <c r="C25" s="310" t="s">
        <v>135</v>
      </c>
      <c r="D25" s="301" t="s">
        <v>67</v>
      </c>
      <c r="E25" s="301">
        <v>18</v>
      </c>
      <c r="F25" s="303">
        <v>1455.96</v>
      </c>
      <c r="G25" s="331">
        <f>F25*E25</f>
        <v>26207.28</v>
      </c>
      <c r="H25" s="304">
        <v>0</v>
      </c>
      <c r="I25" s="304">
        <f>H25*F25</f>
        <v>0</v>
      </c>
      <c r="J25" s="305">
        <v>6</v>
      </c>
      <c r="K25" s="322">
        <f t="shared" si="2"/>
        <v>8735.76</v>
      </c>
      <c r="L25" s="304">
        <f t="shared" si="0"/>
        <v>6</v>
      </c>
      <c r="M25" s="307">
        <f t="shared" si="1"/>
        <v>8735.76</v>
      </c>
      <c r="P25" s="308"/>
    </row>
    <row r="26" ht="12.75">
      <c r="A26" s="299"/>
      <c r="B26" s="299"/>
      <c r="C26" s="328"/>
      <c r="D26" s="301"/>
      <c r="E26" s="301"/>
      <c r="F26" s="301"/>
      <c r="G26" s="301"/>
      <c r="H26" s="304"/>
      <c r="I26" s="304"/>
      <c r="J26" s="312" t="s">
        <v>136</v>
      </c>
      <c r="K26" s="313">
        <f>SUM(K23:K25)</f>
        <v>117244.21961999999</v>
      </c>
      <c r="L26" s="304"/>
      <c r="M26" s="307"/>
      <c r="P26" s="308"/>
    </row>
    <row r="27" ht="12.75">
      <c r="A27" s="291">
        <v>32</v>
      </c>
      <c r="B27" s="292">
        <v>10</v>
      </c>
      <c r="C27" s="332" t="s">
        <v>139</v>
      </c>
      <c r="D27" s="291"/>
      <c r="E27" s="291"/>
      <c r="F27" s="291"/>
      <c r="G27" s="291"/>
      <c r="H27" s="333"/>
      <c r="I27" s="304"/>
      <c r="J27" s="334"/>
      <c r="K27" s="322"/>
      <c r="L27" s="304"/>
      <c r="M27" s="307"/>
      <c r="P27" s="308"/>
    </row>
    <row r="28" ht="12.75">
      <c r="A28" s="299"/>
      <c r="B28" s="299">
        <v>20</v>
      </c>
      <c r="C28" s="300" t="s">
        <v>133</v>
      </c>
      <c r="D28" s="301" t="s">
        <v>67</v>
      </c>
      <c r="E28" s="301">
        <v>12</v>
      </c>
      <c r="F28" s="302">
        <v>18200</v>
      </c>
      <c r="G28" s="301">
        <f>F28*E28</f>
        <v>218400</v>
      </c>
      <c r="H28" s="304">
        <v>0</v>
      </c>
      <c r="I28" s="304">
        <f ref="I28:I45" t="shared" si="3">H28*F28</f>
        <v>0</v>
      </c>
      <c r="J28" s="305">
        <f>ROUND(MB!$E$55,3)</f>
        <v>2.962</v>
      </c>
      <c r="K28" s="322">
        <f>J28*F28</f>
        <v>53908.4</v>
      </c>
      <c r="L28" s="304">
        <f>H28+J28</f>
        <v>2.962</v>
      </c>
      <c r="M28" s="307">
        <f>L28*F28</f>
        <v>53908.4</v>
      </c>
      <c r="P28" s="308"/>
    </row>
    <row r="29" ht="12.75">
      <c r="A29" s="292"/>
      <c r="B29" s="292">
        <v>30</v>
      </c>
      <c r="C29" s="309" t="s">
        <v>134</v>
      </c>
      <c r="D29" s="291" t="s">
        <v>67</v>
      </c>
      <c r="E29" s="291">
        <v>12</v>
      </c>
      <c r="F29" s="291">
        <v>0.01</v>
      </c>
      <c r="G29" s="301">
        <f>F29*E29</f>
        <v>0.12</v>
      </c>
      <c r="H29" s="304">
        <v>0</v>
      </c>
      <c r="I29" s="304">
        <f t="shared" si="3"/>
        <v>0</v>
      </c>
      <c r="J29" s="305">
        <f>ROUND(MB!$E$55,3)</f>
        <v>2.962</v>
      </c>
      <c r="K29" s="322">
        <f t="shared" si="2"/>
        <v>0.029620000000000004</v>
      </c>
      <c r="L29" s="304">
        <f t="shared" si="0"/>
        <v>2.962</v>
      </c>
      <c r="M29" s="307">
        <f t="shared" si="1"/>
        <v>0.029620000000000004</v>
      </c>
      <c r="P29" s="308"/>
    </row>
    <row r="30" ht="12.75">
      <c r="A30" s="299"/>
      <c r="B30" s="299">
        <v>40</v>
      </c>
      <c r="C30" s="310" t="s">
        <v>135</v>
      </c>
      <c r="D30" s="301" t="s">
        <v>67</v>
      </c>
      <c r="E30" s="301">
        <v>12</v>
      </c>
      <c r="F30" s="303">
        <v>1455.96</v>
      </c>
      <c r="G30" s="301">
        <f>F30*E30</f>
        <v>17471.52</v>
      </c>
      <c r="H30" s="304">
        <v>0</v>
      </c>
      <c r="I30" s="304">
        <f t="shared" si="3"/>
        <v>0</v>
      </c>
      <c r="J30" s="305">
        <v>4</v>
      </c>
      <c r="K30" s="322">
        <f t="shared" si="2"/>
        <v>5823.84</v>
      </c>
      <c r="L30" s="304">
        <f t="shared" si="0"/>
        <v>4</v>
      </c>
      <c r="M30" s="307">
        <f t="shared" si="1"/>
        <v>5823.84</v>
      </c>
      <c r="P30" s="308"/>
    </row>
    <row r="31" ht="12.75">
      <c r="A31" s="317"/>
      <c r="B31" s="317"/>
      <c r="C31" s="316"/>
      <c r="D31" s="301"/>
      <c r="E31" s="301"/>
      <c r="F31" s="301"/>
      <c r="G31" s="301"/>
      <c r="H31" s="304"/>
      <c r="I31" s="304">
        <f t="shared" si="3"/>
        <v>0</v>
      </c>
      <c r="J31" s="330" t="s">
        <v>136</v>
      </c>
      <c r="K31" s="313">
        <f>SUM(K28:K30)</f>
        <v>59732.26962000001</v>
      </c>
      <c r="L31" s="304"/>
      <c r="M31" s="307"/>
      <c r="P31" s="308"/>
    </row>
    <row r="32" ht="12.75">
      <c r="A32" s="314">
        <v>33</v>
      </c>
      <c r="B32" s="335">
        <v>10</v>
      </c>
      <c r="C32" s="336" t="s">
        <v>140</v>
      </c>
      <c r="D32" s="314"/>
      <c r="E32" s="314"/>
      <c r="F32" s="314"/>
      <c r="G32" s="314"/>
      <c r="H32" s="337"/>
      <c r="I32" s="304"/>
      <c r="J32" s="338"/>
      <c r="K32" s="322"/>
      <c r="L32" s="304"/>
      <c r="M32" s="307"/>
      <c r="O32" s="233"/>
      <c r="P32" s="308"/>
    </row>
    <row r="33" ht="12.75">
      <c r="A33" s="299"/>
      <c r="B33" s="299">
        <v>20</v>
      </c>
      <c r="C33" s="300" t="s">
        <v>133</v>
      </c>
      <c r="D33" s="301" t="s">
        <v>67</v>
      </c>
      <c r="E33" s="301">
        <v>6</v>
      </c>
      <c r="F33" s="301">
        <v>22346.19</v>
      </c>
      <c r="G33" s="301">
        <f>F33*E33</f>
        <v>134077.13999999998</v>
      </c>
      <c r="H33" s="304">
        <v>0</v>
      </c>
      <c r="I33" s="304">
        <f t="shared" si="3"/>
        <v>0</v>
      </c>
      <c r="J33" s="305">
        <f>ROUND(MB!$E$56,3)</f>
        <v>1.615</v>
      </c>
      <c r="K33" s="322">
        <f t="shared" si="2"/>
        <v>36089.096849999994</v>
      </c>
      <c r="L33" s="304">
        <f t="shared" si="0"/>
        <v>1.615</v>
      </c>
      <c r="M33" s="307">
        <f t="shared" si="1"/>
        <v>36089.096849999994</v>
      </c>
      <c r="O33" s="308"/>
      <c r="P33" s="308"/>
    </row>
    <row r="34" ht="12.75">
      <c r="A34" s="292"/>
      <c r="B34" s="292">
        <v>30</v>
      </c>
      <c r="C34" s="309" t="s">
        <v>134</v>
      </c>
      <c r="D34" s="291" t="s">
        <v>67</v>
      </c>
      <c r="E34" s="291">
        <v>6</v>
      </c>
      <c r="F34" s="291">
        <v>0.01</v>
      </c>
      <c r="G34" s="301">
        <f>F34*E34</f>
        <v>0.06</v>
      </c>
      <c r="H34" s="304">
        <v>0</v>
      </c>
      <c r="I34" s="304">
        <f t="shared" si="3"/>
        <v>0</v>
      </c>
      <c r="J34" s="305">
        <f>MB!$E$56</f>
        <v>1.6153846153846154</v>
      </c>
      <c r="K34" s="322">
        <f t="shared" si="2"/>
        <v>0.016153846153846154</v>
      </c>
      <c r="L34" s="304">
        <f t="shared" si="0"/>
        <v>1.6153846153846154</v>
      </c>
      <c r="M34" s="307">
        <f t="shared" si="1"/>
        <v>0.016153846153846154</v>
      </c>
      <c r="O34" s="233"/>
      <c r="P34" s="308"/>
    </row>
    <row r="35" ht="12.75">
      <c r="A35" s="299"/>
      <c r="B35" s="299">
        <v>40</v>
      </c>
      <c r="C35" s="310" t="s">
        <v>135</v>
      </c>
      <c r="D35" s="301" t="s">
        <v>67</v>
      </c>
      <c r="E35" s="301">
        <v>6</v>
      </c>
      <c r="F35" s="301">
        <v>1787.69</v>
      </c>
      <c r="G35" s="301">
        <f>F35*E35</f>
        <v>10726.14</v>
      </c>
      <c r="H35" s="304">
        <v>0</v>
      </c>
      <c r="I35" s="304">
        <f t="shared" si="3"/>
        <v>0</v>
      </c>
      <c r="J35" s="305">
        <v>1</v>
      </c>
      <c r="K35" s="322">
        <f t="shared" si="2"/>
        <v>1787.69</v>
      </c>
      <c r="L35" s="304">
        <f t="shared" si="0"/>
        <v>1</v>
      </c>
      <c r="M35" s="307">
        <f t="shared" si="1"/>
        <v>1787.69</v>
      </c>
      <c r="P35" s="308"/>
    </row>
    <row r="36" ht="12.75">
      <c r="A36" s="299"/>
      <c r="B36" s="299"/>
      <c r="C36" s="310"/>
      <c r="D36" s="301"/>
      <c r="E36" s="301"/>
      <c r="F36" s="301"/>
      <c r="G36" s="301"/>
      <c r="H36" s="304"/>
      <c r="I36" s="304">
        <f t="shared" si="3"/>
        <v>0</v>
      </c>
      <c r="J36" s="312" t="s">
        <v>136</v>
      </c>
      <c r="K36" s="313">
        <f>SUM(K33:K35)</f>
        <v>37876.80300384615</v>
      </c>
      <c r="L36" s="304"/>
      <c r="M36" s="307"/>
      <c r="P36" s="308"/>
    </row>
    <row r="37" ht="12.75">
      <c r="A37" s="291">
        <v>34</v>
      </c>
      <c r="B37" s="292">
        <v>10</v>
      </c>
      <c r="C37" s="336" t="s">
        <v>141</v>
      </c>
      <c r="D37" s="291"/>
      <c r="E37" s="291"/>
      <c r="F37" s="291"/>
      <c r="G37" s="291"/>
      <c r="H37" s="333"/>
      <c r="I37" s="304">
        <f t="shared" si="3"/>
        <v>0</v>
      </c>
      <c r="J37" s="334"/>
      <c r="K37" s="322"/>
      <c r="L37" s="304"/>
      <c r="M37" s="307"/>
      <c r="P37" s="308"/>
    </row>
    <row r="38" ht="12.75">
      <c r="A38" s="299"/>
      <c r="B38" s="299">
        <v>20</v>
      </c>
      <c r="C38" s="310" t="s">
        <v>133</v>
      </c>
      <c r="D38" s="301" t="s">
        <v>67</v>
      </c>
      <c r="E38" s="301">
        <v>6</v>
      </c>
      <c r="F38" s="302">
        <v>18200</v>
      </c>
      <c r="G38" s="301">
        <f>F38*E38</f>
        <v>109200</v>
      </c>
      <c r="H38" s="304">
        <v>0</v>
      </c>
      <c r="I38" s="304">
        <f t="shared" si="3"/>
        <v>0</v>
      </c>
      <c r="J38" s="305">
        <f>ROUND(MB!$E$57,3)</f>
        <v>2</v>
      </c>
      <c r="K38" s="322">
        <f t="shared" si="2"/>
        <v>36400</v>
      </c>
      <c r="L38" s="304">
        <f t="shared" si="0"/>
        <v>2</v>
      </c>
      <c r="M38" s="307">
        <f t="shared" si="1"/>
        <v>36400</v>
      </c>
      <c r="P38" s="308"/>
    </row>
    <row r="39" ht="12.75">
      <c r="A39" s="292"/>
      <c r="B39" s="299">
        <v>30</v>
      </c>
      <c r="C39" s="294" t="s">
        <v>134</v>
      </c>
      <c r="D39" s="291" t="s">
        <v>67</v>
      </c>
      <c r="E39" s="291">
        <v>6</v>
      </c>
      <c r="F39" s="291">
        <v>0.01</v>
      </c>
      <c r="G39" s="301">
        <f>F39*E39</f>
        <v>0.06</v>
      </c>
      <c r="H39" s="333">
        <v>0</v>
      </c>
      <c r="I39" s="304">
        <f t="shared" si="3"/>
        <v>0</v>
      </c>
      <c r="J39" s="305">
        <f>ROUND(MB!$E$57,3)</f>
        <v>2</v>
      </c>
      <c r="K39" s="322">
        <f t="shared" si="2"/>
        <v>0.02</v>
      </c>
      <c r="L39" s="304">
        <f t="shared" si="0"/>
        <v>2</v>
      </c>
      <c r="M39" s="307">
        <f t="shared" si="1"/>
        <v>0.02</v>
      </c>
      <c r="P39" s="308"/>
    </row>
    <row r="40" ht="12.75">
      <c r="A40" s="299"/>
      <c r="B40" s="299">
        <v>40</v>
      </c>
      <c r="C40" s="310" t="s">
        <v>135</v>
      </c>
      <c r="D40" s="301" t="s">
        <v>67</v>
      </c>
      <c r="E40" s="301">
        <v>6</v>
      </c>
      <c r="F40" s="303">
        <v>1455.96</v>
      </c>
      <c r="G40" s="301">
        <f>F40*E40</f>
        <v>8735.76</v>
      </c>
      <c r="H40" s="304">
        <v>0</v>
      </c>
      <c r="I40" s="304">
        <f t="shared" si="3"/>
        <v>0</v>
      </c>
      <c r="J40" s="305">
        <v>2</v>
      </c>
      <c r="K40" s="322">
        <f t="shared" si="2"/>
        <v>2911.92</v>
      </c>
      <c r="L40" s="304">
        <f t="shared" si="0"/>
        <v>2</v>
      </c>
      <c r="M40" s="307">
        <f t="shared" si="1"/>
        <v>2911.92</v>
      </c>
      <c r="P40" s="308"/>
    </row>
    <row r="41" ht="12.75">
      <c r="A41" s="299"/>
      <c r="B41" s="299"/>
      <c r="C41" s="310"/>
      <c r="D41" s="301"/>
      <c r="E41" s="301"/>
      <c r="F41" s="302"/>
      <c r="G41" s="301"/>
      <c r="H41" s="304"/>
      <c r="I41" s="304">
        <f t="shared" si="3"/>
        <v>0</v>
      </c>
      <c r="J41" s="312" t="s">
        <v>136</v>
      </c>
      <c r="K41" s="313">
        <f>SUM(K38:K40)</f>
        <v>39311.939999999995</v>
      </c>
      <c r="L41" s="304"/>
      <c r="M41" s="307"/>
      <c r="P41" s="308"/>
    </row>
    <row r="42" ht="12.75">
      <c r="A42" s="301">
        <v>35</v>
      </c>
      <c r="B42" s="299">
        <v>10</v>
      </c>
      <c r="C42" s="316" t="s">
        <v>142</v>
      </c>
      <c r="D42" s="301"/>
      <c r="E42" s="301"/>
      <c r="F42" s="302"/>
      <c r="G42" s="301"/>
      <c r="H42" s="304"/>
      <c r="I42" s="304">
        <f t="shared" si="3"/>
        <v>0</v>
      </c>
      <c r="J42" s="305"/>
      <c r="K42" s="322"/>
      <c r="L42" s="304"/>
      <c r="M42" s="307"/>
      <c r="P42" s="308"/>
    </row>
    <row r="43" ht="12.75">
      <c r="A43" s="299"/>
      <c r="B43" s="299">
        <v>20</v>
      </c>
      <c r="C43" s="310" t="s">
        <v>133</v>
      </c>
      <c r="D43" s="301" t="s">
        <v>67</v>
      </c>
      <c r="E43" s="301">
        <v>3</v>
      </c>
      <c r="F43" s="302">
        <v>24948.31</v>
      </c>
      <c r="G43" s="301">
        <f>F43*E43</f>
        <v>74844.93000000001</v>
      </c>
      <c r="H43" s="304">
        <v>0</v>
      </c>
      <c r="I43" s="304">
        <f t="shared" si="3"/>
        <v>0</v>
      </c>
      <c r="J43" s="305">
        <f>MB!$E$58</f>
        <v>1</v>
      </c>
      <c r="K43" s="322">
        <f t="shared" si="2"/>
        <v>24948.31</v>
      </c>
      <c r="L43" s="304">
        <f t="shared" si="0"/>
        <v>1</v>
      </c>
      <c r="M43" s="307">
        <f t="shared" si="1"/>
        <v>24948.31</v>
      </c>
      <c r="P43" s="308"/>
    </row>
    <row r="44" ht="12.75">
      <c r="A44" s="299"/>
      <c r="B44" s="299">
        <v>30</v>
      </c>
      <c r="C44" s="294" t="s">
        <v>134</v>
      </c>
      <c r="D44" s="291" t="s">
        <v>67</v>
      </c>
      <c r="E44" s="301">
        <v>3</v>
      </c>
      <c r="F44" s="291">
        <v>0.01</v>
      </c>
      <c r="G44" s="301">
        <f>F44*E44</f>
        <v>0.03</v>
      </c>
      <c r="H44" s="304">
        <v>0</v>
      </c>
      <c r="I44" s="304">
        <f t="shared" si="3"/>
        <v>0</v>
      </c>
      <c r="J44" s="305">
        <f>MB!$E$58</f>
        <v>1</v>
      </c>
      <c r="K44" s="322">
        <f t="shared" si="2"/>
        <v>0.01</v>
      </c>
      <c r="L44" s="304">
        <f t="shared" si="0"/>
        <v>1</v>
      </c>
      <c r="M44" s="307">
        <f t="shared" si="1"/>
        <v>0.01</v>
      </c>
      <c r="P44" s="308"/>
    </row>
    <row r="45" ht="12.75">
      <c r="A45" s="299"/>
      <c r="B45" s="299">
        <v>40</v>
      </c>
      <c r="C45" s="310" t="s">
        <v>135</v>
      </c>
      <c r="D45" s="301" t="s">
        <v>67</v>
      </c>
      <c r="E45" s="301">
        <v>3</v>
      </c>
      <c r="F45" s="302">
        <v>1995.89</v>
      </c>
      <c r="G45" s="301">
        <f>F45*E45</f>
        <v>5987.67</v>
      </c>
      <c r="H45" s="304">
        <v>0</v>
      </c>
      <c r="I45" s="304">
        <f t="shared" si="3"/>
        <v>0</v>
      </c>
      <c r="J45" s="305">
        <v>1</v>
      </c>
      <c r="K45" s="322">
        <f t="shared" si="2"/>
        <v>1995.89</v>
      </c>
      <c r="L45" s="304">
        <f t="shared" si="0"/>
        <v>1</v>
      </c>
      <c r="M45" s="307">
        <f t="shared" si="1"/>
        <v>1995.89</v>
      </c>
      <c r="P45" s="308"/>
    </row>
    <row r="46" ht="12.75">
      <c r="A46" s="299"/>
      <c r="B46" s="299"/>
      <c r="C46" s="310"/>
      <c r="D46" s="301"/>
      <c r="E46" s="301"/>
      <c r="F46" s="302"/>
      <c r="G46" s="301"/>
      <c r="H46" s="304"/>
      <c r="I46" s="304"/>
      <c r="J46" s="312" t="s">
        <v>136</v>
      </c>
      <c r="K46" s="313">
        <f>SUM(K43:K45)</f>
        <v>26944.21</v>
      </c>
      <c r="L46" s="304"/>
      <c r="M46" s="304"/>
    </row>
    <row r="47" ht="12.75">
      <c r="A47" s="339"/>
      <c r="B47" s="340" t="s">
        <v>143</v>
      </c>
      <c r="C47" s="341" t="s">
        <v>144</v>
      </c>
      <c r="D47" s="341"/>
      <c r="E47" s="341"/>
      <c r="F47" s="341"/>
      <c r="G47" s="342">
        <f>SUM(G13:G45)</f>
        <v>1640865.81</v>
      </c>
      <c r="H47" s="343" t="str">
        <f>"Claimed for "&amp;'Working Sheet'!B4&amp;" Month"</f>
        <v>Claimed for OCTOBER-2025 Month</v>
      </c>
      <c r="I47" s="343"/>
      <c r="J47" s="343"/>
      <c r="K47" s="344">
        <f>K16+K21+K26+K31+K36+K41+K46</f>
        <v>516289.48186384613</v>
      </c>
      <c r="L47" s="345" t="s">
        <v>145</v>
      </c>
      <c r="M47" s="346"/>
    </row>
    <row r="48" ht="12.75">
      <c r="A48" s="339"/>
      <c r="B48" s="340"/>
      <c r="C48" s="347" t="s">
        <v>146</v>
      </c>
      <c r="D48" s="341"/>
      <c r="E48" s="341"/>
      <c r="F48" s="341"/>
      <c r="G48" s="342">
        <f>G47*18%</f>
        <v>295355.8458</v>
      </c>
      <c r="H48" s="343"/>
      <c r="I48" s="343"/>
      <c r="J48" s="343"/>
      <c r="K48" s="344">
        <f>K47*18%</f>
        <v>92932.1067354923</v>
      </c>
      <c r="L48" s="345" t="s">
        <v>145</v>
      </c>
      <c r="M48" s="346"/>
    </row>
    <row r="49" ht="12.75">
      <c r="A49" s="339"/>
      <c r="B49" s="340"/>
      <c r="C49" s="341" t="s">
        <v>147</v>
      </c>
      <c r="D49" s="341"/>
      <c r="E49" s="341"/>
      <c r="F49" s="341"/>
      <c r="G49" s="342">
        <f>SUM(G47:G48)</f>
        <v>1936221.6558</v>
      </c>
      <c r="H49" s="343"/>
      <c r="I49" s="343"/>
      <c r="J49" s="343"/>
      <c r="K49" s="344">
        <f>SUM(K47:K48)</f>
        <v>609221.5885993384</v>
      </c>
      <c r="L49" s="345" t="s">
        <v>145</v>
      </c>
      <c r="M49" s="346"/>
    </row>
    <row r="50" ht="12.75">
      <c r="A50" s="348"/>
      <c r="B50" s="349"/>
      <c r="C50" s="350"/>
      <c r="D50" s="350"/>
      <c r="E50" s="350"/>
      <c r="F50" s="350"/>
      <c r="G50" s="351"/>
      <c r="H50" s="352"/>
      <c r="I50" s="352"/>
      <c r="J50" s="353"/>
      <c r="K50" s="354"/>
      <c r="L50" s="355"/>
      <c r="M50" s="356"/>
      <c r="N50" s="308"/>
    </row>
    <row r="51" ht="12.75" s="357" customFormat="1">
      <c r="A51" s="301">
        <v>36</v>
      </c>
      <c r="B51" s="299">
        <v>10</v>
      </c>
      <c r="C51" s="316" t="s">
        <v>148</v>
      </c>
      <c r="D51" s="301"/>
      <c r="E51" s="301"/>
      <c r="F51" s="302"/>
      <c r="G51" s="301"/>
      <c r="H51" s="304"/>
      <c r="I51" s="304"/>
      <c r="J51" s="358"/>
      <c r="K51" s="359"/>
      <c r="L51" s="304"/>
      <c r="M51" s="304"/>
    </row>
    <row r="52" ht="12.75" s="357" customFormat="1">
      <c r="A52" s="299"/>
      <c r="B52" s="299"/>
      <c r="C52" s="310" t="s">
        <v>149</v>
      </c>
      <c r="D52" s="301" t="s">
        <v>48</v>
      </c>
      <c r="E52" s="302">
        <v>1</v>
      </c>
      <c r="F52" s="302">
        <v>68736.49</v>
      </c>
      <c r="G52" s="302">
        <f>F52*E52</f>
        <v>68736.49</v>
      </c>
      <c r="H52" s="304">
        <v>43164</v>
      </c>
      <c r="I52" s="304">
        <f>H52*E52</f>
        <v>43164</v>
      </c>
      <c r="J52" s="302">
        <v>0</v>
      </c>
      <c r="K52" s="359">
        <f>J52</f>
        <v>0</v>
      </c>
      <c r="L52" s="304">
        <f>J52+H52</f>
        <v>43164</v>
      </c>
      <c r="M52" s="304">
        <f>L52*E52</f>
        <v>43164</v>
      </c>
      <c r="N52" s="360"/>
      <c r="P52" s="360"/>
    </row>
    <row r="53" ht="12.75">
      <c r="A53" s="299"/>
      <c r="B53" s="299"/>
      <c r="C53" s="310"/>
      <c r="D53" s="301"/>
      <c r="E53" s="301"/>
      <c r="F53" s="302"/>
      <c r="G53" s="301"/>
      <c r="H53" s="304"/>
      <c r="I53" s="304"/>
      <c r="J53" s="302"/>
      <c r="K53" s="359"/>
      <c r="L53" s="304"/>
      <c r="M53" s="304"/>
      <c r="P53" s="308"/>
    </row>
    <row r="54" ht="12.75">
      <c r="A54" s="301">
        <v>37</v>
      </c>
      <c r="B54" s="299">
        <v>10</v>
      </c>
      <c r="C54" s="336" t="s">
        <v>150</v>
      </c>
      <c r="D54" s="301"/>
      <c r="E54" s="301"/>
      <c r="F54" s="302"/>
      <c r="G54" s="301"/>
      <c r="H54" s="304"/>
      <c r="I54" s="304"/>
      <c r="J54" s="302"/>
      <c r="K54" s="359"/>
      <c r="L54" s="304"/>
      <c r="M54" s="304"/>
      <c r="P54" s="308"/>
    </row>
    <row r="55" ht="12.75">
      <c r="A55" s="299"/>
      <c r="B55" s="299"/>
      <c r="C55" s="310" t="s">
        <v>151</v>
      </c>
      <c r="D55" s="301" t="s">
        <v>48</v>
      </c>
      <c r="E55" s="302">
        <v>1</v>
      </c>
      <c r="F55" s="359">
        <v>52176.78</v>
      </c>
      <c r="G55" s="302">
        <f>F55*E55</f>
        <v>52176.78</v>
      </c>
      <c r="H55" s="304">
        <v>31568</v>
      </c>
      <c r="I55" s="304">
        <f>H55*E55</f>
        <v>31568</v>
      </c>
      <c r="J55" s="302">
        <v>0</v>
      </c>
      <c r="K55" s="359">
        <f>J55</f>
        <v>0</v>
      </c>
      <c r="L55" s="304">
        <f>J55+H55</f>
        <v>31568</v>
      </c>
      <c r="M55" s="304">
        <f>L55*E55</f>
        <v>31568</v>
      </c>
      <c r="P55" s="308"/>
    </row>
    <row r="56" ht="12.75" s="361" customFormat="1">
      <c r="A56" s="299"/>
      <c r="B56" s="299"/>
      <c r="C56" s="310"/>
      <c r="D56" s="301"/>
      <c r="E56" s="301"/>
      <c r="F56" s="302"/>
      <c r="G56" s="301"/>
      <c r="H56" s="304"/>
      <c r="I56" s="304"/>
      <c r="J56" s="302"/>
      <c r="K56" s="359"/>
      <c r="L56" s="304"/>
      <c r="M56" s="304"/>
      <c r="P56" s="362"/>
    </row>
    <row r="57" ht="12.75" s="361" customFormat="1">
      <c r="A57" s="301">
        <v>38</v>
      </c>
      <c r="B57" s="299"/>
      <c r="C57" s="336" t="s">
        <v>152</v>
      </c>
      <c r="D57" s="301"/>
      <c r="E57" s="301"/>
      <c r="F57" s="302"/>
      <c r="G57" s="301"/>
      <c r="H57" s="304"/>
      <c r="I57" s="304"/>
      <c r="J57" s="302"/>
      <c r="K57" s="359"/>
      <c r="L57" s="304"/>
      <c r="M57" s="304"/>
      <c r="P57" s="362"/>
    </row>
    <row r="58" ht="12.75" s="361" customFormat="1">
      <c r="A58" s="299"/>
      <c r="B58" s="299">
        <v>10</v>
      </c>
      <c r="C58" s="310" t="s">
        <v>153</v>
      </c>
      <c r="D58" s="301" t="s">
        <v>48</v>
      </c>
      <c r="E58" s="302">
        <v>1</v>
      </c>
      <c r="F58" s="359">
        <v>84080.31</v>
      </c>
      <c r="G58" s="359">
        <f>E58*F58</f>
        <v>84080.31</v>
      </c>
      <c r="H58" s="304">
        <v>53234</v>
      </c>
      <c r="I58" s="304">
        <f>H58*E58</f>
        <v>53234</v>
      </c>
      <c r="J58" s="302">
        <v>0</v>
      </c>
      <c r="K58" s="359">
        <f>J58</f>
        <v>0</v>
      </c>
      <c r="L58" s="304">
        <f>J58+H58</f>
        <v>53234</v>
      </c>
      <c r="M58" s="304">
        <f>L58*E58</f>
        <v>53234</v>
      </c>
      <c r="P58" s="362"/>
    </row>
    <row r="59" ht="12.75" s="361" customFormat="1">
      <c r="A59" s="299"/>
      <c r="B59" s="299"/>
      <c r="C59" s="310"/>
      <c r="D59" s="301"/>
      <c r="E59" s="301"/>
      <c r="F59" s="302"/>
      <c r="G59" s="301"/>
      <c r="H59" s="304"/>
      <c r="I59" s="304"/>
      <c r="J59" s="302"/>
      <c r="K59" s="359"/>
      <c r="L59" s="304"/>
      <c r="M59" s="304"/>
      <c r="P59" s="362"/>
    </row>
    <row r="60" ht="12.75" s="361" customFormat="1">
      <c r="A60" s="301">
        <v>39</v>
      </c>
      <c r="B60" s="299"/>
      <c r="C60" s="336" t="s">
        <v>154</v>
      </c>
      <c r="D60" s="301"/>
      <c r="E60" s="301"/>
      <c r="F60" s="302"/>
      <c r="G60" s="301"/>
      <c r="H60" s="304"/>
      <c r="I60" s="304"/>
      <c r="J60" s="302"/>
      <c r="K60" s="359"/>
      <c r="L60" s="304"/>
      <c r="M60" s="304"/>
      <c r="P60" s="362"/>
    </row>
    <row r="61" ht="12.75" s="361" customFormat="1">
      <c r="A61" s="299"/>
      <c r="B61" s="299">
        <v>10</v>
      </c>
      <c r="C61" s="310" t="s">
        <v>155</v>
      </c>
      <c r="D61" s="301" t="s">
        <v>48</v>
      </c>
      <c r="E61" s="302">
        <v>1</v>
      </c>
      <c r="F61" s="359">
        <v>32365.84</v>
      </c>
      <c r="G61" s="359">
        <f>E61*F61</f>
        <v>32365.84</v>
      </c>
      <c r="H61" s="304">
        <v>17298</v>
      </c>
      <c r="I61" s="304">
        <f>H61*E61</f>
        <v>17298</v>
      </c>
      <c r="J61" s="302">
        <v>0</v>
      </c>
      <c r="K61" s="359">
        <f>J61</f>
        <v>0</v>
      </c>
      <c r="L61" s="304">
        <f>J61+H61</f>
        <v>17298</v>
      </c>
      <c r="M61" s="304">
        <f>L61*E61</f>
        <v>17298</v>
      </c>
      <c r="P61" s="362"/>
    </row>
    <row r="62" ht="12.75" s="361" customFormat="1">
      <c r="A62" s="299"/>
      <c r="B62" s="299"/>
      <c r="C62" s="310"/>
      <c r="D62" s="301"/>
      <c r="E62" s="301"/>
      <c r="F62" s="302"/>
      <c r="G62" s="301"/>
      <c r="H62" s="304"/>
      <c r="I62" s="304"/>
      <c r="J62" s="302"/>
      <c r="K62" s="359"/>
      <c r="L62" s="304"/>
      <c r="M62" s="304"/>
      <c r="P62" s="362"/>
    </row>
    <row r="63" ht="12.75" s="361" customFormat="1">
      <c r="A63" s="301">
        <v>40</v>
      </c>
      <c r="B63" s="299"/>
      <c r="C63" s="336" t="s">
        <v>156</v>
      </c>
      <c r="D63" s="301"/>
      <c r="E63" s="301"/>
      <c r="F63" s="302"/>
      <c r="G63" s="301"/>
      <c r="H63" s="304"/>
      <c r="I63" s="304"/>
      <c r="J63" s="302"/>
      <c r="K63" s="359"/>
      <c r="L63" s="304"/>
      <c r="M63" s="304"/>
      <c r="P63" s="362"/>
    </row>
    <row r="64" ht="12.75" s="361" customFormat="1">
      <c r="A64" s="299"/>
      <c r="B64" s="299">
        <v>10</v>
      </c>
      <c r="C64" s="310" t="s">
        <v>157</v>
      </c>
      <c r="D64" s="301" t="s">
        <v>48</v>
      </c>
      <c r="E64" s="302">
        <v>1</v>
      </c>
      <c r="F64" s="359">
        <v>42965.29</v>
      </c>
      <c r="G64" s="359">
        <f>F64*E64</f>
        <v>42965.29</v>
      </c>
      <c r="H64" s="304">
        <v>25336.08</v>
      </c>
      <c r="I64" s="304">
        <f>H64*E64</f>
        <v>25336.08</v>
      </c>
      <c r="J64" s="302">
        <v>0</v>
      </c>
      <c r="K64" s="359">
        <f>J64</f>
        <v>0</v>
      </c>
      <c r="L64" s="304">
        <f>J64+H64</f>
        <v>25336.08</v>
      </c>
      <c r="M64" s="304">
        <f>L64*E64</f>
        <v>25336.08</v>
      </c>
      <c r="P64" s="362"/>
    </row>
    <row r="65" ht="12.75" s="361" customFormat="1">
      <c r="A65" s="299"/>
      <c r="B65" s="299"/>
      <c r="C65" s="336"/>
      <c r="D65" s="301"/>
      <c r="E65" s="301"/>
      <c r="F65" s="302"/>
      <c r="G65" s="301"/>
      <c r="H65" s="304"/>
      <c r="I65" s="304"/>
      <c r="J65" s="302"/>
      <c r="K65" s="359"/>
      <c r="L65" s="304"/>
      <c r="M65" s="304"/>
      <c r="P65" s="362"/>
    </row>
    <row r="66" ht="12.75" s="361" customFormat="1">
      <c r="A66" s="301">
        <v>41</v>
      </c>
      <c r="B66" s="299"/>
      <c r="C66" s="336" t="s">
        <v>158</v>
      </c>
      <c r="D66" s="301"/>
      <c r="E66" s="301"/>
      <c r="F66" s="302"/>
      <c r="G66" s="301"/>
      <c r="H66" s="304"/>
      <c r="I66" s="304"/>
      <c r="J66" s="302"/>
      <c r="K66" s="359"/>
      <c r="L66" s="304"/>
      <c r="M66" s="304"/>
      <c r="P66" s="362"/>
    </row>
    <row r="67" ht="12.75" s="361" customFormat="1">
      <c r="A67" s="299"/>
      <c r="B67" s="299">
        <v>10</v>
      </c>
      <c r="C67" s="310" t="s">
        <v>159</v>
      </c>
      <c r="D67" s="301" t="s">
        <v>48</v>
      </c>
      <c r="E67" s="302">
        <v>1</v>
      </c>
      <c r="F67" s="359">
        <v>29821.46</v>
      </c>
      <c r="G67" s="302">
        <f>F67*E67</f>
        <v>29821.46</v>
      </c>
      <c r="H67" s="304">
        <v>282394</v>
      </c>
      <c r="I67" s="304">
        <f>H67*E67</f>
        <v>282394</v>
      </c>
      <c r="J67" s="302">
        <v>0</v>
      </c>
      <c r="K67" s="359">
        <f>J67</f>
        <v>0</v>
      </c>
      <c r="L67" s="304">
        <f>J67+H67</f>
        <v>282394</v>
      </c>
      <c r="M67" s="304">
        <f>L67*E67</f>
        <v>282394</v>
      </c>
      <c r="P67" s="362"/>
    </row>
    <row r="68" ht="12.75">
      <c r="A68" s="339"/>
      <c r="B68" s="340" t="s">
        <v>143</v>
      </c>
      <c r="C68" s="363" t="s">
        <v>160</v>
      </c>
      <c r="D68" s="363"/>
      <c r="E68" s="363"/>
      <c r="F68" s="363"/>
      <c r="G68" s="342">
        <f>SUM(G52:G67)</f>
        <v>310146.17000000004</v>
      </c>
      <c r="H68" s="343" t="s">
        <v>145</v>
      </c>
      <c r="I68" s="343"/>
      <c r="J68" s="343"/>
      <c r="K68" s="344">
        <f>K52+K55+K58+K61+K64+K67</f>
        <v>0</v>
      </c>
      <c r="L68" s="345" t="s">
        <v>145</v>
      </c>
      <c r="M68" s="346"/>
      <c r="P68" s="308"/>
    </row>
    <row r="69" ht="12.75">
      <c r="A69" s="339"/>
      <c r="B69" s="340"/>
      <c r="C69" s="347" t="s">
        <v>161</v>
      </c>
      <c r="D69" s="363"/>
      <c r="E69" s="363"/>
      <c r="F69" s="363"/>
      <c r="G69" s="342">
        <f>G68*0%</f>
        <v>0</v>
      </c>
      <c r="H69" s="343"/>
      <c r="I69" s="343"/>
      <c r="J69" s="343"/>
      <c r="K69" s="344">
        <f>K68*0%</f>
        <v>0</v>
      </c>
      <c r="L69" s="345" t="s">
        <v>145</v>
      </c>
      <c r="M69" s="346"/>
      <c r="P69" s="308"/>
    </row>
    <row r="70" ht="12.75">
      <c r="A70" s="339"/>
      <c r="B70" s="340"/>
      <c r="C70" s="363" t="s">
        <v>147</v>
      </c>
      <c r="D70" s="363"/>
      <c r="E70" s="363"/>
      <c r="F70" s="363"/>
      <c r="G70" s="342">
        <f>SUM(G68:G69)</f>
        <v>310146.17000000004</v>
      </c>
      <c r="H70" s="343"/>
      <c r="I70" s="343"/>
      <c r="J70" s="343"/>
      <c r="K70" s="344">
        <f>SUM(K68:K69)</f>
        <v>0</v>
      </c>
      <c r="L70" s="345" t="s">
        <v>145</v>
      </c>
      <c r="M70" s="346"/>
      <c r="P70" s="308"/>
    </row>
    <row r="71" ht="12.75">
      <c r="A71" s="348"/>
      <c r="B71" s="364"/>
      <c r="C71" s="365"/>
      <c r="D71" s="350"/>
      <c r="E71" s="350"/>
      <c r="F71" s="351"/>
      <c r="G71" s="350"/>
      <c r="H71" s="366"/>
      <c r="I71" s="366"/>
      <c r="J71" s="367"/>
      <c r="K71" s="366"/>
      <c r="L71" s="366"/>
      <c r="M71" s="356"/>
      <c r="P71" s="308"/>
    </row>
    <row r="72" ht="12.75">
      <c r="A72" s="301">
        <v>28</v>
      </c>
      <c r="B72" s="299"/>
      <c r="C72" s="316" t="s">
        <v>162</v>
      </c>
      <c r="D72" s="301"/>
      <c r="E72" s="301"/>
      <c r="F72" s="302"/>
      <c r="G72" s="301"/>
      <c r="H72" s="304"/>
      <c r="I72" s="304"/>
      <c r="J72" s="358"/>
      <c r="K72" s="304"/>
      <c r="L72" s="304"/>
      <c r="M72" s="304"/>
      <c r="P72" s="308"/>
    </row>
    <row r="73" ht="12.75">
      <c r="A73" s="299"/>
      <c r="B73" s="299">
        <v>10</v>
      </c>
      <c r="C73" s="368" t="s">
        <v>163</v>
      </c>
      <c r="D73" s="301" t="s">
        <v>48</v>
      </c>
      <c r="E73" s="302">
        <v>1</v>
      </c>
      <c r="F73" s="359">
        <v>42218</v>
      </c>
      <c r="G73" s="302">
        <f>F73*E73</f>
        <v>42218</v>
      </c>
      <c r="H73" s="304">
        <v>20012</v>
      </c>
      <c r="I73" s="304">
        <v>20012</v>
      </c>
      <c r="J73" s="305">
        <v>0</v>
      </c>
      <c r="K73" s="322">
        <v>0</v>
      </c>
      <c r="L73" s="304">
        <f>J73+H73</f>
        <v>20012</v>
      </c>
      <c r="M73" s="304">
        <f>L73*E73</f>
        <v>20012</v>
      </c>
      <c r="P73" s="308"/>
    </row>
    <row r="74" ht="12.75">
      <c r="A74" s="369"/>
      <c r="B74" s="370" t="s">
        <v>143</v>
      </c>
      <c r="C74" s="371" t="s">
        <v>164</v>
      </c>
      <c r="D74" s="372"/>
      <c r="E74" s="372"/>
      <c r="F74" s="373"/>
      <c r="G74" s="342">
        <f>SUM(G73:G73)</f>
        <v>42218</v>
      </c>
      <c r="H74" s="343" t="s">
        <v>145</v>
      </c>
      <c r="I74" s="343"/>
      <c r="J74" s="343"/>
      <c r="K74" s="344">
        <f>SUM(K73:K73)</f>
        <v>0</v>
      </c>
      <c r="L74" s="374" t="s">
        <v>145</v>
      </c>
      <c r="M74" s="375"/>
      <c r="O74" s="233"/>
    </row>
    <row r="75" ht="12.75">
      <c r="A75" s="376"/>
      <c r="B75" s="377"/>
      <c r="C75" s="378" t="s">
        <v>146</v>
      </c>
      <c r="D75" s="372"/>
      <c r="E75" s="372"/>
      <c r="F75" s="373"/>
      <c r="G75" s="379">
        <f>G74*18%</f>
        <v>7599.24</v>
      </c>
      <c r="H75" s="343"/>
      <c r="I75" s="343"/>
      <c r="J75" s="343"/>
      <c r="K75" s="344">
        <f>K74*18%</f>
        <v>0</v>
      </c>
      <c r="L75" s="374" t="s">
        <v>145</v>
      </c>
      <c r="M75" s="375"/>
    </row>
    <row r="76" ht="12.75">
      <c r="A76" s="380"/>
      <c r="B76" s="381"/>
      <c r="C76" s="371" t="s">
        <v>147</v>
      </c>
      <c r="D76" s="372"/>
      <c r="E76" s="372"/>
      <c r="F76" s="373"/>
      <c r="G76" s="379">
        <f>SUM(G74:G75)</f>
        <v>49817.24</v>
      </c>
      <c r="H76" s="343"/>
      <c r="I76" s="343"/>
      <c r="J76" s="343"/>
      <c r="K76" s="344">
        <f>SUM(K74:K75)</f>
        <v>0</v>
      </c>
      <c r="L76" s="374" t="s">
        <v>145</v>
      </c>
      <c r="M76" s="375"/>
    </row>
    <row r="77" ht="12.75">
      <c r="A77" s="382"/>
      <c r="B77" s="277" t="s">
        <v>143</v>
      </c>
      <c r="C77" s="383" t="s">
        <v>165</v>
      </c>
      <c r="D77" s="384"/>
      <c r="E77" s="384"/>
      <c r="F77" s="385"/>
      <c r="G77" s="386">
        <f>G47+G68+G74</f>
        <v>1993229.98</v>
      </c>
      <c r="H77" s="387" t="str">
        <f>"Claimed for "&amp;'Working Sheet'!B4&amp;" Month (1+2+3)"</f>
        <v>Claimed for OCTOBER-2025 Month (1+2+3)</v>
      </c>
      <c r="I77" s="388"/>
      <c r="J77" s="389"/>
      <c r="K77" s="386">
        <f>K47+K68+K74</f>
        <v>516289.48186384613</v>
      </c>
      <c r="L77" s="390" t="s">
        <v>145</v>
      </c>
      <c r="M77" s="391"/>
    </row>
    <row r="78" ht="12.75">
      <c r="A78" s="392"/>
      <c r="B78" s="393"/>
      <c r="C78" s="394" t="s">
        <v>146</v>
      </c>
      <c r="D78" s="384"/>
      <c r="E78" s="384"/>
      <c r="F78" s="385"/>
      <c r="G78" s="386">
        <f>G48+G69+G75</f>
        <v>302955.0858</v>
      </c>
      <c r="H78" s="395"/>
      <c r="I78" s="396"/>
      <c r="J78" s="397"/>
      <c r="K78" s="398">
        <f>K48+K69+K75</f>
        <v>92932.1067354923</v>
      </c>
      <c r="L78" s="390" t="s">
        <v>145</v>
      </c>
      <c r="M78" s="391"/>
    </row>
    <row r="79" ht="12.75">
      <c r="A79" s="399"/>
      <c r="B79" s="286"/>
      <c r="C79" s="383" t="s">
        <v>147</v>
      </c>
      <c r="D79" s="384"/>
      <c r="E79" s="384"/>
      <c r="F79" s="385"/>
      <c r="G79" s="386">
        <f>SUM(G77:G78)</f>
        <v>2296185.0658</v>
      </c>
      <c r="H79" s="400"/>
      <c r="I79" s="401"/>
      <c r="J79" s="402"/>
      <c r="K79" s="386">
        <f>SUM(K77:K78)</f>
        <v>609221.5885993384</v>
      </c>
      <c r="L79" s="390" t="s">
        <v>145</v>
      </c>
      <c r="M79" s="391"/>
    </row>
  </sheetData>
  <sheetProtection/>
  <mergeCells>
    <mergeCell ref="L77:M77"/>
    <mergeCell ref="L78:M78"/>
    <mergeCell ref="L79:M79"/>
    <mergeCell ref="B74:B76"/>
    <mergeCell ref="A74:A76"/>
    <mergeCell ref="A77:A79"/>
    <mergeCell ref="B77:B79"/>
    <mergeCell ref="C77:F77"/>
    <mergeCell ref="C78:F78"/>
    <mergeCell ref="C79:F79"/>
    <mergeCell ref="A68:A70"/>
    <mergeCell ref="L74:M74"/>
    <mergeCell ref="L75:M75"/>
    <mergeCell ref="L76:M76"/>
    <mergeCell ref="H74:J76"/>
    <mergeCell ref="C74:F74"/>
    <mergeCell ref="C75:F75"/>
    <mergeCell ref="C76:F76"/>
    <mergeCell ref="B68:B70"/>
    <mergeCell ref="H77:J79"/>
    <mergeCell ref="B47:B49"/>
    <mergeCell ref="A47:A49"/>
    <mergeCell ref="H68:J70"/>
    <mergeCell ref="L68:M68"/>
    <mergeCell ref="L69:M69"/>
    <mergeCell ref="L70:M70"/>
    <mergeCell ref="C68:F68"/>
    <mergeCell ref="C69:F69"/>
    <mergeCell ref="C70:F70"/>
    <mergeCell ref="H47:J49"/>
    <mergeCell ref="L47:M47"/>
    <mergeCell ref="L48:M48"/>
    <mergeCell ref="L49:M49"/>
    <mergeCell ref="C47:F47"/>
    <mergeCell ref="C48:F48"/>
    <mergeCell ref="C49:F49"/>
    <mergeCell ref="A8:C8"/>
    <mergeCell ref="E8:M8"/>
    <mergeCell ref="A9:M9"/>
    <mergeCell ref="A10:A11"/>
    <mergeCell ref="B10:B11"/>
    <mergeCell ref="C10:C11"/>
    <mergeCell ref="D10:G10"/>
    <mergeCell ref="H10:I10"/>
    <mergeCell ref="J10:K10"/>
    <mergeCell ref="L10:M10"/>
    <mergeCell ref="A5:C5"/>
    <mergeCell ref="E5:M5"/>
    <mergeCell ref="A6:C6"/>
    <mergeCell ref="E6:M6"/>
    <mergeCell ref="A7:C7"/>
    <mergeCell ref="E7:M7"/>
    <mergeCell ref="A1:M1"/>
    <mergeCell ref="A2:C2"/>
    <mergeCell ref="E2:M2"/>
    <mergeCell ref="A3:C3"/>
    <mergeCell ref="E3:M3"/>
    <mergeCell ref="A4:C4"/>
    <mergeCell ref="E4:M4"/>
  </mergeCells>
  <hyperlinks>
    <hyperlink ref="C48" display="IGST@18%" r:id="rId1"/>
    <hyperlink ref="C69" display="IGST@0%" r:id="rId2"/>
    <hyperlink ref="C75" display="IGST@18%" r:id="rId3"/>
    <hyperlink ref="C78" display="IGST@18%" r:id="rId4"/>
  </hyperlinks>
  <printOptions horizontalCentered="1"/>
  <pageMargins left="0.75" right="0.5" top="0.75" bottom="0.75" header="0.3" footer="0.3"/>
  <pageSetup fitToHeight="0" orientation="landscape" paperSize="9" scale="88"/>
  <headerFooter/>
  <rowBreaks count="3" manualBreakCount="3">
    <brk id="31" max="1048575" man="1"/>
    <brk id="49" max="1048575" man="1"/>
    <brk id="70" max="1048575" man="1"/>
  </rowBreaks>
  <ignoredErrors>
    <ignoredError sqref="G75 K75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1237A6A-1A94-4AA7-AF6E-BA93B2F84D8F}">
  <dimension ref="A1:I64"/>
  <sheetViews>
    <sheetView view="pageBreakPreview" zoomScale="88" zoomScaleNormal="98" zoomScaleSheetLayoutView="88" workbookViewId="0" topLeftCell="A1">
      <selection pane="topLeft" activeCell="E59" sqref="E59:F59"/>
    </sheetView>
  </sheetViews>
  <sheetFormatPr defaultRowHeight="12.75"/>
  <cols>
    <col min="1" max="1" width="8" customWidth="1"/>
    <col min="2" max="3" width="17.1428571428571" customWidth="1"/>
    <col min="4" max="4" width="31.8571428571429" customWidth="1"/>
    <col min="5" max="5" width="12.5714285714286" customWidth="1"/>
    <col min="6" max="6" width="17.4285714285714" customWidth="1"/>
    <col min="7" max="9" width="12.5714285714286" customWidth="1"/>
  </cols>
  <sheetData>
    <row r="1" ht="26.25">
      <c r="A1" s="403" t="s">
        <v>22</v>
      </c>
      <c r="B1" s="403"/>
      <c r="C1" s="403"/>
      <c r="D1" s="403"/>
      <c r="E1" s="403"/>
      <c r="F1" s="403"/>
      <c r="G1" s="403"/>
      <c r="H1" s="403"/>
      <c r="I1" s="403"/>
    </row>
    <row r="2" ht="21">
      <c r="A2" s="404" t="s">
        <v>166</v>
      </c>
      <c r="B2" s="404"/>
      <c r="C2" s="404"/>
      <c r="D2" s="404"/>
      <c r="E2" s="404"/>
      <c r="F2" s="404"/>
      <c r="G2" s="404"/>
      <c r="H2" s="404"/>
      <c r="I2" s="404"/>
    </row>
    <row r="3" ht="12.75">
      <c r="A3" s="405" t="str">
        <f>'Working Sheet'!C6</f>
        <v>RA BILL NO-19</v>
      </c>
      <c r="B3" s="405"/>
      <c r="C3" s="405"/>
      <c r="D3" s="42"/>
      <c r="E3" s="42"/>
      <c r="F3" s="42"/>
      <c r="G3" s="42"/>
      <c r="H3" s="42"/>
      <c r="I3" s="42"/>
    </row>
    <row r="4" ht="12.75">
      <c r="A4" s="405" t="str">
        <f>"MEASUREMENT PERIOD : "&amp;'Working Sheet'!B2</f>
        <v>MEASUREMENT PERIOD : 01 Oct 2025 To 31 Oct 2025</v>
      </c>
      <c r="B4" s="405"/>
      <c r="C4" s="405"/>
      <c r="D4" s="405"/>
      <c r="E4" s="405"/>
      <c r="F4" s="405"/>
      <c r="G4" s="42"/>
      <c r="H4" s="42"/>
      <c r="I4" s="42"/>
    </row>
    <row r="5" ht="12.75">
      <c r="A5" s="406" t="s">
        <v>167</v>
      </c>
      <c r="B5" s="406"/>
      <c r="C5" s="406"/>
      <c r="D5" s="406"/>
      <c r="E5" s="406"/>
      <c r="F5" s="406"/>
      <c r="G5" s="406"/>
      <c r="H5" s="406"/>
      <c r="I5" s="406"/>
    </row>
    <row r="6" ht="12.75">
      <c r="A6" s="405" t="s">
        <v>168</v>
      </c>
      <c r="B6" s="405"/>
      <c r="C6" s="405"/>
      <c r="D6" s="405"/>
      <c r="E6" s="405"/>
      <c r="F6" s="405"/>
      <c r="G6" s="405"/>
      <c r="H6" s="42"/>
      <c r="I6" s="42"/>
    </row>
    <row r="7" ht="12.75">
      <c r="A7" s="407"/>
      <c r="B7" s="407"/>
      <c r="C7" s="407"/>
      <c r="D7" s="407"/>
      <c r="E7" s="407"/>
      <c r="F7" s="407"/>
      <c r="G7" s="407"/>
      <c r="H7" s="408"/>
      <c r="I7" s="408"/>
    </row>
    <row r="8" ht="12.75">
      <c r="A8" s="409" t="s">
        <v>169</v>
      </c>
      <c r="B8" s="410" t="s">
        <v>170</v>
      </c>
      <c r="C8" s="411" t="s">
        <v>171</v>
      </c>
      <c r="D8" s="410" t="s">
        <v>172</v>
      </c>
      <c r="E8" s="409" t="s">
        <v>173</v>
      </c>
      <c r="F8" s="412" t="s">
        <v>174</v>
      </c>
      <c r="G8" s="411" t="s">
        <v>175</v>
      </c>
      <c r="H8" s="413" t="s">
        <v>176</v>
      </c>
      <c r="I8" s="413" t="s">
        <v>177</v>
      </c>
    </row>
    <row r="9" ht="54.95" customHeight="1">
      <c r="A9" s="409"/>
      <c r="B9" s="410"/>
      <c r="C9" s="414"/>
      <c r="D9" s="410"/>
      <c r="E9" s="409"/>
      <c r="F9" s="409" t="str">
        <f>"NOS. OF DAYS PRESENT FROM "&amp;'Working Sheet'!B2</f>
        <v>NOS. OF DAYS PRESENT FROM 01 Oct 2025 To 31 Oct 2025</v>
      </c>
      <c r="G9" s="414"/>
      <c r="H9" s="413"/>
      <c r="I9" s="413"/>
    </row>
    <row r="10" ht="24.95" customHeight="1">
      <c r="A10" s="415">
        <v>1</v>
      </c>
      <c r="B10" s="416" t="s">
        <v>178</v>
      </c>
      <c r="C10" s="417" t="s">
        <v>179</v>
      </c>
      <c r="D10" s="418" t="s">
        <v>180</v>
      </c>
      <c r="E10" s="419">
        <v>26</v>
      </c>
      <c r="F10" s="419">
        <f>VLOOKUP(C10,'FORM B'!$B$23:$G$50,6,0)</f>
        <v>26</v>
      </c>
      <c r="G10" s="420">
        <f ref="G10:G15" t="shared" si="0">F10</f>
        <v>26</v>
      </c>
      <c r="H10" s="421">
        <f ref="H10:H15" t="shared" si="1">G10/E10</f>
        <v>1</v>
      </c>
      <c r="I10" s="422"/>
    </row>
    <row r="11" ht="24.95" customHeight="1">
      <c r="A11" s="415"/>
      <c r="B11" s="416"/>
      <c r="C11" s="417" t="s">
        <v>181</v>
      </c>
      <c r="D11" s="418" t="s">
        <v>182</v>
      </c>
      <c r="E11" s="419">
        <v>26</v>
      </c>
      <c r="F11" s="419">
        <f>VLOOKUP(C11,'FORM B'!$B$23:$G$50,6,0)</f>
        <v>26</v>
      </c>
      <c r="G11" s="420">
        <f t="shared" si="0"/>
        <v>26</v>
      </c>
      <c r="H11" s="421">
        <f t="shared" si="1"/>
        <v>1</v>
      </c>
      <c r="I11" s="422"/>
    </row>
    <row r="12" ht="24.95" customHeight="1">
      <c r="A12" s="415"/>
      <c r="B12" s="416"/>
      <c r="C12" s="417" t="s">
        <v>183</v>
      </c>
      <c r="D12" s="418" t="s">
        <v>184</v>
      </c>
      <c r="E12" s="419">
        <v>26</v>
      </c>
      <c r="F12" s="419">
        <f>VLOOKUP(C12,'FORM B'!$B$23:$G$50,6,0)</f>
        <v>26</v>
      </c>
      <c r="G12" s="420">
        <f t="shared" si="0"/>
        <v>26</v>
      </c>
      <c r="H12" s="421">
        <f t="shared" si="1"/>
        <v>1</v>
      </c>
      <c r="I12" s="422"/>
    </row>
    <row r="13" ht="24.95" customHeight="1">
      <c r="A13" s="415"/>
      <c r="B13" s="416"/>
      <c r="C13" s="417" t="s">
        <v>185</v>
      </c>
      <c r="D13" s="418" t="s">
        <v>186</v>
      </c>
      <c r="E13" s="419">
        <v>26</v>
      </c>
      <c r="F13" s="419">
        <f>VLOOKUP(C13,'FORM B'!$B$23:$G$50,6,0)</f>
        <v>26</v>
      </c>
      <c r="G13" s="420">
        <f t="shared" si="0"/>
        <v>26</v>
      </c>
      <c r="H13" s="421">
        <f t="shared" si="1"/>
        <v>1</v>
      </c>
      <c r="I13" s="422"/>
    </row>
    <row r="14" ht="24.95" customHeight="1">
      <c r="A14" s="415"/>
      <c r="B14" s="416"/>
      <c r="C14" s="417" t="s">
        <v>187</v>
      </c>
      <c r="D14" s="418" t="s">
        <v>188</v>
      </c>
      <c r="E14" s="419">
        <v>26</v>
      </c>
      <c r="F14" s="419">
        <f>VLOOKUP(C14,'FORM B'!$B$23:$G$50,6,0)</f>
        <v>26</v>
      </c>
      <c r="G14" s="420">
        <f t="shared" si="0"/>
        <v>26</v>
      </c>
      <c r="H14" s="421">
        <f>G14/E14</f>
        <v>1</v>
      </c>
      <c r="I14" s="422"/>
    </row>
    <row r="15" ht="24.95" customHeight="1">
      <c r="A15" s="415"/>
      <c r="B15" s="416"/>
      <c r="C15" s="417" t="s">
        <v>189</v>
      </c>
      <c r="D15" s="423" t="s">
        <v>190</v>
      </c>
      <c r="E15" s="419">
        <v>26</v>
      </c>
      <c r="F15" s="419">
        <f>VLOOKUP(C15,'FORM B'!$B$23:$G$50,6,0)</f>
        <v>26</v>
      </c>
      <c r="G15" s="420">
        <f t="shared" si="0"/>
        <v>26</v>
      </c>
      <c r="H15" s="421">
        <f t="shared" si="1"/>
        <v>1</v>
      </c>
      <c r="I15" s="422"/>
    </row>
    <row r="16" ht="24.95" customHeight="1">
      <c r="A16" s="424"/>
      <c r="B16" s="425"/>
      <c r="C16" s="425"/>
      <c r="D16" s="426"/>
      <c r="E16" s="427"/>
      <c r="F16" s="427"/>
      <c r="G16" s="413">
        <f>SUM(G10:G15)</f>
        <v>156</v>
      </c>
      <c r="H16" s="428">
        <f>SUM(H10:H15)</f>
        <v>6</v>
      </c>
      <c r="I16" s="429"/>
    </row>
    <row r="17" ht="24.95" customHeight="1">
      <c r="A17" s="415">
        <v>2</v>
      </c>
      <c r="B17" s="430" t="s">
        <v>49</v>
      </c>
      <c r="C17" s="417" t="s">
        <v>191</v>
      </c>
      <c r="D17" s="418" t="s">
        <v>192</v>
      </c>
      <c r="E17" s="419">
        <v>26</v>
      </c>
      <c r="F17" s="419">
        <f>VLOOKUP(C17,'FORM B'!$B$23:$G$50,6,0)</f>
        <v>26</v>
      </c>
      <c r="G17" s="420">
        <f ref="G17:G29" t="shared" si="2">F17</f>
        <v>26</v>
      </c>
      <c r="H17" s="421">
        <f ref="H17:H22" t="shared" si="3">G17/E17</f>
        <v>1</v>
      </c>
      <c r="I17" s="422"/>
    </row>
    <row r="18" ht="24.95" customHeight="1">
      <c r="A18" s="415"/>
      <c r="B18" s="430"/>
      <c r="C18" s="417" t="s">
        <v>193</v>
      </c>
      <c r="D18" s="418" t="s">
        <v>194</v>
      </c>
      <c r="E18" s="419">
        <v>26</v>
      </c>
      <c r="F18" s="419">
        <f>VLOOKUP(C18,'FORM B'!$B$23:$G$50,6,0)</f>
        <v>26</v>
      </c>
      <c r="G18" s="420">
        <f t="shared" si="2"/>
        <v>26</v>
      </c>
      <c r="H18" s="421">
        <f t="shared" si="3"/>
        <v>1</v>
      </c>
      <c r="I18" s="422"/>
    </row>
    <row r="19" ht="24.95" customHeight="1">
      <c r="A19" s="415"/>
      <c r="B19" s="430"/>
      <c r="C19" s="417" t="s">
        <v>195</v>
      </c>
      <c r="D19" s="418" t="s">
        <v>196</v>
      </c>
      <c r="E19" s="419">
        <v>26</v>
      </c>
      <c r="F19" s="419">
        <f>VLOOKUP(C19,'FORM B'!$B$23:$G$50,6,0)</f>
        <v>25</v>
      </c>
      <c r="G19" s="420">
        <f t="shared" si="2"/>
        <v>25</v>
      </c>
      <c r="H19" s="421">
        <f t="shared" si="3"/>
        <v>0.9615384615384616</v>
      </c>
      <c r="I19" s="422"/>
    </row>
    <row r="20" ht="24.95" customHeight="1">
      <c r="A20" s="415"/>
      <c r="B20" s="430"/>
      <c r="C20" s="417" t="s">
        <v>197</v>
      </c>
      <c r="D20" s="418" t="s">
        <v>198</v>
      </c>
      <c r="E20" s="419">
        <v>26</v>
      </c>
      <c r="F20" s="419">
        <f>VLOOKUP(C20,'FORM B'!$B$23:$G$50,6,0)</f>
        <v>26</v>
      </c>
      <c r="G20" s="420">
        <f t="shared" si="2"/>
        <v>26</v>
      </c>
      <c r="H20" s="421">
        <f t="shared" si="3"/>
        <v>1</v>
      </c>
      <c r="I20" s="422"/>
    </row>
    <row r="21" ht="24.95" customHeight="1">
      <c r="A21" s="415"/>
      <c r="B21" s="430"/>
      <c r="C21" s="417" t="s">
        <v>199</v>
      </c>
      <c r="D21" s="418" t="s">
        <v>200</v>
      </c>
      <c r="E21" s="419">
        <v>26</v>
      </c>
      <c r="F21" s="419">
        <f>VLOOKUP(C21,'FORM B'!$B$23:$G$50,6,0)</f>
        <v>26</v>
      </c>
      <c r="G21" s="420">
        <f t="shared" si="2"/>
        <v>26</v>
      </c>
      <c r="H21" s="421">
        <f t="shared" si="3"/>
        <v>1</v>
      </c>
      <c r="I21" s="422"/>
    </row>
    <row r="22" ht="24.95" customHeight="1">
      <c r="A22" s="415"/>
      <c r="B22" s="430"/>
      <c r="C22" s="417" t="s">
        <v>201</v>
      </c>
      <c r="D22" s="418" t="s">
        <v>202</v>
      </c>
      <c r="E22" s="419">
        <v>26</v>
      </c>
      <c r="F22" s="419">
        <f>VLOOKUP(C22,'FORM B'!$B$23:$G$50,6,0)</f>
        <v>26</v>
      </c>
      <c r="G22" s="420">
        <f t="shared" si="2"/>
        <v>26</v>
      </c>
      <c r="H22" s="421">
        <f t="shared" si="3"/>
        <v>1</v>
      </c>
      <c r="I22" s="422"/>
    </row>
    <row r="23" ht="24.95" customHeight="1">
      <c r="A23" s="424"/>
      <c r="B23" s="431"/>
      <c r="C23" s="431"/>
      <c r="D23" s="432"/>
      <c r="E23" s="433"/>
      <c r="F23" s="433"/>
      <c r="G23" s="409">
        <f>SUM(G17:G22)</f>
        <v>155</v>
      </c>
      <c r="H23" s="428">
        <f>SUM(H17:H22)</f>
        <v>5.961538461538462</v>
      </c>
      <c r="I23" s="429"/>
    </row>
    <row r="24" ht="24.95" customHeight="1">
      <c r="A24" s="415">
        <v>3</v>
      </c>
      <c r="B24" s="430" t="s">
        <v>50</v>
      </c>
      <c r="C24" s="417" t="s">
        <v>203</v>
      </c>
      <c r="D24" s="418" t="s">
        <v>204</v>
      </c>
      <c r="E24" s="419">
        <v>26</v>
      </c>
      <c r="F24" s="419">
        <f>VLOOKUP(C24,'FORM B'!$B$23:$G$50,6,0)</f>
        <v>25</v>
      </c>
      <c r="G24" s="420">
        <f t="shared" si="2"/>
        <v>25</v>
      </c>
      <c r="H24" s="421">
        <f ref="H24:H29" t="shared" si="4">G24/E24</f>
        <v>0.9615384615384616</v>
      </c>
      <c r="I24" s="422"/>
    </row>
    <row r="25" ht="24.95" customHeight="1">
      <c r="A25" s="415"/>
      <c r="B25" s="430"/>
      <c r="C25" s="417" t="s">
        <v>205</v>
      </c>
      <c r="D25" s="418" t="s">
        <v>206</v>
      </c>
      <c r="E25" s="419">
        <v>26</v>
      </c>
      <c r="F25" s="419">
        <f>VLOOKUP(C25,'FORM B'!$B$23:$G$50,6,0)</f>
        <v>26</v>
      </c>
      <c r="G25" s="420">
        <f t="shared" si="2"/>
        <v>26</v>
      </c>
      <c r="H25" s="421">
        <f t="shared" si="4"/>
        <v>1</v>
      </c>
      <c r="I25" s="422"/>
    </row>
    <row r="26" ht="24.95" customHeight="1">
      <c r="A26" s="415"/>
      <c r="B26" s="430"/>
      <c r="C26" s="417" t="s">
        <v>207</v>
      </c>
      <c r="D26" s="418" t="s">
        <v>208</v>
      </c>
      <c r="E26" s="419">
        <v>26</v>
      </c>
      <c r="F26" s="419">
        <f>VLOOKUP(C26,'FORM B'!$B$23:$G$50,6,0)</f>
        <v>26</v>
      </c>
      <c r="G26" s="420">
        <f t="shared" si="2"/>
        <v>26</v>
      </c>
      <c r="H26" s="421">
        <f t="shared" si="4"/>
        <v>1</v>
      </c>
      <c r="I26" s="422"/>
    </row>
    <row r="27" ht="24.95" customHeight="1">
      <c r="A27" s="415"/>
      <c r="B27" s="430"/>
      <c r="C27" s="417" t="s">
        <v>209</v>
      </c>
      <c r="D27" s="418" t="s">
        <v>210</v>
      </c>
      <c r="E27" s="419">
        <v>26</v>
      </c>
      <c r="F27" s="419">
        <f>VLOOKUP(C27,'FORM B'!$B$23:$G$50,6,0)</f>
        <v>26</v>
      </c>
      <c r="G27" s="420">
        <f t="shared" si="2"/>
        <v>26</v>
      </c>
      <c r="H27" s="421">
        <f t="shared" si="4"/>
        <v>1</v>
      </c>
      <c r="I27" s="422"/>
    </row>
    <row r="28" ht="24.95" customHeight="1">
      <c r="A28" s="415"/>
      <c r="B28" s="430"/>
      <c r="C28" s="417" t="s">
        <v>211</v>
      </c>
      <c r="D28" s="418" t="s">
        <v>212</v>
      </c>
      <c r="E28" s="419">
        <v>26</v>
      </c>
      <c r="F28" s="419">
        <f>VLOOKUP(C28,'FORM B'!$B$23:$G$50,6,0)</f>
        <v>26</v>
      </c>
      <c r="G28" s="420">
        <f t="shared" si="2"/>
        <v>26</v>
      </c>
      <c r="H28" s="421">
        <f t="shared" si="4"/>
        <v>1</v>
      </c>
      <c r="I28" s="422"/>
    </row>
    <row r="29" ht="24.95" customHeight="1">
      <c r="A29" s="415"/>
      <c r="B29" s="430"/>
      <c r="C29" s="417" t="s">
        <v>213</v>
      </c>
      <c r="D29" s="418" t="s">
        <v>214</v>
      </c>
      <c r="E29" s="419">
        <v>26</v>
      </c>
      <c r="F29" s="419">
        <f>VLOOKUP(C29,'FORM B'!$B$23:$G$50,6,0)</f>
        <v>26</v>
      </c>
      <c r="G29" s="420">
        <f t="shared" si="2"/>
        <v>26</v>
      </c>
      <c r="H29" s="421">
        <f t="shared" si="4"/>
        <v>1</v>
      </c>
      <c r="I29" s="422"/>
    </row>
    <row r="30" ht="24.95" customHeight="1">
      <c r="A30" s="415"/>
      <c r="B30" s="430"/>
      <c r="C30" s="430"/>
      <c r="D30" s="418"/>
      <c r="E30" s="419"/>
      <c r="F30" s="419"/>
      <c r="G30" s="420"/>
      <c r="H30" s="421"/>
      <c r="I30" s="422"/>
    </row>
    <row r="31" ht="24.95" customHeight="1">
      <c r="A31" s="424"/>
      <c r="B31" s="431"/>
      <c r="C31" s="431"/>
      <c r="D31" s="432"/>
      <c r="E31" s="433"/>
      <c r="F31" s="433"/>
      <c r="G31" s="409">
        <f>SUM(G24:G30)</f>
        <v>155</v>
      </c>
      <c r="H31" s="428">
        <f>SUM(H24:H29)</f>
        <v>5.961538461538462</v>
      </c>
      <c r="I31" s="429"/>
    </row>
    <row r="32" ht="24.95" customHeight="1">
      <c r="A32" s="415">
        <v>4</v>
      </c>
      <c r="B32" s="430" t="s">
        <v>51</v>
      </c>
      <c r="C32" s="417" t="s">
        <v>215</v>
      </c>
      <c r="D32" s="418" t="s">
        <v>216</v>
      </c>
      <c r="E32" s="419">
        <v>26</v>
      </c>
      <c r="F32" s="419">
        <f>VLOOKUP(C32,'FORM B'!$B$23:$G$50,6,0)</f>
        <v>9</v>
      </c>
      <c r="G32" s="420">
        <f>F32</f>
        <v>9</v>
      </c>
      <c r="H32" s="421">
        <f>G32/E32</f>
        <v>0.34615384615384615</v>
      </c>
      <c r="I32" s="422"/>
    </row>
    <row r="33" ht="24.95" customHeight="1">
      <c r="A33" s="415"/>
      <c r="B33" s="430"/>
      <c r="C33" s="417" t="s">
        <v>217</v>
      </c>
      <c r="D33" s="418" t="s">
        <v>218</v>
      </c>
      <c r="E33" s="419">
        <v>26</v>
      </c>
      <c r="F33" s="419">
        <f>VLOOKUP(C33,'FORM B'!$B$23:$G$50,6,0)</f>
        <v>25</v>
      </c>
      <c r="G33" s="420">
        <f>F33</f>
        <v>25</v>
      </c>
      <c r="H33" s="421">
        <f>G33/E33</f>
        <v>0.9615384615384616</v>
      </c>
      <c r="I33" s="422"/>
    </row>
    <row r="34" ht="24.95" customHeight="1">
      <c r="A34" s="415"/>
      <c r="B34" s="430"/>
      <c r="C34" s="417" t="s">
        <v>219</v>
      </c>
      <c r="D34" s="418" t="s">
        <v>220</v>
      </c>
      <c r="E34" s="419">
        <v>26</v>
      </c>
      <c r="F34" s="419">
        <f>VLOOKUP(C34,'FORM B'!$B$23:$G$50,6,0)</f>
        <v>26</v>
      </c>
      <c r="G34" s="420">
        <f>F34</f>
        <v>26</v>
      </c>
      <c r="H34" s="421">
        <f>G34/E34</f>
        <v>1</v>
      </c>
      <c r="I34" s="422"/>
    </row>
    <row r="35" ht="24.95" customHeight="1">
      <c r="A35" s="415"/>
      <c r="B35" s="430"/>
      <c r="C35" s="417" t="s">
        <v>221</v>
      </c>
      <c r="D35" s="418" t="s">
        <v>222</v>
      </c>
      <c r="E35" s="419">
        <v>26</v>
      </c>
      <c r="F35" s="419">
        <f>VLOOKUP(C35,'FORM B'!$B$23:$G$50,6,0)</f>
        <v>26</v>
      </c>
      <c r="G35" s="420">
        <f>F35</f>
        <v>26</v>
      </c>
      <c r="H35" s="421">
        <f>G35/E35</f>
        <v>1</v>
      </c>
      <c r="I35" s="422"/>
    </row>
    <row r="36" ht="24.95" customHeight="1">
      <c r="A36" s="424"/>
      <c r="B36" s="431"/>
      <c r="C36" s="431"/>
      <c r="D36" s="432"/>
      <c r="E36" s="433"/>
      <c r="F36" s="433"/>
      <c r="G36" s="409">
        <f>SUM(G32:G35)</f>
        <v>86</v>
      </c>
      <c r="H36" s="428">
        <f>SUM(H33:H35)</f>
        <v>2.9615384615384617</v>
      </c>
      <c r="I36" s="429"/>
    </row>
    <row r="37" ht="24.95" customHeight="1">
      <c r="A37" s="415">
        <v>5</v>
      </c>
      <c r="B37" s="434" t="s">
        <v>52</v>
      </c>
      <c r="C37" s="434" t="s">
        <v>223</v>
      </c>
      <c r="D37" s="418" t="s">
        <v>224</v>
      </c>
      <c r="E37" s="419">
        <v>26</v>
      </c>
      <c r="F37" s="419">
        <f>VLOOKUP(C37,'FORM B'!$B$23:$G$50,6,0)</f>
        <v>26</v>
      </c>
      <c r="G37" s="420">
        <f>F37</f>
        <v>26</v>
      </c>
      <c r="H37" s="421">
        <f>G37/E37</f>
        <v>1</v>
      </c>
      <c r="I37" s="422"/>
    </row>
    <row r="38" ht="24.95" customHeight="1">
      <c r="A38" s="415"/>
      <c r="B38" s="434"/>
      <c r="C38" s="434" t="s">
        <v>211</v>
      </c>
      <c r="D38" s="418" t="s">
        <v>225</v>
      </c>
      <c r="E38" s="419">
        <v>26</v>
      </c>
      <c r="F38" s="419">
        <v>16</v>
      </c>
      <c r="G38" s="420">
        <f>F38</f>
        <v>16</v>
      </c>
      <c r="H38" s="421">
        <f>G38/E38</f>
        <v>0.6153846153846154</v>
      </c>
      <c r="I38" s="422"/>
    </row>
    <row r="39" ht="24.95" customHeight="1">
      <c r="A39" s="424"/>
      <c r="B39" s="435"/>
      <c r="C39" s="435"/>
      <c r="D39" s="432"/>
      <c r="E39" s="433"/>
      <c r="F39" s="433"/>
      <c r="G39" s="409">
        <f>SUM(G37:G38)</f>
        <v>42</v>
      </c>
      <c r="H39" s="428">
        <f>SUM(H37:H38)</f>
        <v>1.6153846153846154</v>
      </c>
      <c r="I39" s="429"/>
    </row>
    <row r="40" ht="24.95" customHeight="1">
      <c r="A40" s="415">
        <v>6</v>
      </c>
      <c r="B40" s="416" t="s">
        <v>53</v>
      </c>
      <c r="C40" s="416" t="s">
        <v>226</v>
      </c>
      <c r="D40" s="418" t="s">
        <v>227</v>
      </c>
      <c r="E40" s="419">
        <v>26</v>
      </c>
      <c r="F40" s="419">
        <f>VLOOKUP(C40,'FORM B'!$B$23:$G$50,6,0)</f>
        <v>26</v>
      </c>
      <c r="G40" s="420">
        <f>F40</f>
        <v>26</v>
      </c>
      <c r="H40" s="436">
        <f>G40/E40</f>
        <v>1</v>
      </c>
      <c r="I40" s="422"/>
    </row>
    <row r="41" ht="24.95" customHeight="1">
      <c r="A41" s="415"/>
      <c r="B41" s="416"/>
      <c r="C41" s="416" t="s">
        <v>228</v>
      </c>
      <c r="D41" s="418" t="s">
        <v>229</v>
      </c>
      <c r="E41" s="419">
        <v>26</v>
      </c>
      <c r="F41" s="419">
        <f>VLOOKUP(C41,'FORM B'!$B$23:$G$50,6,0)</f>
        <v>26</v>
      </c>
      <c r="G41" s="420">
        <f>F41</f>
        <v>26</v>
      </c>
      <c r="H41" s="436">
        <f>G41/E41</f>
        <v>1</v>
      </c>
      <c r="I41" s="422"/>
    </row>
    <row r="42" ht="24.95" customHeight="1">
      <c r="A42" s="424"/>
      <c r="B42" s="425"/>
      <c r="C42" s="425"/>
      <c r="D42" s="432"/>
      <c r="E42" s="433"/>
      <c r="F42" s="433"/>
      <c r="G42" s="409">
        <f>SUM(G40:G41)</f>
        <v>52</v>
      </c>
      <c r="H42" s="428">
        <f>SUM(H40:H41)</f>
        <v>2</v>
      </c>
      <c r="I42" s="429"/>
    </row>
    <row r="43" ht="24.95" customHeight="1">
      <c r="A43" s="415">
        <v>7</v>
      </c>
      <c r="B43" s="430" t="s">
        <v>230</v>
      </c>
      <c r="C43" s="417" t="s">
        <v>231</v>
      </c>
      <c r="D43" s="418" t="s">
        <v>232</v>
      </c>
      <c r="E43" s="419">
        <v>26</v>
      </c>
      <c r="F43" s="419">
        <f>VLOOKUP(C43,'FORM B'!$B$23:$G$50,6,0)</f>
        <v>26</v>
      </c>
      <c r="G43" s="420">
        <f>F43</f>
        <v>26</v>
      </c>
      <c r="H43" s="421">
        <f>G43/E43</f>
        <v>1</v>
      </c>
      <c r="I43" s="422"/>
    </row>
    <row r="44" ht="24.95" customHeight="1">
      <c r="A44" s="415"/>
      <c r="B44" s="430"/>
      <c r="C44" s="430"/>
      <c r="D44" s="418"/>
      <c r="E44" s="419"/>
      <c r="F44" s="419"/>
      <c r="G44" s="420"/>
      <c r="H44" s="421"/>
      <c r="I44" s="422"/>
    </row>
    <row r="45" ht="24.95" customHeight="1">
      <c r="A45" s="429"/>
      <c r="B45" s="431"/>
      <c r="C45" s="431"/>
      <c r="D45" s="426"/>
      <c r="E45" s="427"/>
      <c r="F45" s="427"/>
      <c r="G45" s="413">
        <f>SUM(G43:G44)</f>
        <v>26</v>
      </c>
      <c r="H45" s="428">
        <f>SUM(H43:H44)</f>
        <v>1</v>
      </c>
      <c r="I45" s="429"/>
    </row>
    <row r="46" ht="12.75">
      <c r="A46" s="437"/>
      <c r="B46" s="438"/>
      <c r="C46" s="438"/>
      <c r="D46" s="437"/>
      <c r="E46" s="439"/>
      <c r="F46" s="439"/>
      <c r="G46" s="439"/>
      <c r="H46" s="439"/>
      <c r="I46" s="439"/>
    </row>
    <row r="47" ht="12.75">
      <c r="A47" s="437"/>
      <c r="B47" s="438"/>
      <c r="C47" s="438"/>
      <c r="D47" s="437"/>
      <c r="E47" s="439"/>
      <c r="F47" s="439"/>
      <c r="G47" s="439"/>
      <c r="H47" s="439"/>
      <c r="I47" s="439"/>
    </row>
    <row r="48" ht="12.75">
      <c r="A48" s="439"/>
      <c r="B48" s="438"/>
      <c r="C48" s="438"/>
      <c r="D48" s="439"/>
      <c r="E48" s="439"/>
      <c r="F48" s="439"/>
      <c r="G48" s="439"/>
      <c r="H48" s="439"/>
      <c r="I48" s="439"/>
    </row>
    <row r="49" ht="12.75">
      <c r="A49" s="439"/>
      <c r="B49" s="438"/>
      <c r="C49" s="438"/>
      <c r="D49" s="439"/>
      <c r="E49" s="439"/>
      <c r="F49" s="439"/>
      <c r="G49" s="439"/>
      <c r="H49" s="439"/>
      <c r="I49" s="439"/>
    </row>
    <row r="50" ht="18.75">
      <c r="A50" s="439"/>
      <c r="B50" s="438"/>
      <c r="C50" s="438"/>
      <c r="D50" s="440" t="s">
        <v>233</v>
      </c>
      <c r="E50" s="441"/>
      <c r="F50" s="442"/>
      <c r="G50" s="443"/>
      <c r="H50" s="443"/>
      <c r="I50" s="439"/>
    </row>
    <row r="51" ht="15.75">
      <c r="A51" s="439"/>
      <c r="B51" s="438"/>
      <c r="C51" s="438"/>
      <c r="D51" s="444" t="s">
        <v>234</v>
      </c>
      <c r="E51" s="444" t="s">
        <v>235</v>
      </c>
      <c r="F51" s="444"/>
      <c r="G51" s="445"/>
      <c r="H51" s="445"/>
      <c r="I51" s="439"/>
    </row>
    <row r="52" ht="12.75">
      <c r="A52" s="439"/>
      <c r="B52" s="438"/>
      <c r="C52" s="438"/>
      <c r="D52" s="446" t="str">
        <f>B10</f>
        <v>VIJJESHWARAM</v>
      </c>
      <c r="E52" s="447">
        <f>H16</f>
        <v>6</v>
      </c>
      <c r="F52" s="447"/>
      <c r="G52" s="448"/>
      <c r="H52" s="437"/>
      <c r="I52" s="439"/>
    </row>
    <row r="53" ht="12.75">
      <c r="A53" s="439"/>
      <c r="B53" s="438"/>
      <c r="C53" s="438"/>
      <c r="D53" s="415" t="str">
        <f>B17</f>
        <v>KAKINADA</v>
      </c>
      <c r="E53" s="447">
        <f>H23</f>
        <v>5.961538461538462</v>
      </c>
      <c r="F53" s="447"/>
      <c r="G53" s="448"/>
      <c r="H53" s="437"/>
      <c r="I53" s="439"/>
    </row>
    <row r="54" ht="12.75">
      <c r="A54" s="439"/>
      <c r="B54" s="438"/>
      <c r="C54" s="438"/>
      <c r="D54" s="415" t="str">
        <f>B24</f>
        <v>TATIPAKA</v>
      </c>
      <c r="E54" s="447">
        <f>H31</f>
        <v>5.961538461538462</v>
      </c>
      <c r="F54" s="447"/>
      <c r="G54" s="439"/>
      <c r="H54" s="439"/>
      <c r="I54" s="439"/>
    </row>
    <row r="55" ht="12.75">
      <c r="A55" s="439"/>
      <c r="B55" s="438"/>
      <c r="C55" s="438"/>
      <c r="D55" s="415" t="str">
        <f>B32</f>
        <v>GUDIWADA</v>
      </c>
      <c r="E55" s="447">
        <f>H36</f>
        <v>2.9615384615384617</v>
      </c>
      <c r="F55" s="447"/>
      <c r="G55" s="439"/>
      <c r="H55" s="439"/>
      <c r="I55" s="439"/>
    </row>
    <row r="56" ht="12.75">
      <c r="A56" s="439"/>
      <c r="B56" s="438"/>
      <c r="C56" s="438"/>
      <c r="D56" s="415" t="str">
        <f>B37</f>
        <v>LANCO</v>
      </c>
      <c r="E56" s="447">
        <f>H39</f>
        <v>1.6153846153846154</v>
      </c>
      <c r="F56" s="447"/>
      <c r="G56" s="439"/>
      <c r="H56" s="439"/>
      <c r="I56" s="439"/>
    </row>
    <row r="57" ht="12.75">
      <c r="A57" s="439"/>
      <c r="B57" s="438"/>
      <c r="C57" s="438"/>
      <c r="D57" s="415" t="str">
        <f>B40</f>
        <v>VADISALERU</v>
      </c>
      <c r="E57" s="447">
        <f>H42</f>
        <v>2</v>
      </c>
      <c r="F57" s="447"/>
      <c r="G57" s="439"/>
      <c r="H57" s="439"/>
      <c r="I57" s="439"/>
    </row>
    <row r="58" ht="12.75">
      <c r="A58" s="439"/>
      <c r="B58" s="438"/>
      <c r="C58" s="438"/>
      <c r="D58" s="449" t="str">
        <f>B43</f>
        <v>RAJAHMUNDRY</v>
      </c>
      <c r="E58" s="447">
        <f>H45</f>
        <v>1</v>
      </c>
      <c r="F58" s="447"/>
      <c r="G58" s="439"/>
      <c r="H58" s="439"/>
      <c r="I58" s="439"/>
    </row>
    <row r="59" ht="12.75">
      <c r="A59" s="439"/>
      <c r="B59" s="438"/>
      <c r="C59" s="438"/>
      <c r="D59" s="429" t="s">
        <v>236</v>
      </c>
      <c r="E59" s="450">
        <f>SUM(E52:E58)</f>
        <v>25.500000000000004</v>
      </c>
      <c r="F59" s="450"/>
      <c r="G59" s="439"/>
      <c r="H59" s="439"/>
      <c r="I59" s="439"/>
    </row>
    <row r="60" ht="12.75">
      <c r="A60" s="437"/>
      <c r="B60" s="438"/>
      <c r="C60" s="438"/>
      <c r="D60" s="437"/>
      <c r="E60" s="437"/>
      <c r="F60" s="437"/>
      <c r="G60" s="437"/>
      <c r="H60" s="437"/>
      <c r="I60" s="437"/>
    </row>
    <row r="61" ht="12.75">
      <c r="A61" s="438"/>
      <c r="B61" s="438"/>
      <c r="C61" s="438"/>
      <c r="D61" s="439"/>
      <c r="E61" s="439"/>
      <c r="F61" s="439"/>
      <c r="G61" s="439"/>
      <c r="H61" s="439"/>
      <c r="I61" s="69"/>
    </row>
    <row r="62" ht="12.75">
      <c r="A62" s="437" t="s">
        <v>237</v>
      </c>
      <c r="B62" s="437"/>
      <c r="C62" s="437"/>
      <c r="D62" s="437"/>
      <c r="E62" s="439"/>
      <c r="F62" s="439"/>
      <c r="G62" s="437"/>
      <c r="H62" s="437"/>
      <c r="I62" s="437"/>
    </row>
    <row r="63" ht="12.75">
      <c r="A63" s="437"/>
      <c r="B63" s="451"/>
      <c r="C63" s="451"/>
      <c r="D63" s="452"/>
      <c r="E63" s="453"/>
      <c r="F63" s="453"/>
      <c r="G63" s="453"/>
      <c r="H63" s="454"/>
      <c r="I63" s="69"/>
    </row>
    <row r="64" ht="12.75">
      <c r="A64" s="437"/>
      <c r="B64" s="451"/>
      <c r="C64" s="451"/>
      <c r="D64" s="452"/>
      <c r="E64" s="453"/>
      <c r="F64" s="453"/>
      <c r="G64" s="453"/>
      <c r="H64" s="455"/>
      <c r="I64" s="456"/>
    </row>
  </sheetData>
  <sheetProtection/>
  <mergeCells>
    <mergeCell ref="A8:A9"/>
    <mergeCell ref="B8:B9"/>
    <mergeCell ref="D8:D9"/>
    <mergeCell ref="E8:E9"/>
    <mergeCell ref="A1:I1"/>
    <mergeCell ref="A2:I2"/>
    <mergeCell ref="A3:B3"/>
    <mergeCell ref="A4:E4"/>
    <mergeCell ref="A5:I5"/>
    <mergeCell ref="A6:E6"/>
    <mergeCell ref="I8:I9"/>
    <mergeCell ref="D50:F50"/>
    <mergeCell ref="E51:F51"/>
    <mergeCell ref="E52:F52"/>
    <mergeCell ref="E59:F59"/>
    <mergeCell ref="G8:G9"/>
    <mergeCell ref="C8:C9"/>
    <mergeCell ref="A62:D62"/>
    <mergeCell ref="G62:I62"/>
    <mergeCell ref="E53:F53"/>
    <mergeCell ref="E54:F54"/>
    <mergeCell ref="E55:F55"/>
    <mergeCell ref="E56:F56"/>
    <mergeCell ref="E57:F57"/>
    <mergeCell ref="E58:F58"/>
    <mergeCell ref="H8:H9"/>
  </mergeCells>
  <printOptions horizontalCentered="1"/>
  <pageMargins left="0.25" right="0.25" top="0.75" bottom="0.75" header="0.3" footer="0.3"/>
  <pageSetup fitToHeight="0" orientation="landscape" paperSize="1" scale="96"/>
  <headerFooter/>
  <rowBreaks count="7" manualBreakCount="7">
    <brk id="16" max="1048575" man="1"/>
    <brk id="23" max="1048575" man="1"/>
    <brk id="32" max="1048575" man="1"/>
    <brk id="36" max="1048575" man="1"/>
    <brk id="39" max="1048575" man="1"/>
    <brk id="42" max="1048575" man="1"/>
    <brk id="45" max="1048575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59EB1585-1AC7-43A8-8989-68227A9EA8A4}">
  <dimension ref="A1:N26"/>
  <sheetViews>
    <sheetView view="pageBreakPreview" zoomScale="50" zoomScaleNormal="50" zoomScaleSheetLayoutView="50" workbookViewId="0" topLeftCell="A1">
      <selection pane="topLeft" activeCell="C23" sqref="C23:D23"/>
    </sheetView>
  </sheetViews>
  <sheetFormatPr defaultRowHeight="12.75"/>
  <cols>
    <col min="1" max="1" bestFit="1" width="16.8571428571429" customWidth="1"/>
    <col min="2" max="2" bestFit="1" width="44.4285714285714" customWidth="1"/>
    <col min="3" max="3" bestFit="1" width="18.1428571428571" customWidth="1"/>
    <col min="4" max="4" bestFit="1" width="17.8571428571429" customWidth="1"/>
    <col min="5" max="5" bestFit="1" width="19.1428571428571" customWidth="1"/>
    <col min="6" max="6" bestFit="1" width="19" customWidth="1"/>
    <col min="7" max="7" bestFit="1" width="17.5714285714286" customWidth="1"/>
    <col min="8" max="8" bestFit="1" width="18.7142857142857" customWidth="1"/>
    <col min="9" max="9" bestFit="1" width="18.1428571428571" customWidth="1"/>
    <col min="10" max="10" bestFit="1" width="17.5714285714286" customWidth="1"/>
    <col min="11" max="11" bestFit="1" width="17.1428571428571" customWidth="1"/>
    <col min="12" max="12" bestFit="1" width="18.7142857142857" customWidth="1"/>
    <col min="13" max="13" bestFit="1" width="19.1428571428571" customWidth="1"/>
    <col min="14" max="14" bestFit="1" width="17.8571428571429" customWidth="1"/>
  </cols>
  <sheetData>
    <row r="1" ht="30" customHeight="1">
      <c r="A1" s="457" t="str">
        <f>"PROVISION OF WAGE REVISON (FOR PERIOD OF "&amp;'Working Sheet'!B4&amp;")"</f>
        <v>PROVISION OF WAGE REVISON (FOR PERIOD OF OCTOBER-2025)</v>
      </c>
      <c r="B1" s="457"/>
      <c r="C1" s="457"/>
      <c r="D1" s="457"/>
      <c r="E1" s="457"/>
      <c r="F1" s="457"/>
      <c r="G1" s="457"/>
      <c r="H1" s="457"/>
      <c r="I1" s="457"/>
      <c r="J1" s="457"/>
      <c r="K1" s="457"/>
      <c r="L1" s="457"/>
      <c r="M1" s="457"/>
      <c r="N1" s="457"/>
    </row>
    <row r="2" ht="93">
      <c r="A2" s="458" t="s">
        <v>238</v>
      </c>
      <c r="B2" s="458" t="s">
        <v>239</v>
      </c>
      <c r="C2" s="459" t="s">
        <v>240</v>
      </c>
      <c r="D2" s="459" t="s">
        <v>241</v>
      </c>
      <c r="E2" s="459" t="str">
        <f>'Working Sheet'!A18</f>
        <v>OLD WAGES UP ON 01.10.2022</v>
      </c>
      <c r="F2" s="459" t="str">
        <f>'Working Sheet'!A19</f>
        <v>NEW WAGE AS ON 01.10.2025</v>
      </c>
      <c r="G2" s="459" t="s">
        <v>242</v>
      </c>
      <c r="H2" s="459" t="s">
        <v>243</v>
      </c>
      <c r="I2" s="459" t="s">
        <v>244</v>
      </c>
      <c r="J2" s="459" t="s">
        <v>245</v>
      </c>
      <c r="K2" s="459" t="s">
        <v>246</v>
      </c>
      <c r="L2" s="459" t="s">
        <v>247</v>
      </c>
      <c r="M2" s="459" t="s">
        <v>248</v>
      </c>
      <c r="N2" s="459" t="s">
        <v>249</v>
      </c>
    </row>
    <row r="3" ht="30" customHeight="1">
      <c r="A3" s="460">
        <v>1</v>
      </c>
      <c r="B3" s="461" t="s">
        <v>250</v>
      </c>
      <c r="C3" s="460" t="s">
        <v>251</v>
      </c>
      <c r="D3" s="462">
        <v>6</v>
      </c>
      <c r="E3" s="462">
        <f>'Working Sheet'!$B$18</f>
        <v>477</v>
      </c>
      <c r="F3" s="462">
        <f>'Working Sheet'!$B$19</f>
        <v>541</v>
      </c>
      <c r="G3" s="462">
        <f ref="G3:G9" t="shared" si="0">F3-E3</f>
        <v>64</v>
      </c>
      <c r="H3" s="462">
        <f>SUMIFS('FORM B'!$G$23:$G$50,'FORM B'!$D$23:$D$50,'WAGE REV.'!B3)</f>
        <v>156</v>
      </c>
      <c r="I3" s="462">
        <f ref="I3:I9" t="shared" si="1">G3*H3</f>
        <v>9984</v>
      </c>
      <c r="J3" s="462">
        <f>I3*13%</f>
        <v>1297.92</v>
      </c>
      <c r="K3" s="462">
        <f>ROUNDUP(I3*3.25%,0)</f>
        <v>325</v>
      </c>
      <c r="L3" s="462">
        <f ref="L3:L9" t="shared" si="2">I3*8.33%</f>
        <v>831.6672</v>
      </c>
      <c r="M3" s="462">
        <f ref="M3:M9" t="shared" si="3">I3*4.81%</f>
        <v>480.2304</v>
      </c>
      <c r="N3" s="463">
        <f ref="N3:N9" t="shared" si="4">+I3+J3+K3+L3+M3</f>
        <v>12918.8176</v>
      </c>
    </row>
    <row r="4" ht="30" customHeight="1">
      <c r="A4" s="460">
        <v>2</v>
      </c>
      <c r="B4" s="461" t="s">
        <v>252</v>
      </c>
      <c r="C4" s="460" t="s">
        <v>251</v>
      </c>
      <c r="D4" s="462">
        <v>6</v>
      </c>
      <c r="E4" s="462">
        <f>'Working Sheet'!$B$18</f>
        <v>477</v>
      </c>
      <c r="F4" s="462">
        <f>'Working Sheet'!$B$19</f>
        <v>541</v>
      </c>
      <c r="G4" s="462">
        <f t="shared" si="0"/>
        <v>64</v>
      </c>
      <c r="H4" s="462">
        <f>SUMIFS('FORM B'!$G$23:$G$50,'FORM B'!$D$23:$D$50,'WAGE REV.'!B4)</f>
        <v>155</v>
      </c>
      <c r="I4" s="462">
        <f t="shared" si="1"/>
        <v>9920</v>
      </c>
      <c r="J4" s="462">
        <f>I4*13%</f>
        <v>1289.6000000000001</v>
      </c>
      <c r="K4" s="462">
        <f ref="K4:K9" t="shared" si="5">ROUNDUP(I4*3.25%,0)</f>
        <v>323</v>
      </c>
      <c r="L4" s="462">
        <f t="shared" si="2"/>
        <v>826.336</v>
      </c>
      <c r="M4" s="462">
        <f t="shared" si="3"/>
        <v>477.152</v>
      </c>
      <c r="N4" s="463">
        <f t="shared" si="4"/>
        <v>12836.088</v>
      </c>
    </row>
    <row r="5" ht="30" customHeight="1">
      <c r="A5" s="460">
        <v>3</v>
      </c>
      <c r="B5" s="461" t="s">
        <v>253</v>
      </c>
      <c r="C5" s="460" t="s">
        <v>251</v>
      </c>
      <c r="D5" s="462">
        <v>6</v>
      </c>
      <c r="E5" s="462">
        <f>'Working Sheet'!$B$18</f>
        <v>477</v>
      </c>
      <c r="F5" s="462">
        <f>'Working Sheet'!$B$19</f>
        <v>541</v>
      </c>
      <c r="G5" s="462">
        <f t="shared" si="0"/>
        <v>64</v>
      </c>
      <c r="H5" s="462">
        <f>SUMIFS('FORM B'!$G$23:$G$50,'FORM B'!$D$23:$D$50,'WAGE REV.'!B5)</f>
        <v>155</v>
      </c>
      <c r="I5" s="462">
        <f t="shared" si="1"/>
        <v>9920</v>
      </c>
      <c r="J5" s="462">
        <f>I5*13%</f>
        <v>1289.6000000000001</v>
      </c>
      <c r="K5" s="462">
        <f t="shared" si="5"/>
        <v>323</v>
      </c>
      <c r="L5" s="462">
        <f t="shared" si="2"/>
        <v>826.336</v>
      </c>
      <c r="M5" s="462">
        <f t="shared" si="3"/>
        <v>477.152</v>
      </c>
      <c r="N5" s="463">
        <f t="shared" si="4"/>
        <v>12836.088</v>
      </c>
    </row>
    <row r="6" ht="30" customHeight="1">
      <c r="A6" s="460">
        <v>4</v>
      </c>
      <c r="B6" s="461" t="s">
        <v>254</v>
      </c>
      <c r="C6" s="460" t="s">
        <v>251</v>
      </c>
      <c r="D6" s="462">
        <v>4</v>
      </c>
      <c r="E6" s="462">
        <f>'Working Sheet'!$B$18</f>
        <v>477</v>
      </c>
      <c r="F6" s="462">
        <f>'Working Sheet'!$B$19</f>
        <v>541</v>
      </c>
      <c r="G6" s="462">
        <f t="shared" si="0"/>
        <v>64</v>
      </c>
      <c r="H6" s="462">
        <f>SUMIFS('FORM B'!$G$23:$G$50,'FORM B'!$D$23:$D$50,'WAGE REV.'!B6)</f>
        <v>86</v>
      </c>
      <c r="I6" s="462">
        <f t="shared" si="1"/>
        <v>5504</v>
      </c>
      <c r="J6" s="462">
        <f>I6*13%</f>
        <v>715.52</v>
      </c>
      <c r="K6" s="462">
        <f t="shared" si="5"/>
        <v>179</v>
      </c>
      <c r="L6" s="462">
        <f t="shared" si="2"/>
        <v>458.4832</v>
      </c>
      <c r="M6" s="462">
        <f t="shared" si="3"/>
        <v>264.7424</v>
      </c>
      <c r="N6" s="463">
        <f t="shared" si="4"/>
        <v>7121.7456</v>
      </c>
    </row>
    <row r="7" ht="30" customHeight="1">
      <c r="A7" s="460">
        <v>5</v>
      </c>
      <c r="B7" s="460" t="s">
        <v>255</v>
      </c>
      <c r="C7" s="460" t="s">
        <v>256</v>
      </c>
      <c r="D7" s="462">
        <v>2</v>
      </c>
      <c r="E7" s="462">
        <f>'Working Sheet'!C18</f>
        <v>595</v>
      </c>
      <c r="F7" s="462">
        <f>'Working Sheet'!C19</f>
        <v>674</v>
      </c>
      <c r="G7" s="462">
        <f t="shared" si="0"/>
        <v>79</v>
      </c>
      <c r="H7" s="462">
        <f>SUMIFS('FORM B'!$G$23:$G$50,'FORM B'!$D$23:$D$50,'WAGE REV.'!B7)</f>
        <v>42</v>
      </c>
      <c r="I7" s="462">
        <f t="shared" si="1"/>
        <v>3318</v>
      </c>
      <c r="J7" s="462">
        <v>0</v>
      </c>
      <c r="K7" s="462">
        <f t="shared" si="5"/>
        <v>108</v>
      </c>
      <c r="L7" s="462">
        <f t="shared" si="2"/>
        <v>276.3894</v>
      </c>
      <c r="M7" s="462">
        <f t="shared" si="3"/>
        <v>159.5958</v>
      </c>
      <c r="N7" s="463">
        <f t="shared" si="4"/>
        <v>3861.9852</v>
      </c>
    </row>
    <row r="8" ht="30" customHeight="1">
      <c r="A8" s="460">
        <v>6</v>
      </c>
      <c r="B8" s="461" t="s">
        <v>257</v>
      </c>
      <c r="C8" s="460" t="s">
        <v>251</v>
      </c>
      <c r="D8" s="462">
        <v>2</v>
      </c>
      <c r="E8" s="462">
        <f>'Working Sheet'!$B$18</f>
        <v>477</v>
      </c>
      <c r="F8" s="462">
        <f>'Working Sheet'!$B$19</f>
        <v>541</v>
      </c>
      <c r="G8" s="462">
        <f t="shared" si="0"/>
        <v>64</v>
      </c>
      <c r="H8" s="462">
        <f>SUMIFS('FORM B'!$G$23:$G$50,'FORM B'!$D$23:$D$50,'WAGE REV.'!B8)</f>
        <v>52</v>
      </c>
      <c r="I8" s="462">
        <f t="shared" si="1"/>
        <v>3328</v>
      </c>
      <c r="J8" s="462">
        <f>I8*13%</f>
        <v>432.64</v>
      </c>
      <c r="K8" s="462">
        <f t="shared" si="5"/>
        <v>109</v>
      </c>
      <c r="L8" s="462">
        <f t="shared" si="2"/>
        <v>277.2224</v>
      </c>
      <c r="M8" s="462">
        <f t="shared" si="3"/>
        <v>160.0768</v>
      </c>
      <c r="N8" s="463">
        <f t="shared" si="4"/>
        <v>4306.9392</v>
      </c>
    </row>
    <row r="9" ht="30" customHeight="1">
      <c r="A9" s="460">
        <v>7</v>
      </c>
      <c r="B9" s="460" t="s">
        <v>258</v>
      </c>
      <c r="C9" s="460" t="s">
        <v>251</v>
      </c>
      <c r="D9" s="462">
        <v>1</v>
      </c>
      <c r="E9" s="462">
        <f>'Working Sheet'!D18</f>
        <v>671</v>
      </c>
      <c r="F9" s="462">
        <f>'Working Sheet'!D19</f>
        <v>760</v>
      </c>
      <c r="G9" s="462">
        <f t="shared" si="0"/>
        <v>89</v>
      </c>
      <c r="H9" s="462">
        <f>SUMIFS('FORM B'!$G$23:$G$50,'FORM B'!$D$23:$D$50,'WAGE REV.'!B9)</f>
        <v>26</v>
      </c>
      <c r="I9" s="462">
        <f t="shared" si="1"/>
        <v>2314</v>
      </c>
      <c r="J9" s="462">
        <v>0</v>
      </c>
      <c r="K9" s="462">
        <f t="shared" si="5"/>
        <v>76</v>
      </c>
      <c r="L9" s="462">
        <f t="shared" si="2"/>
        <v>192.7562</v>
      </c>
      <c r="M9" s="462">
        <f t="shared" si="3"/>
        <v>111.3034</v>
      </c>
      <c r="N9" s="463">
        <f t="shared" si="4"/>
        <v>2694.0595999999996</v>
      </c>
    </row>
    <row r="10" ht="30" customHeight="1">
      <c r="A10" s="460"/>
      <c r="B10" s="464" t="s">
        <v>259</v>
      </c>
      <c r="C10" s="464"/>
      <c r="D10" s="464"/>
      <c r="E10" s="464"/>
      <c r="F10" s="464"/>
      <c r="G10" s="464"/>
      <c r="H10" s="464"/>
      <c r="I10" s="464"/>
      <c r="J10" s="464"/>
      <c r="K10" s="464"/>
      <c r="L10" s="464"/>
      <c r="M10" s="464"/>
      <c r="N10" s="465">
        <f>SUM(N3:N9)</f>
        <v>56575.72320000001</v>
      </c>
    </row>
    <row r="11" ht="30" customHeight="1"/>
    <row r="12" ht="30" customHeight="1"/>
    <row r="13" ht="30" customHeight="1">
      <c r="A13" s="466" t="s">
        <v>233</v>
      </c>
      <c r="B13" s="467"/>
      <c r="C13" s="468"/>
      <c r="D13" s="468"/>
    </row>
    <row r="14" ht="30" customHeight="1">
      <c r="A14" s="467"/>
      <c r="B14" s="468"/>
      <c r="C14" s="468"/>
      <c r="D14" s="468"/>
    </row>
    <row r="15" ht="30" customHeight="1">
      <c r="A15" s="469"/>
      <c r="B15" s="470" t="s">
        <v>234</v>
      </c>
      <c r="C15" s="471" t="s">
        <v>260</v>
      </c>
      <c r="D15" s="472"/>
    </row>
    <row r="16" ht="30" customHeight="1">
      <c r="A16" s="473">
        <f>A3</f>
        <v>1</v>
      </c>
      <c r="B16" s="474" t="str">
        <f>B3</f>
        <v>UNSKILLED (VIJJESWARAM) </v>
      </c>
      <c r="C16" s="475">
        <f>N3</f>
        <v>12918.8176</v>
      </c>
      <c r="D16" s="476"/>
    </row>
    <row r="17" ht="30" customHeight="1">
      <c r="A17" s="473">
        <f ref="A17:B22" t="shared" si="6">A4</f>
        <v>2</v>
      </c>
      <c r="B17" s="474" t="str">
        <f t="shared" si="6"/>
        <v>UNSKILLED (KAKINADA) </v>
      </c>
      <c r="C17" s="475">
        <f ref="C17:C22" t="shared" si="7">N4</f>
        <v>12836.088</v>
      </c>
      <c r="D17" s="476"/>
    </row>
    <row r="18" ht="30" customHeight="1">
      <c r="A18" s="473">
        <f t="shared" si="6"/>
        <v>3</v>
      </c>
      <c r="B18" s="474" t="str">
        <f t="shared" si="6"/>
        <v>UNSKILLED (TATIPAKA) </v>
      </c>
      <c r="C18" s="475">
        <f t="shared" si="7"/>
        <v>12836.088</v>
      </c>
      <c r="D18" s="476"/>
    </row>
    <row r="19" ht="30" customHeight="1">
      <c r="A19" s="473">
        <f t="shared" si="6"/>
        <v>4</v>
      </c>
      <c r="B19" s="474" t="str">
        <f t="shared" si="6"/>
        <v>UNSKILLED (GUDIWADA) </v>
      </c>
      <c r="C19" s="475">
        <f t="shared" si="7"/>
        <v>7121.7456</v>
      </c>
      <c r="D19" s="476"/>
    </row>
    <row r="20" ht="30" customHeight="1">
      <c r="A20" s="473">
        <f t="shared" si="6"/>
        <v>5</v>
      </c>
      <c r="B20" s="474" t="str">
        <f t="shared" si="6"/>
        <v>UNSKILLED (LANCO) </v>
      </c>
      <c r="C20" s="475">
        <f t="shared" si="7"/>
        <v>3861.9852</v>
      </c>
      <c r="D20" s="476"/>
    </row>
    <row r="21" ht="30" customHeight="1">
      <c r="A21" s="473">
        <f t="shared" si="6"/>
        <v>6</v>
      </c>
      <c r="B21" s="474" t="str">
        <f t="shared" si="6"/>
        <v>UNSKILLED (VADISALERU) </v>
      </c>
      <c r="C21" s="475">
        <f t="shared" si="7"/>
        <v>4306.9392</v>
      </c>
      <c r="D21" s="476"/>
    </row>
    <row r="22" ht="30" customHeight="1">
      <c r="A22" s="473">
        <f t="shared" si="6"/>
        <v>7</v>
      </c>
      <c r="B22" s="474" t="str">
        <f t="shared" si="6"/>
        <v>SKILLED (SUPERVISOR)</v>
      </c>
      <c r="C22" s="475">
        <f t="shared" si="7"/>
        <v>2694.0595999999996</v>
      </c>
      <c r="D22" s="476"/>
    </row>
    <row r="23" ht="30" customHeight="1">
      <c r="A23" s="469"/>
      <c r="B23" s="477" t="s">
        <v>236</v>
      </c>
      <c r="C23" s="478">
        <f>SUM(C16:C22)</f>
        <v>56575.72320000001</v>
      </c>
      <c r="D23" s="479"/>
    </row>
    <row r="24" ht="30" customHeight="1"/>
    <row r="25" ht="30" customHeight="1"/>
    <row r="26" ht="30" customHeight="1">
      <c r="A26" s="480" t="s">
        <v>237</v>
      </c>
      <c r="B26" s="480"/>
      <c r="C26" s="480"/>
      <c r="D26" s="481"/>
      <c r="E26" s="481"/>
      <c r="F26" s="481"/>
      <c r="G26" s="481"/>
      <c r="H26" s="481"/>
      <c r="I26" s="481"/>
      <c r="J26" s="481"/>
      <c r="K26" s="480" t="s">
        <v>261</v>
      </c>
      <c r="L26" s="480"/>
      <c r="M26" s="480"/>
      <c r="N26" s="480"/>
    </row>
  </sheetData>
  <sheetProtection/>
  <mergeCells>
    <mergeCell ref="A1:N1"/>
    <mergeCell ref="B10:M10"/>
    <mergeCell ref="C15:D15"/>
    <mergeCell ref="C16:D16"/>
    <mergeCell ref="C17:D17"/>
    <mergeCell ref="C18:D18"/>
    <mergeCell ref="C19:D19"/>
    <mergeCell ref="C20:D20"/>
    <mergeCell ref="C21:D21"/>
    <mergeCell ref="C22:D22"/>
    <mergeCell ref="A26:C26"/>
    <mergeCell ref="K26:N26"/>
    <mergeCell ref="C23:D23"/>
  </mergeCells>
  <printOptions horizontalCentered="1"/>
  <pageMargins left="1" right="1" top="1" bottom="1" header="0.5" footer="0.5"/>
  <pageSetup fitToHeight="0" orientation="landscape" paperSize="9" scale="45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E8A5DA53-DB24-456D-92C5-8210E4FB1DB8}">
  <dimension ref="A1:AJ56"/>
  <sheetViews>
    <sheetView view="pageBreakPreview" zoomScale="66" zoomScaleNormal="50" zoomScaleSheetLayoutView="66" zoomScalePageLayoutView="63" workbookViewId="0" topLeftCell="K48">
      <selection pane="topLeft" activeCell="AC23" sqref="AC23"/>
    </sheetView>
  </sheetViews>
  <sheetFormatPr defaultColWidth="8.71428571428571" defaultRowHeight="20.25"/>
  <cols>
    <col min="1" max="1" bestFit="1" width="5.14285714285714" customWidth="1" style="482"/>
    <col min="2" max="2" bestFit="1" width="20" customWidth="1" style="482"/>
    <col min="3" max="3" bestFit="1" width="26" customWidth="1" style="482"/>
    <col min="4" max="4" bestFit="1" width="25.8571428571429" customWidth="1" style="482"/>
    <col min="5" max="5" bestFit="1" width="11.5714285714286" customWidth="1" style="482"/>
    <col min="6" max="6" bestFit="1" width="12.4285714285714" customWidth="1" style="482"/>
    <col min="7" max="7" bestFit="1" width="7" customWidth="1" style="482"/>
    <col min="8" max="8" width="7" customWidth="1" style="482"/>
    <col min="9" max="9" bestFit="1" width="12.4285714285714" customWidth="1" style="482"/>
    <col min="10" max="10" bestFit="1" width="4.42857142857143" customWidth="1" style="482"/>
    <col min="11" max="11" width="8.42857142857143" customWidth="1" style="482"/>
    <col min="12" max="12" width="7.14285714285714" customWidth="1" style="482"/>
    <col min="13" max="13" width="7.42857142857143" customWidth="1" style="482"/>
    <col min="14" max="14" width="5.85714285714286" customWidth="1" style="482"/>
    <col min="15" max="15" width="6.42857142857143" customWidth="1" style="482"/>
    <col min="16" max="17" bestFit="1" width="10.5714285714286" customWidth="1" style="482"/>
    <col min="18" max="18" bestFit="1" width="12.4285714285714" customWidth="1" style="482"/>
    <col min="19" max="19" bestFit="1" width="10.5714285714286" customWidth="1" style="482"/>
    <col min="20" max="20" bestFit="1" width="8.85714285714286" customWidth="1" style="482"/>
    <col min="21" max="21" bestFit="1" width="4" customWidth="1" style="482"/>
    <col min="22" max="22" width="5.57142857142857" customWidth="1" style="482"/>
    <col min="23" max="23" bestFit="1" width="4" customWidth="1" style="482"/>
    <col min="24" max="24" width="8.57142857142857" customWidth="1" style="482"/>
    <col min="25" max="25" bestFit="1" width="4" customWidth="1" style="482"/>
    <col min="26" max="26" width="14.5714285714286" customWidth="1" style="482"/>
    <col min="27" max="27" width="15.8571428571429" customWidth="1" style="482"/>
    <col min="28" max="28" width="15.7142857142857" customWidth="1" style="482"/>
    <col min="29" max="29" bestFit="1" width="18.1428571428571" customWidth="1" style="482"/>
    <col min="30" max="30" bestFit="1" width="18.7142857142857" customWidth="1" style="482"/>
    <col min="31" max="31" width="22.2857142857143" customWidth="1" style="482"/>
    <col min="32" max="32" width="15.8571428571429" customWidth="1" style="482"/>
    <col min="33" max="33" bestFit="1" width="8.42857142857143" customWidth="1" style="482"/>
    <col min="34" max="35" width="17.5714285714286" customWidth="1" style="482"/>
    <col min="36" max="16384" width="8.71428571428571" customWidth="1" style="482"/>
  </cols>
  <sheetData>
    <row r="1" ht="21">
      <c r="A1" s="483" t="s">
        <v>262</v>
      </c>
      <c r="B1" s="483"/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4"/>
      <c r="AA1" s="484"/>
      <c r="AB1" s="484"/>
      <c r="AC1" s="484"/>
      <c r="AD1" s="484"/>
      <c r="AE1" s="484"/>
      <c r="AF1" s="484"/>
      <c r="AI1" s="485" t="s">
        <v>263</v>
      </c>
      <c r="AJ1" s="485"/>
    </row>
    <row r="2" ht="21">
      <c r="A2" s="483" t="s">
        <v>264</v>
      </c>
      <c r="B2" s="483"/>
      <c r="C2" s="483"/>
      <c r="D2" s="483"/>
      <c r="E2" s="483"/>
      <c r="F2" s="483"/>
      <c r="G2" s="483"/>
      <c r="H2" s="483"/>
      <c r="I2" s="483"/>
      <c r="J2" s="483"/>
      <c r="K2" s="483"/>
      <c r="L2" s="483"/>
      <c r="M2" s="483"/>
      <c r="N2" s="483"/>
      <c r="O2" s="483"/>
      <c r="P2" s="483"/>
      <c r="Q2" s="483"/>
      <c r="R2" s="483"/>
      <c r="S2" s="483"/>
      <c r="T2" s="483"/>
      <c r="U2" s="483"/>
      <c r="V2" s="483"/>
      <c r="W2" s="483"/>
      <c r="X2" s="483"/>
      <c r="Y2" s="483"/>
      <c r="Z2" s="483"/>
      <c r="AA2" s="483"/>
      <c r="AB2" s="483"/>
      <c r="AC2" s="483"/>
      <c r="AD2" s="483"/>
      <c r="AE2" s="483"/>
      <c r="AF2" s="483"/>
      <c r="AI2" s="485"/>
      <c r="AJ2" s="485"/>
    </row>
    <row r="3" ht="10.5" customHeight="1">
      <c r="A3" s="483"/>
      <c r="B3" s="483"/>
      <c r="C3" s="484"/>
      <c r="D3" s="484"/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484"/>
      <c r="R3" s="484"/>
      <c r="S3" s="484"/>
      <c r="T3" s="484"/>
      <c r="U3" s="484"/>
      <c r="V3" s="484"/>
      <c r="W3" s="484"/>
      <c r="X3" s="484"/>
      <c r="Y3" s="484"/>
      <c r="Z3" s="484"/>
      <c r="AA3" s="484"/>
      <c r="AB3" s="484"/>
      <c r="AC3" s="484"/>
      <c r="AD3" s="484"/>
      <c r="AE3" s="484"/>
      <c r="AF3" s="484"/>
      <c r="AI3" s="485"/>
      <c r="AJ3" s="485"/>
    </row>
    <row r="4" ht="30.75" customHeight="1" s="486" customFormat="1">
      <c r="A4" s="487" t="s">
        <v>265</v>
      </c>
      <c r="B4" s="487"/>
      <c r="C4" s="487"/>
      <c r="D4" s="487"/>
      <c r="E4" s="487"/>
      <c r="F4" s="487"/>
      <c r="G4" s="487"/>
      <c r="H4" s="487"/>
      <c r="I4" s="487"/>
      <c r="J4" s="487"/>
      <c r="K4" s="487"/>
      <c r="L4" s="487"/>
      <c r="M4" s="487"/>
      <c r="N4" s="487"/>
      <c r="O4" s="487"/>
      <c r="P4" s="487"/>
      <c r="Q4" s="487"/>
      <c r="R4" s="487"/>
      <c r="S4" s="487"/>
      <c r="T4" s="487"/>
      <c r="U4" s="487"/>
      <c r="V4" s="487"/>
      <c r="W4" s="487"/>
      <c r="X4" s="487"/>
      <c r="Y4" s="487"/>
      <c r="Z4" s="487"/>
      <c r="AA4" s="487"/>
      <c r="AB4" s="487"/>
      <c r="AC4" s="487"/>
      <c r="AD4" s="487"/>
      <c r="AE4" s="487"/>
      <c r="AF4" s="487"/>
      <c r="AI4" s="484">
        <v>1</v>
      </c>
      <c r="AJ4" s="488" t="s">
        <v>266</v>
      </c>
    </row>
    <row r="5" ht="22.5" customHeight="1" s="489" customFormat="1">
      <c r="A5" s="487"/>
      <c r="B5" s="487"/>
      <c r="C5" s="487"/>
      <c r="D5" s="487"/>
      <c r="E5" s="487"/>
      <c r="F5" s="487"/>
      <c r="G5" s="487"/>
      <c r="H5" s="487"/>
      <c r="I5" s="490" t="s">
        <v>267</v>
      </c>
      <c r="J5" s="491"/>
      <c r="K5" s="491"/>
      <c r="L5" s="491"/>
      <c r="M5" s="491"/>
      <c r="N5" s="490" t="s">
        <v>268</v>
      </c>
      <c r="O5" s="491"/>
      <c r="P5" s="491"/>
      <c r="Q5" s="491"/>
      <c r="R5" s="491"/>
      <c r="S5" s="491"/>
      <c r="T5" s="491"/>
      <c r="U5" s="492"/>
      <c r="V5" s="487" t="s">
        <v>269</v>
      </c>
      <c r="W5" s="487"/>
      <c r="X5" s="487"/>
      <c r="Y5" s="487"/>
      <c r="Z5" s="487"/>
      <c r="AA5" s="487" t="s">
        <v>270</v>
      </c>
      <c r="AB5" s="487"/>
      <c r="AC5" s="487"/>
      <c r="AD5" s="487"/>
      <c r="AE5" s="487"/>
      <c r="AF5" s="487"/>
      <c r="AI5" s="484">
        <v>2</v>
      </c>
      <c r="AJ5" s="488" t="s">
        <v>271</v>
      </c>
    </row>
    <row r="6" ht="22.5" customHeight="1" s="489" customFormat="1">
      <c r="A6" s="493" t="s">
        <v>272</v>
      </c>
      <c r="B6" s="493"/>
      <c r="C6" s="493"/>
      <c r="D6" s="493"/>
      <c r="E6" s="493"/>
      <c r="F6" s="493"/>
      <c r="G6" s="493"/>
      <c r="H6" s="493"/>
      <c r="I6" s="494" t="s">
        <v>145</v>
      </c>
      <c r="J6" s="495"/>
      <c r="K6" s="495"/>
      <c r="L6" s="495"/>
      <c r="M6" s="495"/>
      <c r="N6" s="494" t="s">
        <v>273</v>
      </c>
      <c r="O6" s="495"/>
      <c r="P6" s="495"/>
      <c r="Q6" s="495"/>
      <c r="R6" s="495"/>
      <c r="S6" s="495"/>
      <c r="T6" s="495"/>
      <c r="U6" s="496"/>
      <c r="V6" s="497" t="s">
        <v>145</v>
      </c>
      <c r="W6" s="497"/>
      <c r="X6" s="497"/>
      <c r="Y6" s="497"/>
      <c r="Z6" s="497"/>
      <c r="AA6" s="498" t="s">
        <v>274</v>
      </c>
      <c r="AB6" s="499"/>
      <c r="AC6" s="499"/>
      <c r="AD6" s="499"/>
      <c r="AE6" s="499"/>
      <c r="AF6" s="500"/>
      <c r="AI6" s="484">
        <v>3</v>
      </c>
      <c r="AJ6" s="488" t="s">
        <v>275</v>
      </c>
    </row>
    <row r="7" ht="22.5" customHeight="1" s="489" customFormat="1">
      <c r="A7" s="493" t="s">
        <v>276</v>
      </c>
      <c r="B7" s="493"/>
      <c r="C7" s="493"/>
      <c r="D7" s="493"/>
      <c r="E7" s="493"/>
      <c r="F7" s="493"/>
      <c r="G7" s="493"/>
      <c r="H7" s="493"/>
      <c r="I7" s="501"/>
      <c r="J7" s="502"/>
      <c r="K7" s="502"/>
      <c r="L7" s="502"/>
      <c r="M7" s="502"/>
      <c r="N7" s="501"/>
      <c r="O7" s="502"/>
      <c r="P7" s="502"/>
      <c r="Q7" s="502"/>
      <c r="R7" s="502"/>
      <c r="S7" s="502"/>
      <c r="T7" s="502"/>
      <c r="U7" s="503"/>
      <c r="V7" s="497"/>
      <c r="W7" s="497"/>
      <c r="X7" s="497"/>
      <c r="Y7" s="497"/>
      <c r="Z7" s="497"/>
      <c r="AA7" s="498" t="s">
        <v>277</v>
      </c>
      <c r="AB7" s="499"/>
      <c r="AC7" s="499"/>
      <c r="AD7" s="499"/>
      <c r="AE7" s="499"/>
      <c r="AF7" s="500"/>
      <c r="AI7" s="484">
        <v>4</v>
      </c>
      <c r="AJ7" s="488" t="s">
        <v>278</v>
      </c>
    </row>
    <row r="8" ht="22.5" customHeight="1" s="489" customFormat="1">
      <c r="A8" s="493" t="s">
        <v>279</v>
      </c>
      <c r="B8" s="493"/>
      <c r="C8" s="493"/>
      <c r="D8" s="493"/>
      <c r="E8" s="493"/>
      <c r="F8" s="493"/>
      <c r="G8" s="493"/>
      <c r="H8" s="493"/>
      <c r="I8" s="504"/>
      <c r="J8" s="505"/>
      <c r="K8" s="505"/>
      <c r="L8" s="505"/>
      <c r="M8" s="505"/>
      <c r="N8" s="504"/>
      <c r="O8" s="505"/>
      <c r="P8" s="505"/>
      <c r="Q8" s="505"/>
      <c r="R8" s="505"/>
      <c r="S8" s="505"/>
      <c r="T8" s="505"/>
      <c r="U8" s="506"/>
      <c r="V8" s="507"/>
      <c r="W8" s="487"/>
      <c r="X8" s="487"/>
      <c r="Y8" s="487"/>
      <c r="Z8" s="487"/>
      <c r="AA8" s="507"/>
      <c r="AB8" s="507"/>
      <c r="AC8" s="507"/>
      <c r="AD8" s="507"/>
      <c r="AE8" s="507"/>
      <c r="AF8" s="507"/>
      <c r="AI8" s="484">
        <v>5</v>
      </c>
      <c r="AJ8" s="488" t="s">
        <v>280</v>
      </c>
    </row>
    <row r="9" ht="13.5" customHeight="1" s="489" customFormat="1">
      <c r="A9" s="508"/>
      <c r="B9" s="508"/>
      <c r="C9" s="508"/>
      <c r="D9" s="508"/>
      <c r="E9" s="508"/>
      <c r="F9" s="508"/>
      <c r="G9" s="508"/>
      <c r="H9" s="508"/>
      <c r="I9" s="509"/>
      <c r="J9" s="509"/>
      <c r="K9" s="509"/>
      <c r="L9" s="509"/>
      <c r="M9" s="509"/>
      <c r="N9" s="509"/>
      <c r="O9" s="509"/>
      <c r="P9" s="509"/>
      <c r="Q9" s="509"/>
      <c r="R9" s="484"/>
      <c r="S9" s="484"/>
      <c r="T9" s="484"/>
      <c r="U9" s="484"/>
      <c r="V9" s="509"/>
      <c r="W9" s="484"/>
      <c r="X9" s="484"/>
      <c r="Y9" s="484"/>
      <c r="Z9" s="484"/>
      <c r="AA9" s="509"/>
      <c r="AB9" s="509"/>
      <c r="AC9" s="509"/>
      <c r="AD9" s="509"/>
      <c r="AE9" s="509"/>
      <c r="AF9" s="509"/>
      <c r="AI9" s="484"/>
      <c r="AJ9" s="488"/>
    </row>
    <row r="10" ht="30" customHeight="1" s="489" customFormat="1">
      <c r="A10" s="510" t="s">
        <v>281</v>
      </c>
      <c r="B10" s="510"/>
      <c r="C10" s="510"/>
      <c r="D10" s="510"/>
      <c r="E10" s="510"/>
      <c r="F10" s="510"/>
      <c r="G10" s="510"/>
      <c r="H10" s="510"/>
      <c r="I10" s="510"/>
      <c r="J10" s="511" t="s">
        <v>282</v>
      </c>
      <c r="K10" s="510" t="s">
        <v>22</v>
      </c>
      <c r="L10" s="510"/>
      <c r="M10" s="510"/>
      <c r="N10" s="510"/>
      <c r="O10" s="510"/>
      <c r="P10" s="510"/>
      <c r="Q10" s="510"/>
      <c r="R10" s="510"/>
      <c r="S10" s="510"/>
      <c r="T10" s="510"/>
      <c r="U10" s="510"/>
      <c r="V10" s="510"/>
      <c r="W10" s="510"/>
      <c r="X10" s="510"/>
      <c r="Y10" s="510"/>
      <c r="Z10" s="510"/>
      <c r="AA10" s="510"/>
      <c r="AB10" s="510"/>
      <c r="AC10" s="510"/>
      <c r="AD10" s="510"/>
      <c r="AE10" s="510"/>
      <c r="AF10" s="510"/>
      <c r="AI10" s="484">
        <v>6</v>
      </c>
      <c r="AJ10" s="488" t="s">
        <v>283</v>
      </c>
    </row>
    <row r="11" ht="11.25" customHeight="1" s="489" customFormat="1">
      <c r="A11" s="510"/>
      <c r="B11" s="510"/>
      <c r="C11" s="510"/>
      <c r="D11" s="510"/>
      <c r="E11" s="510"/>
      <c r="F11" s="510"/>
      <c r="G11" s="510"/>
      <c r="H11" s="510"/>
      <c r="I11" s="510"/>
      <c r="J11" s="510"/>
      <c r="K11" s="510"/>
      <c r="L11" s="510"/>
      <c r="M11" s="510"/>
      <c r="N11" s="510"/>
      <c r="O11" s="510"/>
      <c r="P11" s="510"/>
      <c r="Q11" s="510"/>
      <c r="R11" s="510"/>
      <c r="S11" s="512"/>
      <c r="T11" s="513"/>
      <c r="U11" s="513"/>
      <c r="V11" s="513"/>
      <c r="W11" s="513"/>
      <c r="X11" s="513"/>
      <c r="Y11" s="514"/>
      <c r="Z11" s="515"/>
      <c r="AA11" s="516"/>
      <c r="AB11" s="517"/>
      <c r="AC11" s="515"/>
      <c r="AD11" s="515"/>
      <c r="AE11" s="515"/>
      <c r="AF11" s="518"/>
      <c r="AI11" s="484"/>
      <c r="AJ11" s="488"/>
    </row>
    <row r="12" ht="30" customHeight="1" s="489" customFormat="1">
      <c r="A12" s="513" t="s">
        <v>284</v>
      </c>
      <c r="B12" s="513"/>
      <c r="C12" s="513"/>
      <c r="D12" s="513"/>
      <c r="E12" s="513"/>
      <c r="F12" s="513"/>
      <c r="G12" s="513"/>
      <c r="H12" s="513"/>
      <c r="I12" s="513"/>
      <c r="J12" s="511" t="s">
        <v>282</v>
      </c>
      <c r="K12" s="510" t="s">
        <v>285</v>
      </c>
      <c r="L12" s="510"/>
      <c r="M12" s="510"/>
      <c r="N12" s="510"/>
      <c r="O12" s="510"/>
      <c r="P12" s="510"/>
      <c r="Q12" s="510"/>
      <c r="R12" s="510"/>
      <c r="S12" s="510"/>
      <c r="T12" s="510"/>
      <c r="U12" s="510"/>
      <c r="V12" s="510"/>
      <c r="W12" s="510"/>
      <c r="X12" s="510"/>
      <c r="Y12" s="510"/>
      <c r="Z12" s="510"/>
      <c r="AA12" s="510"/>
      <c r="AB12" s="510"/>
      <c r="AC12" s="510"/>
      <c r="AD12" s="510"/>
      <c r="AE12" s="510"/>
      <c r="AF12" s="510"/>
      <c r="AI12" s="484">
        <v>7</v>
      </c>
      <c r="AJ12" s="488" t="s">
        <v>286</v>
      </c>
    </row>
    <row r="13" ht="8.25" customHeight="1" s="489" customFormat="1">
      <c r="A13" s="519"/>
      <c r="B13" s="519"/>
      <c r="C13" s="519"/>
      <c r="D13" s="519"/>
      <c r="E13" s="519"/>
      <c r="F13" s="519"/>
      <c r="G13" s="519"/>
      <c r="H13" s="519"/>
      <c r="I13" s="519"/>
      <c r="J13" s="519"/>
      <c r="K13" s="519"/>
      <c r="L13" s="519"/>
      <c r="M13" s="519"/>
      <c r="N13" s="519"/>
      <c r="O13" s="519"/>
      <c r="P13" s="519"/>
      <c r="Q13" s="519"/>
      <c r="R13" s="519"/>
      <c r="S13" s="518"/>
      <c r="T13" s="518"/>
      <c r="U13" s="518"/>
      <c r="V13" s="518"/>
      <c r="W13" s="518"/>
      <c r="X13" s="518"/>
      <c r="Y13" s="518"/>
      <c r="Z13" s="518"/>
      <c r="AA13" s="518"/>
      <c r="AB13" s="518"/>
      <c r="AC13" s="518"/>
      <c r="AD13" s="518"/>
      <c r="AE13" s="518"/>
      <c r="AF13" s="518"/>
      <c r="AI13" s="484"/>
      <c r="AJ13" s="488"/>
    </row>
    <row r="14" ht="30" customHeight="1" s="489" customFormat="1">
      <c r="A14" s="510" t="s">
        <v>287</v>
      </c>
      <c r="B14" s="510"/>
      <c r="C14" s="510"/>
      <c r="D14" s="510"/>
      <c r="E14" s="510"/>
      <c r="F14" s="510"/>
      <c r="G14" s="510"/>
      <c r="H14" s="510"/>
      <c r="I14" s="510"/>
      <c r="J14" s="511" t="s">
        <v>282</v>
      </c>
      <c r="K14" s="510" t="s">
        <v>288</v>
      </c>
      <c r="L14" s="510"/>
      <c r="M14" s="510"/>
      <c r="N14" s="510"/>
      <c r="O14" s="510"/>
      <c r="P14" s="510"/>
      <c r="Q14" s="510"/>
      <c r="R14" s="510"/>
      <c r="S14" s="510"/>
      <c r="T14" s="510"/>
      <c r="U14" s="510"/>
      <c r="V14" s="510"/>
      <c r="W14" s="510"/>
      <c r="X14" s="510"/>
      <c r="Y14" s="510"/>
      <c r="Z14" s="510"/>
      <c r="AA14" s="510"/>
      <c r="AB14" s="510"/>
      <c r="AC14" s="510"/>
      <c r="AD14" s="510"/>
      <c r="AE14" s="510"/>
      <c r="AF14" s="510"/>
      <c r="AI14" s="484"/>
      <c r="AJ14" s="488"/>
    </row>
    <row r="15" ht="6" customHeight="1" s="489" customFormat="1">
      <c r="A15" s="519"/>
      <c r="B15" s="519"/>
      <c r="C15" s="519"/>
      <c r="D15" s="519"/>
      <c r="E15" s="519"/>
      <c r="F15" s="519"/>
      <c r="G15" s="519"/>
      <c r="H15" s="519"/>
      <c r="I15" s="519"/>
      <c r="J15" s="519"/>
      <c r="K15" s="519"/>
      <c r="L15" s="519"/>
      <c r="M15" s="519"/>
      <c r="N15" s="519"/>
      <c r="O15" s="519"/>
      <c r="P15" s="519"/>
      <c r="Q15" s="519"/>
      <c r="R15" s="519"/>
      <c r="S15" s="518"/>
      <c r="T15" s="518"/>
      <c r="U15" s="518"/>
      <c r="V15" s="518"/>
      <c r="W15" s="518"/>
      <c r="X15" s="518"/>
      <c r="Y15" s="518"/>
      <c r="Z15" s="518"/>
      <c r="AA15" s="518"/>
      <c r="AB15" s="518"/>
      <c r="AC15" s="518"/>
      <c r="AD15" s="518"/>
      <c r="AE15" s="518"/>
      <c r="AF15" s="518"/>
      <c r="AI15" s="484"/>
      <c r="AJ15" s="488"/>
    </row>
    <row r="16" ht="30" customHeight="1" s="489" customFormat="1">
      <c r="A16" s="510" t="s">
        <v>289</v>
      </c>
      <c r="B16" s="510"/>
      <c r="C16" s="510"/>
      <c r="D16" s="510"/>
      <c r="E16" s="510"/>
      <c r="F16" s="510"/>
      <c r="G16" s="510"/>
      <c r="H16" s="510"/>
      <c r="I16" s="510"/>
      <c r="J16" s="511" t="s">
        <v>282</v>
      </c>
      <c r="K16" s="510"/>
      <c r="L16" s="510"/>
      <c r="M16" s="510"/>
      <c r="N16" s="510"/>
      <c r="O16" s="510"/>
      <c r="P16" s="510"/>
      <c r="Q16" s="510"/>
      <c r="R16" s="510"/>
      <c r="S16" s="510"/>
      <c r="T16" s="510"/>
      <c r="U16" s="510"/>
      <c r="V16" s="510"/>
      <c r="W16" s="510"/>
      <c r="X16" s="510"/>
      <c r="Y16" s="520" t="s">
        <v>290</v>
      </c>
      <c r="Z16" s="520"/>
      <c r="AA16" s="520"/>
      <c r="AB16" s="521" t="s">
        <v>291</v>
      </c>
      <c r="AC16" s="520"/>
      <c r="AD16" s="520"/>
      <c r="AE16" s="520"/>
      <c r="AF16" s="520"/>
      <c r="AI16" s="484"/>
      <c r="AJ16" s="488"/>
    </row>
    <row r="17" ht="8.25" customHeight="1" s="489" customFormat="1">
      <c r="A17" s="513"/>
      <c r="B17" s="513"/>
      <c r="C17" s="513"/>
      <c r="D17" s="513"/>
      <c r="E17" s="513"/>
      <c r="F17" s="513"/>
      <c r="G17" s="513"/>
      <c r="H17" s="513"/>
      <c r="I17" s="513"/>
      <c r="J17" s="513"/>
      <c r="K17" s="513"/>
      <c r="L17" s="513"/>
      <c r="M17" s="513"/>
      <c r="N17" s="513"/>
      <c r="O17" s="513"/>
      <c r="P17" s="513"/>
      <c r="Q17" s="513"/>
      <c r="R17" s="513"/>
      <c r="S17" s="508"/>
      <c r="T17" s="508"/>
      <c r="U17" s="508"/>
      <c r="V17" s="508"/>
      <c r="W17" s="508"/>
      <c r="X17" s="518"/>
      <c r="Y17" s="515"/>
      <c r="Z17" s="518"/>
      <c r="AA17" s="518"/>
      <c r="AB17" s="518"/>
      <c r="AC17" s="518"/>
      <c r="AD17" s="518"/>
      <c r="AE17" s="518"/>
      <c r="AF17" s="518"/>
      <c r="AI17" s="484"/>
      <c r="AJ17" s="488"/>
    </row>
    <row r="18" ht="40.5" customHeight="1" s="489" customFormat="1">
      <c r="A18" s="510" t="s">
        <v>292</v>
      </c>
      <c r="B18" s="510"/>
      <c r="C18" s="510"/>
      <c r="D18" s="510"/>
      <c r="E18" s="510"/>
      <c r="F18" s="510"/>
      <c r="G18" s="510"/>
      <c r="H18" s="510"/>
      <c r="I18" s="510"/>
      <c r="J18" s="511" t="s">
        <v>282</v>
      </c>
      <c r="K18" s="510" t="s">
        <v>293</v>
      </c>
      <c r="L18" s="510"/>
      <c r="M18" s="510"/>
      <c r="N18" s="510"/>
      <c r="O18" s="510"/>
      <c r="P18" s="510"/>
      <c r="Q18" s="510"/>
      <c r="R18" s="510"/>
      <c r="S18" s="510"/>
      <c r="T18" s="510"/>
      <c r="U18" s="510"/>
      <c r="V18" s="510"/>
      <c r="W18" s="510"/>
      <c r="X18" s="510"/>
      <c r="Y18" s="518" t="s">
        <v>294</v>
      </c>
      <c r="Z18" s="511"/>
      <c r="AA18" s="511"/>
      <c r="AB18" s="511"/>
      <c r="AC18" s="511"/>
      <c r="AD18" s="511"/>
      <c r="AE18" s="511"/>
      <c r="AF18" s="511"/>
      <c r="AI18" s="484"/>
      <c r="AJ18" s="488"/>
    </row>
    <row r="19" ht="8.25" customHeight="1" s="489" customFormat="1">
      <c r="A19" s="519"/>
      <c r="B19" s="519"/>
      <c r="C19" s="519"/>
      <c r="D19" s="519"/>
      <c r="E19" s="519"/>
      <c r="F19" s="519"/>
      <c r="G19" s="519"/>
      <c r="H19" s="519"/>
      <c r="I19" s="519"/>
      <c r="J19" s="519"/>
      <c r="K19" s="519"/>
      <c r="L19" s="519"/>
      <c r="M19" s="519"/>
      <c r="N19" s="519"/>
      <c r="O19" s="519"/>
      <c r="P19" s="519"/>
      <c r="Q19" s="519"/>
      <c r="R19" s="519"/>
      <c r="S19" s="518"/>
      <c r="T19" s="518"/>
      <c r="U19" s="518"/>
      <c r="V19" s="518"/>
      <c r="W19" s="518"/>
      <c r="X19" s="518"/>
      <c r="Y19" s="518"/>
      <c r="Z19" s="518"/>
      <c r="AA19" s="518"/>
      <c r="AB19" s="518"/>
      <c r="AC19" s="518"/>
      <c r="AD19" s="518"/>
      <c r="AE19" s="518"/>
      <c r="AF19" s="518"/>
      <c r="AI19" s="484"/>
      <c r="AJ19" s="488"/>
    </row>
    <row r="20" ht="21" customHeight="1">
      <c r="A20" s="522" t="s">
        <v>295</v>
      </c>
      <c r="B20" s="522" t="s">
        <v>171</v>
      </c>
      <c r="C20" s="523" t="s">
        <v>296</v>
      </c>
      <c r="D20" s="522"/>
      <c r="E20" s="522" t="s">
        <v>297</v>
      </c>
      <c r="F20" s="522" t="s">
        <v>298</v>
      </c>
      <c r="G20" s="523" t="s">
        <v>299</v>
      </c>
      <c r="H20" s="524" t="s">
        <v>300</v>
      </c>
      <c r="I20" s="522" t="s">
        <v>301</v>
      </c>
      <c r="J20" s="522" t="s">
        <v>302</v>
      </c>
      <c r="K20" s="524" t="s">
        <v>303</v>
      </c>
      <c r="L20" s="524" t="s">
        <v>304</v>
      </c>
      <c r="M20" s="525" t="s">
        <v>305</v>
      </c>
      <c r="N20" s="525" t="s">
        <v>306</v>
      </c>
      <c r="O20" s="524" t="s">
        <v>307</v>
      </c>
      <c r="P20" s="524" t="s">
        <v>308</v>
      </c>
      <c r="Q20" s="524" t="s">
        <v>309</v>
      </c>
      <c r="R20" s="523" t="s">
        <v>310</v>
      </c>
      <c r="S20" s="526" t="s">
        <v>311</v>
      </c>
      <c r="T20" s="526"/>
      <c r="U20" s="526"/>
      <c r="V20" s="526"/>
      <c r="W20" s="526"/>
      <c r="X20" s="526"/>
      <c r="Y20" s="526"/>
      <c r="Z20" s="526"/>
      <c r="AA20" s="523" t="s">
        <v>312</v>
      </c>
      <c r="AB20" s="523" t="s">
        <v>313</v>
      </c>
      <c r="AC20" s="523" t="s">
        <v>314</v>
      </c>
      <c r="AD20" s="522" t="s">
        <v>315</v>
      </c>
      <c r="AE20" s="523" t="s">
        <v>316</v>
      </c>
      <c r="AF20" s="523" t="s">
        <v>317</v>
      </c>
      <c r="AI20" s="484"/>
      <c r="AJ20" s="488"/>
    </row>
    <row r="21" ht="114.95" customHeight="1">
      <c r="A21" s="527"/>
      <c r="B21" s="527"/>
      <c r="C21" s="523"/>
      <c r="D21" s="527" t="s">
        <v>318</v>
      </c>
      <c r="E21" s="527"/>
      <c r="F21" s="527"/>
      <c r="G21" s="523"/>
      <c r="H21" s="528"/>
      <c r="I21" s="527"/>
      <c r="J21" s="527"/>
      <c r="K21" s="528"/>
      <c r="L21" s="528"/>
      <c r="M21" s="525"/>
      <c r="N21" s="525"/>
      <c r="O21" s="528"/>
      <c r="P21" s="528"/>
      <c r="Q21" s="528"/>
      <c r="R21" s="523"/>
      <c r="S21" s="525" t="s">
        <v>319</v>
      </c>
      <c r="T21" s="525" t="s">
        <v>320</v>
      </c>
      <c r="U21" s="525" t="s">
        <v>321</v>
      </c>
      <c r="V21" s="525" t="s">
        <v>322</v>
      </c>
      <c r="W21" s="525" t="s">
        <v>323</v>
      </c>
      <c r="X21" s="523" t="s">
        <v>324</v>
      </c>
      <c r="Y21" s="525" t="s">
        <v>325</v>
      </c>
      <c r="Z21" s="523" t="s">
        <v>326</v>
      </c>
      <c r="AA21" s="523"/>
      <c r="AB21" s="523"/>
      <c r="AC21" s="523"/>
      <c r="AD21" s="527"/>
      <c r="AE21" s="523"/>
      <c r="AF21" s="523"/>
    </row>
    <row r="22" ht="22.5" customHeight="1" s="486" customFormat="1">
      <c r="A22" s="523">
        <v>1</v>
      </c>
      <c r="B22" s="523" t="s">
        <v>327</v>
      </c>
      <c r="C22" s="529">
        <v>2</v>
      </c>
      <c r="D22" s="530"/>
      <c r="E22" s="530">
        <v>3</v>
      </c>
      <c r="F22" s="530" t="s">
        <v>328</v>
      </c>
      <c r="G22" s="529">
        <v>4</v>
      </c>
      <c r="H22" s="529">
        <v>5</v>
      </c>
      <c r="I22" s="529">
        <v>6</v>
      </c>
      <c r="J22" s="529">
        <v>7</v>
      </c>
      <c r="K22" s="529">
        <v>8</v>
      </c>
      <c r="L22" s="529">
        <v>9</v>
      </c>
      <c r="M22" s="529">
        <v>10</v>
      </c>
      <c r="N22" s="529" t="s">
        <v>329</v>
      </c>
      <c r="O22" s="529" t="s">
        <v>330</v>
      </c>
      <c r="P22" s="529" t="s">
        <v>331</v>
      </c>
      <c r="Q22" s="529" t="s">
        <v>332</v>
      </c>
      <c r="R22" s="529">
        <v>11</v>
      </c>
      <c r="S22" s="529">
        <v>12</v>
      </c>
      <c r="T22" s="529">
        <v>13</v>
      </c>
      <c r="U22" s="529">
        <v>14</v>
      </c>
      <c r="V22" s="529">
        <v>15</v>
      </c>
      <c r="W22" s="529">
        <v>16</v>
      </c>
      <c r="X22" s="531">
        <v>17</v>
      </c>
      <c r="Y22" s="529">
        <v>18</v>
      </c>
      <c r="Z22" s="529">
        <v>19</v>
      </c>
      <c r="AA22" s="529">
        <v>20</v>
      </c>
      <c r="AB22" s="529">
        <v>21</v>
      </c>
      <c r="AC22" s="529">
        <v>22</v>
      </c>
      <c r="AD22" s="529">
        <v>23</v>
      </c>
      <c r="AE22" s="529">
        <v>24</v>
      </c>
      <c r="AF22" s="529">
        <v>25</v>
      </c>
    </row>
    <row r="23" ht="84" s="532" customFormat="1">
      <c r="A23" s="533">
        <v>1</v>
      </c>
      <c r="B23" s="533" t="s">
        <v>179</v>
      </c>
      <c r="C23" s="534" t="s">
        <v>333</v>
      </c>
      <c r="D23" s="534" t="s">
        <v>250</v>
      </c>
      <c r="E23" s="535">
        <v>541</v>
      </c>
      <c r="F23" s="536">
        <v>14066</v>
      </c>
      <c r="G23" s="537">
        <v>26</v>
      </c>
      <c r="H23" s="538"/>
      <c r="I23" s="536">
        <v>14066</v>
      </c>
      <c r="J23" s="536"/>
      <c r="K23" s="533"/>
      <c r="L23" s="533"/>
      <c r="M23" s="533"/>
      <c r="N23" s="533"/>
      <c r="O23" s="533"/>
      <c r="P23" s="536">
        <v>1171.6978</v>
      </c>
      <c r="Q23" s="538">
        <v>676.5745999999999</v>
      </c>
      <c r="R23" s="539">
        <v>15914.2724</v>
      </c>
      <c r="S23" s="536">
        <v>1688</v>
      </c>
      <c r="T23" s="536">
        <v>105.49499999999999</v>
      </c>
      <c r="U23" s="533"/>
      <c r="V23" s="533"/>
      <c r="W23" s="533"/>
      <c r="X23" s="533"/>
      <c r="Y23" s="536"/>
      <c r="Z23" s="539">
        <v>1793.495</v>
      </c>
      <c r="AA23" s="540">
        <v>14121</v>
      </c>
      <c r="AB23" s="533">
        <f>ROUND(IF(I23*13%&gt;1950,1950,I23*13%),0)</f>
        <v>1829</v>
      </c>
      <c r="AC23" s="536">
        <f>IF(I23&gt;21000,21000*3.25%,I23*3.25%)</f>
        <v>457.14500000000004</v>
      </c>
      <c r="AD23" s="541" t="s">
        <v>334</v>
      </c>
      <c r="AE23" s="542" t="s">
        <v>335</v>
      </c>
      <c r="AF23" s="541" t="s">
        <v>336</v>
      </c>
      <c r="AG23" s="543"/>
      <c r="AH23" s="543"/>
      <c r="AI23" s="543"/>
      <c r="AJ23" s="543"/>
    </row>
    <row r="24" ht="84" s="532" customFormat="1">
      <c r="A24" s="533">
        <v>2</v>
      </c>
      <c r="B24" s="533" t="s">
        <v>226</v>
      </c>
      <c r="C24" s="534" t="s">
        <v>337</v>
      </c>
      <c r="D24" s="534" t="s">
        <v>257</v>
      </c>
      <c r="E24" s="535">
        <v>541</v>
      </c>
      <c r="F24" s="536">
        <v>14066</v>
      </c>
      <c r="G24" s="537">
        <v>26</v>
      </c>
      <c r="H24" s="538"/>
      <c r="I24" s="536">
        <v>14066</v>
      </c>
      <c r="J24" s="536"/>
      <c r="K24" s="533"/>
      <c r="L24" s="533"/>
      <c r="M24" s="533"/>
      <c r="N24" s="533"/>
      <c r="O24" s="533"/>
      <c r="P24" s="536">
        <v>1171.6978</v>
      </c>
      <c r="Q24" s="536">
        <v>676.5745999999999</v>
      </c>
      <c r="R24" s="539">
        <v>15914.2724</v>
      </c>
      <c r="S24" s="536">
        <v>1688</v>
      </c>
      <c r="T24" s="536">
        <v>105.49499999999999</v>
      </c>
      <c r="U24" s="533"/>
      <c r="V24" s="533"/>
      <c r="W24" s="533"/>
      <c r="X24" s="533"/>
      <c r="Y24" s="536"/>
      <c r="Z24" s="539">
        <v>1793.495</v>
      </c>
      <c r="AA24" s="540">
        <v>14121</v>
      </c>
      <c r="AB24" s="533">
        <f ref="AB24:AB50" t="shared" si="0">ROUND(IF(I24*13%&gt;1950,1950,I24*13%),0)</f>
        <v>1829</v>
      </c>
      <c r="AC24" s="536">
        <f ref="AC24:AC50" t="shared" si="1">IF(I24&gt;21000,21000*3.25%,I24*3.25%)</f>
        <v>457.14500000000004</v>
      </c>
      <c r="AD24" s="541" t="s">
        <v>334</v>
      </c>
      <c r="AE24" s="542" t="s">
        <v>335</v>
      </c>
      <c r="AF24" s="541" t="s">
        <v>336</v>
      </c>
      <c r="AG24" s="543"/>
      <c r="AH24" s="543"/>
      <c r="AI24" s="543"/>
      <c r="AJ24" s="543"/>
    </row>
    <row r="25" ht="105" s="532" customFormat="1">
      <c r="A25" s="533">
        <v>3</v>
      </c>
      <c r="B25" s="533" t="s">
        <v>191</v>
      </c>
      <c r="C25" s="534" t="s">
        <v>338</v>
      </c>
      <c r="D25" s="534" t="s">
        <v>252</v>
      </c>
      <c r="E25" s="535">
        <v>541</v>
      </c>
      <c r="F25" s="536">
        <v>14066</v>
      </c>
      <c r="G25" s="537">
        <v>26</v>
      </c>
      <c r="H25" s="538"/>
      <c r="I25" s="536">
        <v>14066</v>
      </c>
      <c r="J25" s="536"/>
      <c r="K25" s="533"/>
      <c r="L25" s="533"/>
      <c r="M25" s="533"/>
      <c r="N25" s="533"/>
      <c r="O25" s="533"/>
      <c r="P25" s="536">
        <v>1171.6978</v>
      </c>
      <c r="Q25" s="536">
        <v>676.5745999999999</v>
      </c>
      <c r="R25" s="539">
        <v>15914.2724</v>
      </c>
      <c r="S25" s="536">
        <v>1688</v>
      </c>
      <c r="T25" s="536">
        <v>105.49499999999999</v>
      </c>
      <c r="U25" s="533"/>
      <c r="V25" s="533"/>
      <c r="W25" s="533"/>
      <c r="X25" s="533"/>
      <c r="Y25" s="536"/>
      <c r="Z25" s="539">
        <v>1793.495</v>
      </c>
      <c r="AA25" s="540">
        <v>14121</v>
      </c>
      <c r="AB25" s="533">
        <f t="shared" si="0"/>
        <v>1829</v>
      </c>
      <c r="AC25" s="536">
        <f t="shared" si="1"/>
        <v>457.14500000000004</v>
      </c>
      <c r="AD25" s="541" t="s">
        <v>334</v>
      </c>
      <c r="AE25" s="542" t="s">
        <v>335</v>
      </c>
      <c r="AF25" s="541" t="s">
        <v>336</v>
      </c>
      <c r="AG25" s="543"/>
      <c r="AH25" s="543"/>
      <c r="AI25" s="543"/>
      <c r="AJ25" s="543"/>
    </row>
    <row r="26" ht="105" s="532" customFormat="1">
      <c r="A26" s="533">
        <v>4</v>
      </c>
      <c r="B26" s="533" t="s">
        <v>193</v>
      </c>
      <c r="C26" s="534" t="s">
        <v>339</v>
      </c>
      <c r="D26" s="534" t="s">
        <v>252</v>
      </c>
      <c r="E26" s="535">
        <v>541</v>
      </c>
      <c r="F26" s="536">
        <v>14066</v>
      </c>
      <c r="G26" s="537">
        <v>26</v>
      </c>
      <c r="H26" s="538"/>
      <c r="I26" s="536">
        <v>14066</v>
      </c>
      <c r="J26" s="536"/>
      <c r="K26" s="533"/>
      <c r="L26" s="533"/>
      <c r="M26" s="533"/>
      <c r="N26" s="533"/>
      <c r="O26" s="533"/>
      <c r="P26" s="536">
        <v>1171.6978</v>
      </c>
      <c r="Q26" s="536">
        <v>676.5745999999999</v>
      </c>
      <c r="R26" s="539">
        <v>15914.2724</v>
      </c>
      <c r="S26" s="536">
        <v>1688</v>
      </c>
      <c r="T26" s="536">
        <v>105.49499999999999</v>
      </c>
      <c r="U26" s="533"/>
      <c r="V26" s="533"/>
      <c r="W26" s="533"/>
      <c r="X26" s="533"/>
      <c r="Y26" s="536"/>
      <c r="Z26" s="539">
        <v>1793.495</v>
      </c>
      <c r="AA26" s="540">
        <v>14121</v>
      </c>
      <c r="AB26" s="533">
        <f t="shared" si="0"/>
        <v>1829</v>
      </c>
      <c r="AC26" s="536">
        <f t="shared" si="1"/>
        <v>457.14500000000004</v>
      </c>
      <c r="AD26" s="541" t="s">
        <v>334</v>
      </c>
      <c r="AE26" s="542" t="s">
        <v>335</v>
      </c>
      <c r="AF26" s="541" t="s">
        <v>336</v>
      </c>
      <c r="AG26" s="543"/>
      <c r="AH26" s="543"/>
      <c r="AI26" s="543"/>
      <c r="AJ26" s="543"/>
    </row>
    <row r="27" ht="84" s="532" customFormat="1">
      <c r="A27" s="533">
        <v>5</v>
      </c>
      <c r="B27" s="533" t="s">
        <v>340</v>
      </c>
      <c r="C27" s="534" t="s">
        <v>341</v>
      </c>
      <c r="D27" s="534" t="s">
        <v>230</v>
      </c>
      <c r="E27" s="535">
        <v>760</v>
      </c>
      <c r="F27" s="536">
        <v>19760</v>
      </c>
      <c r="G27" s="537">
        <v>26</v>
      </c>
      <c r="H27" s="538"/>
      <c r="I27" s="536">
        <v>19760</v>
      </c>
      <c r="J27" s="536"/>
      <c r="K27" s="533"/>
      <c r="L27" s="533"/>
      <c r="M27" s="533"/>
      <c r="N27" s="533"/>
      <c r="O27" s="533"/>
      <c r="P27" s="536">
        <v>1646.008</v>
      </c>
      <c r="Q27" s="536">
        <v>950.4559999999999</v>
      </c>
      <c r="R27" s="539">
        <v>22356.464</v>
      </c>
      <c r="S27" s="536">
        <v>1800</v>
      </c>
      <c r="T27" s="536">
        <v>148.2</v>
      </c>
      <c r="U27" s="533"/>
      <c r="V27" s="533"/>
      <c r="W27" s="533"/>
      <c r="X27" s="533"/>
      <c r="Y27" s="536"/>
      <c r="Z27" s="539">
        <v>1948.2</v>
      </c>
      <c r="AA27" s="540">
        <v>20408</v>
      </c>
      <c r="AB27" s="533">
        <f t="shared" si="0"/>
        <v>1950</v>
      </c>
      <c r="AC27" s="536">
        <f t="shared" si="1"/>
        <v>642.2</v>
      </c>
      <c r="AD27" s="541" t="s">
        <v>334</v>
      </c>
      <c r="AE27" s="542" t="s">
        <v>335</v>
      </c>
      <c r="AF27" s="541" t="s">
        <v>336</v>
      </c>
      <c r="AG27" s="543"/>
      <c r="AH27" s="543"/>
      <c r="AI27" s="543"/>
      <c r="AJ27" s="543"/>
    </row>
    <row r="28" ht="105" s="532" customFormat="1">
      <c r="A28" s="533">
        <v>6</v>
      </c>
      <c r="B28" s="533" t="s">
        <v>195</v>
      </c>
      <c r="C28" s="534" t="s">
        <v>342</v>
      </c>
      <c r="D28" s="534" t="s">
        <v>252</v>
      </c>
      <c r="E28" s="535">
        <v>541</v>
      </c>
      <c r="F28" s="536">
        <v>13525</v>
      </c>
      <c r="G28" s="537">
        <v>25</v>
      </c>
      <c r="H28" s="538"/>
      <c r="I28" s="536">
        <v>13525</v>
      </c>
      <c r="J28" s="536"/>
      <c r="K28" s="533"/>
      <c r="L28" s="533"/>
      <c r="M28" s="533"/>
      <c r="N28" s="533"/>
      <c r="O28" s="533"/>
      <c r="P28" s="536">
        <v>1126.6325</v>
      </c>
      <c r="Q28" s="536">
        <v>650.5525</v>
      </c>
      <c r="R28" s="539">
        <v>15302.185</v>
      </c>
      <c r="S28" s="536">
        <v>1623</v>
      </c>
      <c r="T28" s="536">
        <v>101.4375</v>
      </c>
      <c r="U28" s="533"/>
      <c r="V28" s="533"/>
      <c r="W28" s="533"/>
      <c r="X28" s="533"/>
      <c r="Y28" s="536"/>
      <c r="Z28" s="539">
        <v>1724.4375</v>
      </c>
      <c r="AA28" s="540">
        <v>13578</v>
      </c>
      <c r="AB28" s="533">
        <f t="shared" si="0"/>
        <v>1758</v>
      </c>
      <c r="AC28" s="536">
        <f t="shared" si="1"/>
        <v>439.5625</v>
      </c>
      <c r="AD28" s="541" t="s">
        <v>334</v>
      </c>
      <c r="AE28" s="542" t="s">
        <v>335</v>
      </c>
      <c r="AF28" s="541" t="s">
        <v>336</v>
      </c>
      <c r="AG28" s="543"/>
      <c r="AH28" s="543"/>
      <c r="AI28" s="543"/>
      <c r="AJ28" s="543"/>
    </row>
    <row r="29" ht="84" s="532" customFormat="1">
      <c r="A29" s="533">
        <v>7</v>
      </c>
      <c r="B29" s="533" t="s">
        <v>197</v>
      </c>
      <c r="C29" s="534" t="s">
        <v>343</v>
      </c>
      <c r="D29" s="534" t="s">
        <v>252</v>
      </c>
      <c r="E29" s="535">
        <v>541</v>
      </c>
      <c r="F29" s="536">
        <v>14066</v>
      </c>
      <c r="G29" s="537">
        <v>26</v>
      </c>
      <c r="H29" s="538"/>
      <c r="I29" s="536">
        <v>14066</v>
      </c>
      <c r="J29" s="536"/>
      <c r="K29" s="533"/>
      <c r="L29" s="533"/>
      <c r="M29" s="533"/>
      <c r="N29" s="533"/>
      <c r="O29" s="533"/>
      <c r="P29" s="536">
        <v>1171.6978</v>
      </c>
      <c r="Q29" s="536">
        <v>676.5745999999999</v>
      </c>
      <c r="R29" s="539">
        <v>15914.2724</v>
      </c>
      <c r="S29" s="536">
        <v>1688</v>
      </c>
      <c r="T29" s="536">
        <v>105.49499999999999</v>
      </c>
      <c r="U29" s="533"/>
      <c r="V29" s="533"/>
      <c r="W29" s="533"/>
      <c r="X29" s="533"/>
      <c r="Y29" s="536"/>
      <c r="Z29" s="539">
        <v>1793.495</v>
      </c>
      <c r="AA29" s="540">
        <v>14121</v>
      </c>
      <c r="AB29" s="533">
        <f t="shared" si="0"/>
        <v>1829</v>
      </c>
      <c r="AC29" s="536">
        <f t="shared" si="1"/>
        <v>457.14500000000004</v>
      </c>
      <c r="AD29" s="541" t="s">
        <v>334</v>
      </c>
      <c r="AE29" s="542" t="s">
        <v>335</v>
      </c>
      <c r="AF29" s="541" t="s">
        <v>336</v>
      </c>
      <c r="AG29" s="543"/>
      <c r="AH29" s="543"/>
      <c r="AI29" s="543"/>
      <c r="AJ29" s="543"/>
    </row>
    <row r="30" ht="84" s="532" customFormat="1">
      <c r="A30" s="533">
        <v>8</v>
      </c>
      <c r="B30" s="533" t="s">
        <v>199</v>
      </c>
      <c r="C30" s="534" t="s">
        <v>344</v>
      </c>
      <c r="D30" s="534" t="s">
        <v>252</v>
      </c>
      <c r="E30" s="535">
        <v>541</v>
      </c>
      <c r="F30" s="536">
        <v>14066</v>
      </c>
      <c r="G30" s="537">
        <v>26</v>
      </c>
      <c r="H30" s="538"/>
      <c r="I30" s="536">
        <v>14066</v>
      </c>
      <c r="J30" s="536"/>
      <c r="K30" s="533"/>
      <c r="L30" s="533"/>
      <c r="M30" s="533"/>
      <c r="N30" s="533"/>
      <c r="O30" s="533"/>
      <c r="P30" s="536">
        <v>1171.6978</v>
      </c>
      <c r="Q30" s="536">
        <v>676.5745999999999</v>
      </c>
      <c r="R30" s="539">
        <v>15914.2724</v>
      </c>
      <c r="S30" s="536">
        <v>1688</v>
      </c>
      <c r="T30" s="536">
        <v>105.49499999999999</v>
      </c>
      <c r="U30" s="533"/>
      <c r="V30" s="533"/>
      <c r="W30" s="533"/>
      <c r="X30" s="533"/>
      <c r="Y30" s="536"/>
      <c r="Z30" s="539">
        <v>1793.495</v>
      </c>
      <c r="AA30" s="540">
        <v>14121</v>
      </c>
      <c r="AB30" s="533">
        <f t="shared" si="0"/>
        <v>1829</v>
      </c>
      <c r="AC30" s="536">
        <f t="shared" si="1"/>
        <v>457.14500000000004</v>
      </c>
      <c r="AD30" s="541" t="s">
        <v>334</v>
      </c>
      <c r="AE30" s="542" t="s">
        <v>335</v>
      </c>
      <c r="AF30" s="541" t="s">
        <v>336</v>
      </c>
      <c r="AG30" s="543"/>
      <c r="AH30" s="543"/>
      <c r="AI30" s="543"/>
      <c r="AJ30" s="543"/>
    </row>
    <row r="31" ht="84" s="532" customFormat="1">
      <c r="A31" s="533">
        <v>9</v>
      </c>
      <c r="B31" s="533" t="s">
        <v>203</v>
      </c>
      <c r="C31" s="534" t="s">
        <v>345</v>
      </c>
      <c r="D31" s="534" t="s">
        <v>253</v>
      </c>
      <c r="E31" s="535">
        <v>541</v>
      </c>
      <c r="F31" s="536">
        <v>13525</v>
      </c>
      <c r="G31" s="537">
        <v>25</v>
      </c>
      <c r="H31" s="538"/>
      <c r="I31" s="536">
        <v>13525</v>
      </c>
      <c r="J31" s="536"/>
      <c r="K31" s="533"/>
      <c r="L31" s="533"/>
      <c r="M31" s="533"/>
      <c r="N31" s="533"/>
      <c r="O31" s="533"/>
      <c r="P31" s="536">
        <v>1126.6325</v>
      </c>
      <c r="Q31" s="536">
        <v>650.5525</v>
      </c>
      <c r="R31" s="539">
        <v>15302.185</v>
      </c>
      <c r="S31" s="536">
        <v>1623</v>
      </c>
      <c r="T31" s="536">
        <v>101.4375</v>
      </c>
      <c r="U31" s="533"/>
      <c r="V31" s="533"/>
      <c r="W31" s="533"/>
      <c r="X31" s="533"/>
      <c r="Y31" s="536"/>
      <c r="Z31" s="539">
        <v>1724.4375</v>
      </c>
      <c r="AA31" s="540">
        <v>13578</v>
      </c>
      <c r="AB31" s="533">
        <f t="shared" si="0"/>
        <v>1758</v>
      </c>
      <c r="AC31" s="536">
        <f t="shared" si="1"/>
        <v>439.5625</v>
      </c>
      <c r="AD31" s="541" t="s">
        <v>334</v>
      </c>
      <c r="AE31" s="542" t="s">
        <v>335</v>
      </c>
      <c r="AF31" s="541" t="s">
        <v>336</v>
      </c>
      <c r="AG31" s="543"/>
      <c r="AH31" s="543"/>
      <c r="AI31" s="543"/>
      <c r="AJ31" s="543"/>
    </row>
    <row r="32" ht="84" s="532" customFormat="1">
      <c r="A32" s="533">
        <v>10</v>
      </c>
      <c r="B32" s="533" t="s">
        <v>205</v>
      </c>
      <c r="C32" s="534" t="s">
        <v>346</v>
      </c>
      <c r="D32" s="534" t="s">
        <v>253</v>
      </c>
      <c r="E32" s="535">
        <v>541</v>
      </c>
      <c r="F32" s="536">
        <v>14066</v>
      </c>
      <c r="G32" s="537">
        <v>26</v>
      </c>
      <c r="H32" s="538"/>
      <c r="I32" s="536">
        <v>14066</v>
      </c>
      <c r="J32" s="536"/>
      <c r="K32" s="533"/>
      <c r="L32" s="533"/>
      <c r="M32" s="533"/>
      <c r="N32" s="533"/>
      <c r="O32" s="533"/>
      <c r="P32" s="536">
        <v>1171.6978</v>
      </c>
      <c r="Q32" s="536">
        <v>676.5745999999999</v>
      </c>
      <c r="R32" s="539">
        <v>15914.2724</v>
      </c>
      <c r="S32" s="536">
        <v>1688</v>
      </c>
      <c r="T32" s="536">
        <v>105.49499999999999</v>
      </c>
      <c r="U32" s="533"/>
      <c r="V32" s="533"/>
      <c r="W32" s="533"/>
      <c r="X32" s="533"/>
      <c r="Y32" s="536"/>
      <c r="Z32" s="539">
        <v>1793.495</v>
      </c>
      <c r="AA32" s="540">
        <v>14121</v>
      </c>
      <c r="AB32" s="533">
        <f t="shared" si="0"/>
        <v>1829</v>
      </c>
      <c r="AC32" s="536">
        <f t="shared" si="1"/>
        <v>457.14500000000004</v>
      </c>
      <c r="AD32" s="541" t="s">
        <v>334</v>
      </c>
      <c r="AE32" s="542" t="s">
        <v>335</v>
      </c>
      <c r="AF32" s="541" t="s">
        <v>336</v>
      </c>
      <c r="AG32" s="543"/>
      <c r="AH32" s="543"/>
      <c r="AI32" s="543"/>
      <c r="AJ32" s="543"/>
    </row>
    <row r="33" ht="105" s="532" customFormat="1">
      <c r="A33" s="533">
        <v>11</v>
      </c>
      <c r="B33" s="533" t="s">
        <v>207</v>
      </c>
      <c r="C33" s="534" t="s">
        <v>347</v>
      </c>
      <c r="D33" s="534" t="s">
        <v>253</v>
      </c>
      <c r="E33" s="535">
        <v>541</v>
      </c>
      <c r="F33" s="536">
        <v>14066</v>
      </c>
      <c r="G33" s="537">
        <v>26</v>
      </c>
      <c r="H33" s="538"/>
      <c r="I33" s="536">
        <v>14066</v>
      </c>
      <c r="J33" s="536"/>
      <c r="K33" s="533"/>
      <c r="L33" s="533"/>
      <c r="M33" s="533"/>
      <c r="N33" s="533"/>
      <c r="O33" s="533"/>
      <c r="P33" s="536">
        <v>1171.6978</v>
      </c>
      <c r="Q33" s="536">
        <v>676.5745999999999</v>
      </c>
      <c r="R33" s="539">
        <v>15914.2724</v>
      </c>
      <c r="S33" s="536">
        <v>1688</v>
      </c>
      <c r="T33" s="536">
        <v>105.49499999999999</v>
      </c>
      <c r="U33" s="533"/>
      <c r="V33" s="533"/>
      <c r="W33" s="533"/>
      <c r="X33" s="533"/>
      <c r="Y33" s="536"/>
      <c r="Z33" s="539">
        <v>1793.495</v>
      </c>
      <c r="AA33" s="540">
        <v>14121</v>
      </c>
      <c r="AB33" s="533">
        <f t="shared" si="0"/>
        <v>1829</v>
      </c>
      <c r="AC33" s="536">
        <f t="shared" si="1"/>
        <v>457.14500000000004</v>
      </c>
      <c r="AD33" s="541" t="s">
        <v>334</v>
      </c>
      <c r="AE33" s="542" t="s">
        <v>335</v>
      </c>
      <c r="AF33" s="541" t="s">
        <v>336</v>
      </c>
      <c r="AG33" s="543"/>
      <c r="AH33" s="543"/>
      <c r="AI33" s="543"/>
      <c r="AJ33" s="543"/>
    </row>
    <row r="34" ht="84" s="532" customFormat="1">
      <c r="A34" s="533">
        <v>12</v>
      </c>
      <c r="B34" s="533" t="s">
        <v>228</v>
      </c>
      <c r="C34" s="534" t="s">
        <v>348</v>
      </c>
      <c r="D34" s="534" t="s">
        <v>257</v>
      </c>
      <c r="E34" s="535">
        <v>541</v>
      </c>
      <c r="F34" s="536">
        <v>14066</v>
      </c>
      <c r="G34" s="537">
        <v>26</v>
      </c>
      <c r="H34" s="538"/>
      <c r="I34" s="536">
        <v>14066</v>
      </c>
      <c r="J34" s="536"/>
      <c r="K34" s="533"/>
      <c r="L34" s="533"/>
      <c r="M34" s="533"/>
      <c r="N34" s="533"/>
      <c r="O34" s="533"/>
      <c r="P34" s="536">
        <v>1171.6978</v>
      </c>
      <c r="Q34" s="536">
        <v>676.5745999999999</v>
      </c>
      <c r="R34" s="539">
        <v>15914.2724</v>
      </c>
      <c r="S34" s="536">
        <v>1688</v>
      </c>
      <c r="T34" s="536">
        <v>105.49499999999999</v>
      </c>
      <c r="U34" s="533"/>
      <c r="V34" s="533"/>
      <c r="W34" s="533"/>
      <c r="X34" s="533"/>
      <c r="Y34" s="536"/>
      <c r="Z34" s="539">
        <v>1793.495</v>
      </c>
      <c r="AA34" s="540">
        <v>14121</v>
      </c>
      <c r="AB34" s="533">
        <f t="shared" si="0"/>
        <v>1829</v>
      </c>
      <c r="AC34" s="536">
        <f t="shared" si="1"/>
        <v>457.14500000000004</v>
      </c>
      <c r="AD34" s="541" t="s">
        <v>334</v>
      </c>
      <c r="AE34" s="542" t="s">
        <v>335</v>
      </c>
      <c r="AF34" s="541" t="s">
        <v>336</v>
      </c>
      <c r="AG34" s="543"/>
      <c r="AH34" s="543"/>
      <c r="AI34" s="543"/>
      <c r="AJ34" s="543"/>
    </row>
    <row r="35" ht="105" s="532" customFormat="1">
      <c r="A35" s="533">
        <v>13</v>
      </c>
      <c r="B35" s="533" t="s">
        <v>181</v>
      </c>
      <c r="C35" s="534" t="s">
        <v>349</v>
      </c>
      <c r="D35" s="534" t="s">
        <v>250</v>
      </c>
      <c r="E35" s="535">
        <v>541</v>
      </c>
      <c r="F35" s="536">
        <v>14066</v>
      </c>
      <c r="G35" s="537">
        <v>26</v>
      </c>
      <c r="H35" s="538"/>
      <c r="I35" s="536">
        <v>14066</v>
      </c>
      <c r="J35" s="536"/>
      <c r="K35" s="533"/>
      <c r="L35" s="533"/>
      <c r="M35" s="533"/>
      <c r="N35" s="533"/>
      <c r="O35" s="533"/>
      <c r="P35" s="536">
        <v>1171.6978</v>
      </c>
      <c r="Q35" s="536">
        <v>676.5745999999999</v>
      </c>
      <c r="R35" s="539">
        <v>15914.2724</v>
      </c>
      <c r="S35" s="536">
        <v>1688</v>
      </c>
      <c r="T35" s="536">
        <v>105.49499999999999</v>
      </c>
      <c r="U35" s="533"/>
      <c r="V35" s="533"/>
      <c r="W35" s="533"/>
      <c r="X35" s="533"/>
      <c r="Y35" s="536"/>
      <c r="Z35" s="539">
        <v>1793.495</v>
      </c>
      <c r="AA35" s="540">
        <v>14121</v>
      </c>
      <c r="AB35" s="533">
        <f t="shared" si="0"/>
        <v>1829</v>
      </c>
      <c r="AC35" s="536">
        <f t="shared" si="1"/>
        <v>457.14500000000004</v>
      </c>
      <c r="AD35" s="541" t="s">
        <v>334</v>
      </c>
      <c r="AE35" s="542" t="s">
        <v>335</v>
      </c>
      <c r="AF35" s="541" t="s">
        <v>336</v>
      </c>
      <c r="AG35" s="543"/>
      <c r="AH35" s="543"/>
      <c r="AI35" s="543"/>
      <c r="AJ35" s="543"/>
    </row>
    <row r="36" ht="105" s="532" customFormat="1">
      <c r="A36" s="533">
        <v>14</v>
      </c>
      <c r="B36" s="533" t="s">
        <v>215</v>
      </c>
      <c r="C36" s="534" t="s">
        <v>350</v>
      </c>
      <c r="D36" s="534" t="s">
        <v>254</v>
      </c>
      <c r="E36" s="535">
        <v>541</v>
      </c>
      <c r="F36" s="536">
        <v>4869</v>
      </c>
      <c r="G36" s="537">
        <v>9</v>
      </c>
      <c r="H36" s="538"/>
      <c r="I36" s="536">
        <v>4869</v>
      </c>
      <c r="J36" s="536"/>
      <c r="K36" s="533"/>
      <c r="L36" s="533"/>
      <c r="M36" s="533"/>
      <c r="N36" s="533"/>
      <c r="O36" s="533"/>
      <c r="P36" s="536">
        <v>405.5877</v>
      </c>
      <c r="Q36" s="536">
        <v>234.19889999999998</v>
      </c>
      <c r="R36" s="539">
        <v>5508.7866</v>
      </c>
      <c r="S36" s="536">
        <v>584</v>
      </c>
      <c r="T36" s="536">
        <v>36.5175</v>
      </c>
      <c r="U36" s="533"/>
      <c r="V36" s="533"/>
      <c r="W36" s="533"/>
      <c r="X36" s="533"/>
      <c r="Y36" s="536"/>
      <c r="Z36" s="539">
        <v>620.5175</v>
      </c>
      <c r="AA36" s="540">
        <v>4888</v>
      </c>
      <c r="AB36" s="533">
        <f t="shared" si="0"/>
        <v>633</v>
      </c>
      <c r="AC36" s="536">
        <f t="shared" si="1"/>
        <v>158.2425</v>
      </c>
      <c r="AD36" s="541" t="s">
        <v>334</v>
      </c>
      <c r="AE36" s="542" t="s">
        <v>335</v>
      </c>
      <c r="AF36" s="541" t="s">
        <v>336</v>
      </c>
      <c r="AG36" s="543"/>
      <c r="AH36" s="543"/>
      <c r="AI36" s="543"/>
      <c r="AJ36" s="543"/>
    </row>
    <row r="37" ht="123.6" customHeight="1" s="532" customFormat="1">
      <c r="A37" s="533">
        <v>16</v>
      </c>
      <c r="B37" s="533" t="s">
        <v>217</v>
      </c>
      <c r="C37" s="534" t="s">
        <v>351</v>
      </c>
      <c r="D37" s="534" t="s">
        <v>254</v>
      </c>
      <c r="E37" s="535">
        <v>541</v>
      </c>
      <c r="F37" s="536">
        <v>13525</v>
      </c>
      <c r="G37" s="537">
        <v>25</v>
      </c>
      <c r="H37" s="538"/>
      <c r="I37" s="536">
        <v>13525</v>
      </c>
      <c r="J37" s="536"/>
      <c r="K37" s="533"/>
      <c r="L37" s="533"/>
      <c r="M37" s="533"/>
      <c r="N37" s="533"/>
      <c r="O37" s="533"/>
      <c r="P37" s="536">
        <v>1126.6325</v>
      </c>
      <c r="Q37" s="536">
        <v>650.5525</v>
      </c>
      <c r="R37" s="539">
        <v>15302.185</v>
      </c>
      <c r="S37" s="536">
        <v>1623</v>
      </c>
      <c r="T37" s="536">
        <v>101.4375</v>
      </c>
      <c r="U37" s="533"/>
      <c r="V37" s="533"/>
      <c r="W37" s="533"/>
      <c r="X37" s="533"/>
      <c r="Y37" s="536"/>
      <c r="Z37" s="539">
        <v>1724.4375</v>
      </c>
      <c r="AA37" s="540">
        <v>13578</v>
      </c>
      <c r="AB37" s="533">
        <f t="shared" si="0"/>
        <v>1758</v>
      </c>
      <c r="AC37" s="536">
        <f t="shared" si="1"/>
        <v>439.5625</v>
      </c>
      <c r="AD37" s="541" t="s">
        <v>334</v>
      </c>
      <c r="AE37" s="542" t="s">
        <v>335</v>
      </c>
      <c r="AF37" s="541" t="s">
        <v>336</v>
      </c>
      <c r="AG37" s="543"/>
      <c r="AH37" s="543"/>
      <c r="AI37" s="543"/>
      <c r="AJ37" s="543"/>
    </row>
    <row r="38" ht="105" s="532" customFormat="1">
      <c r="A38" s="533">
        <v>15</v>
      </c>
      <c r="B38" s="533" t="s">
        <v>201</v>
      </c>
      <c r="C38" s="534" t="s">
        <v>352</v>
      </c>
      <c r="D38" s="534" t="s">
        <v>252</v>
      </c>
      <c r="E38" s="535">
        <v>541</v>
      </c>
      <c r="F38" s="536">
        <v>14066</v>
      </c>
      <c r="G38" s="537">
        <v>26</v>
      </c>
      <c r="H38" s="538"/>
      <c r="I38" s="536">
        <v>14066</v>
      </c>
      <c r="J38" s="536"/>
      <c r="K38" s="533"/>
      <c r="L38" s="533"/>
      <c r="M38" s="533"/>
      <c r="N38" s="533"/>
      <c r="O38" s="533"/>
      <c r="P38" s="536">
        <v>1171.6978</v>
      </c>
      <c r="Q38" s="536">
        <v>676.5745999999999</v>
      </c>
      <c r="R38" s="539">
        <v>15914.2724</v>
      </c>
      <c r="S38" s="536">
        <v>1688</v>
      </c>
      <c r="T38" s="536">
        <v>105.49499999999999</v>
      </c>
      <c r="U38" s="533"/>
      <c r="V38" s="533"/>
      <c r="W38" s="533"/>
      <c r="X38" s="533"/>
      <c r="Y38" s="536"/>
      <c r="Z38" s="539">
        <v>1793.495</v>
      </c>
      <c r="AA38" s="540">
        <v>14121</v>
      </c>
      <c r="AB38" s="533">
        <f t="shared" si="0"/>
        <v>1829</v>
      </c>
      <c r="AC38" s="536">
        <f t="shared" si="1"/>
        <v>457.14500000000004</v>
      </c>
      <c r="AD38" s="541" t="s">
        <v>334</v>
      </c>
      <c r="AE38" s="542" t="s">
        <v>335</v>
      </c>
      <c r="AF38" s="541" t="s">
        <v>336</v>
      </c>
      <c r="AG38" s="543"/>
      <c r="AH38" s="543"/>
      <c r="AI38" s="543"/>
      <c r="AJ38" s="543"/>
    </row>
    <row r="39" ht="105" s="544" customFormat="1">
      <c r="A39" s="533">
        <v>17</v>
      </c>
      <c r="B39" s="545" t="s">
        <v>183</v>
      </c>
      <c r="C39" s="534" t="s">
        <v>353</v>
      </c>
      <c r="D39" s="534" t="s">
        <v>250</v>
      </c>
      <c r="E39" s="546">
        <v>541</v>
      </c>
      <c r="F39" s="547">
        <v>14066</v>
      </c>
      <c r="G39" s="548">
        <v>26</v>
      </c>
      <c r="H39" s="549"/>
      <c r="I39" s="547">
        <v>14066</v>
      </c>
      <c r="J39" s="547"/>
      <c r="K39" s="545"/>
      <c r="L39" s="545"/>
      <c r="M39" s="545"/>
      <c r="N39" s="545"/>
      <c r="O39" s="545"/>
      <c r="P39" s="547">
        <v>1171.6978</v>
      </c>
      <c r="Q39" s="547">
        <v>676.5745999999999</v>
      </c>
      <c r="R39" s="550">
        <v>15914.2724</v>
      </c>
      <c r="S39" s="547">
        <v>1688</v>
      </c>
      <c r="T39" s="547">
        <v>105.49499999999999</v>
      </c>
      <c r="U39" s="545"/>
      <c r="V39" s="545"/>
      <c r="W39" s="545"/>
      <c r="X39" s="545"/>
      <c r="Y39" s="547"/>
      <c r="Z39" s="550">
        <v>1793.495</v>
      </c>
      <c r="AA39" s="551">
        <v>14121</v>
      </c>
      <c r="AB39" s="533">
        <f t="shared" si="0"/>
        <v>1829</v>
      </c>
      <c r="AC39" s="536">
        <f t="shared" si="1"/>
        <v>457.14500000000004</v>
      </c>
      <c r="AD39" s="541" t="s">
        <v>334</v>
      </c>
      <c r="AE39" s="542" t="s">
        <v>335</v>
      </c>
      <c r="AF39" s="541" t="s">
        <v>336</v>
      </c>
      <c r="AG39" s="552"/>
      <c r="AH39" s="552"/>
      <c r="AI39" s="552"/>
      <c r="AJ39" s="552"/>
    </row>
    <row r="40" ht="105" s="532" customFormat="1">
      <c r="A40" s="533">
        <v>18</v>
      </c>
      <c r="B40" s="533" t="s">
        <v>185</v>
      </c>
      <c r="C40" s="534" t="s">
        <v>354</v>
      </c>
      <c r="D40" s="534" t="s">
        <v>250</v>
      </c>
      <c r="E40" s="535">
        <v>541</v>
      </c>
      <c r="F40" s="536">
        <v>14066</v>
      </c>
      <c r="G40" s="537">
        <v>26</v>
      </c>
      <c r="H40" s="538"/>
      <c r="I40" s="536">
        <v>14066</v>
      </c>
      <c r="J40" s="536"/>
      <c r="K40" s="533"/>
      <c r="L40" s="533"/>
      <c r="M40" s="533"/>
      <c r="N40" s="533"/>
      <c r="O40" s="533"/>
      <c r="P40" s="536">
        <v>1171.6978</v>
      </c>
      <c r="Q40" s="536">
        <v>676.5745999999999</v>
      </c>
      <c r="R40" s="539">
        <v>15914.2724</v>
      </c>
      <c r="S40" s="536">
        <v>1688</v>
      </c>
      <c r="T40" s="536">
        <v>105.49499999999999</v>
      </c>
      <c r="U40" s="533"/>
      <c r="V40" s="533"/>
      <c r="W40" s="533"/>
      <c r="X40" s="533"/>
      <c r="Y40" s="536"/>
      <c r="Z40" s="539">
        <v>1793.495</v>
      </c>
      <c r="AA40" s="540">
        <v>14121</v>
      </c>
      <c r="AB40" s="533">
        <f t="shared" si="0"/>
        <v>1829</v>
      </c>
      <c r="AC40" s="536">
        <f t="shared" si="1"/>
        <v>457.14500000000004</v>
      </c>
      <c r="AD40" s="541" t="s">
        <v>334</v>
      </c>
      <c r="AE40" s="542" t="s">
        <v>335</v>
      </c>
      <c r="AF40" s="541" t="s">
        <v>336</v>
      </c>
      <c r="AG40" s="543"/>
      <c r="AH40" s="543"/>
      <c r="AI40" s="543"/>
      <c r="AJ40" s="543"/>
    </row>
    <row r="41" ht="105" s="532" customFormat="1">
      <c r="A41" s="533">
        <v>19</v>
      </c>
      <c r="B41" s="533" t="s">
        <v>187</v>
      </c>
      <c r="C41" s="534" t="s">
        <v>355</v>
      </c>
      <c r="D41" s="534" t="s">
        <v>250</v>
      </c>
      <c r="E41" s="535">
        <v>541</v>
      </c>
      <c r="F41" s="536">
        <v>14066</v>
      </c>
      <c r="G41" s="537">
        <v>26</v>
      </c>
      <c r="H41" s="538"/>
      <c r="I41" s="536">
        <v>14066</v>
      </c>
      <c r="J41" s="536"/>
      <c r="K41" s="533"/>
      <c r="L41" s="533"/>
      <c r="M41" s="533"/>
      <c r="N41" s="533"/>
      <c r="O41" s="533"/>
      <c r="P41" s="536">
        <v>1171.6978</v>
      </c>
      <c r="Q41" s="536">
        <v>676.5745999999999</v>
      </c>
      <c r="R41" s="539">
        <v>15914.2724</v>
      </c>
      <c r="S41" s="536">
        <v>1688</v>
      </c>
      <c r="T41" s="536">
        <v>105.49499999999999</v>
      </c>
      <c r="U41" s="533"/>
      <c r="V41" s="533"/>
      <c r="W41" s="533"/>
      <c r="X41" s="533"/>
      <c r="Y41" s="536"/>
      <c r="Z41" s="539">
        <v>1793.495</v>
      </c>
      <c r="AA41" s="540">
        <v>14121</v>
      </c>
      <c r="AB41" s="533">
        <f t="shared" si="0"/>
        <v>1829</v>
      </c>
      <c r="AC41" s="536">
        <f t="shared" si="1"/>
        <v>457.14500000000004</v>
      </c>
      <c r="AD41" s="541" t="s">
        <v>334</v>
      </c>
      <c r="AE41" s="542" t="s">
        <v>335</v>
      </c>
      <c r="AF41" s="541" t="s">
        <v>336</v>
      </c>
      <c r="AG41" s="543"/>
      <c r="AH41" s="543"/>
      <c r="AI41" s="543"/>
      <c r="AJ41" s="543"/>
    </row>
    <row r="42" ht="105" s="532" customFormat="1">
      <c r="A42" s="533">
        <v>20</v>
      </c>
      <c r="B42" s="533" t="s">
        <v>223</v>
      </c>
      <c r="C42" s="534" t="s">
        <v>356</v>
      </c>
      <c r="D42" s="534" t="s">
        <v>255</v>
      </c>
      <c r="E42" s="535">
        <v>674</v>
      </c>
      <c r="F42" s="536">
        <v>17524</v>
      </c>
      <c r="G42" s="537">
        <v>26</v>
      </c>
      <c r="H42" s="538"/>
      <c r="I42" s="536">
        <v>17524</v>
      </c>
      <c r="J42" s="536"/>
      <c r="K42" s="533"/>
      <c r="L42" s="533"/>
      <c r="M42" s="533"/>
      <c r="N42" s="533"/>
      <c r="O42" s="533"/>
      <c r="P42" s="536">
        <v>1459.7492</v>
      </c>
      <c r="Q42" s="536">
        <v>842.9043999999999</v>
      </c>
      <c r="R42" s="539">
        <v>19826.653599999998</v>
      </c>
      <c r="S42" s="536">
        <v>1800</v>
      </c>
      <c r="T42" s="536">
        <v>131.43</v>
      </c>
      <c r="U42" s="533"/>
      <c r="V42" s="533"/>
      <c r="W42" s="533"/>
      <c r="X42" s="533"/>
      <c r="Y42" s="536"/>
      <c r="Z42" s="539">
        <v>1931.43</v>
      </c>
      <c r="AA42" s="540">
        <v>17895</v>
      </c>
      <c r="AB42" s="533">
        <f t="shared" si="0"/>
        <v>1950</v>
      </c>
      <c r="AC42" s="536">
        <f t="shared" si="1"/>
        <v>569.53</v>
      </c>
      <c r="AD42" s="541" t="s">
        <v>334</v>
      </c>
      <c r="AE42" s="542" t="s">
        <v>335</v>
      </c>
      <c r="AF42" s="541" t="s">
        <v>336</v>
      </c>
      <c r="AG42" s="543"/>
      <c r="AH42" s="543"/>
      <c r="AI42" s="543"/>
      <c r="AJ42" s="543"/>
    </row>
    <row r="43" ht="105" s="532" customFormat="1">
      <c r="A43" s="533">
        <v>21</v>
      </c>
      <c r="B43" s="533" t="s">
        <v>209</v>
      </c>
      <c r="C43" s="534" t="s">
        <v>357</v>
      </c>
      <c r="D43" s="534" t="s">
        <v>253</v>
      </c>
      <c r="E43" s="535">
        <v>541</v>
      </c>
      <c r="F43" s="536">
        <v>14066</v>
      </c>
      <c r="G43" s="537">
        <v>26</v>
      </c>
      <c r="H43" s="538"/>
      <c r="I43" s="536">
        <v>14066</v>
      </c>
      <c r="J43" s="536"/>
      <c r="K43" s="533"/>
      <c r="L43" s="533"/>
      <c r="M43" s="533"/>
      <c r="N43" s="533"/>
      <c r="O43" s="533"/>
      <c r="P43" s="536">
        <v>1171.6978</v>
      </c>
      <c r="Q43" s="536">
        <v>676.5745999999999</v>
      </c>
      <c r="R43" s="539">
        <v>15914.2724</v>
      </c>
      <c r="S43" s="536">
        <v>1688</v>
      </c>
      <c r="T43" s="536">
        <v>105.49499999999999</v>
      </c>
      <c r="U43" s="533"/>
      <c r="V43" s="533"/>
      <c r="W43" s="533"/>
      <c r="X43" s="533"/>
      <c r="Y43" s="536"/>
      <c r="Z43" s="539">
        <v>1793.495</v>
      </c>
      <c r="AA43" s="540">
        <v>14121</v>
      </c>
      <c r="AB43" s="533">
        <f t="shared" si="0"/>
        <v>1829</v>
      </c>
      <c r="AC43" s="536">
        <f t="shared" si="1"/>
        <v>457.14500000000004</v>
      </c>
      <c r="AD43" s="541" t="s">
        <v>334</v>
      </c>
      <c r="AE43" s="542" t="s">
        <v>335</v>
      </c>
      <c r="AF43" s="541" t="s">
        <v>336</v>
      </c>
      <c r="AG43" s="543"/>
      <c r="AH43" s="543"/>
      <c r="AI43" s="543"/>
      <c r="AJ43" s="543"/>
    </row>
    <row r="44" ht="105" s="532" customFormat="1">
      <c r="A44" s="533">
        <v>23</v>
      </c>
      <c r="B44" s="533" t="s">
        <v>211</v>
      </c>
      <c r="C44" s="534" t="s">
        <v>358</v>
      </c>
      <c r="D44" s="534" t="s">
        <v>253</v>
      </c>
      <c r="E44" s="535">
        <v>541</v>
      </c>
      <c r="F44" s="536">
        <v>14066</v>
      </c>
      <c r="G44" s="537">
        <v>26</v>
      </c>
      <c r="H44" s="538"/>
      <c r="I44" s="536">
        <v>14066</v>
      </c>
      <c r="J44" s="536"/>
      <c r="K44" s="533"/>
      <c r="L44" s="533"/>
      <c r="M44" s="533"/>
      <c r="N44" s="533"/>
      <c r="O44" s="533"/>
      <c r="P44" s="536">
        <v>1171.6978</v>
      </c>
      <c r="Q44" s="536">
        <v>676.5745999999999</v>
      </c>
      <c r="R44" s="539">
        <v>15914.2724</v>
      </c>
      <c r="S44" s="536">
        <v>1688</v>
      </c>
      <c r="T44" s="536">
        <v>105.49499999999999</v>
      </c>
      <c r="U44" s="533"/>
      <c r="V44" s="533"/>
      <c r="W44" s="533"/>
      <c r="X44" s="533"/>
      <c r="Y44" s="536"/>
      <c r="Z44" s="539">
        <v>1793.495</v>
      </c>
      <c r="AA44" s="540">
        <v>14121</v>
      </c>
      <c r="AB44" s="533">
        <f t="shared" si="0"/>
        <v>1829</v>
      </c>
      <c r="AC44" s="536">
        <f t="shared" si="1"/>
        <v>457.14500000000004</v>
      </c>
      <c r="AD44" s="541" t="s">
        <v>334</v>
      </c>
      <c r="AE44" s="542" t="s">
        <v>335</v>
      </c>
      <c r="AF44" s="541" t="s">
        <v>336</v>
      </c>
      <c r="AG44" s="543"/>
      <c r="AH44" s="543"/>
      <c r="AI44" s="543"/>
      <c r="AJ44" s="543"/>
    </row>
    <row r="45" ht="126" s="532" customFormat="1">
      <c r="A45" s="533">
        <v>22</v>
      </c>
      <c r="B45" s="533" t="s">
        <v>219</v>
      </c>
      <c r="C45" s="534" t="s">
        <v>359</v>
      </c>
      <c r="D45" s="534" t="s">
        <v>254</v>
      </c>
      <c r="E45" s="535">
        <v>541</v>
      </c>
      <c r="F45" s="536">
        <v>14066</v>
      </c>
      <c r="G45" s="537">
        <v>26</v>
      </c>
      <c r="H45" s="538"/>
      <c r="I45" s="536">
        <v>14066</v>
      </c>
      <c r="J45" s="536"/>
      <c r="K45" s="533"/>
      <c r="L45" s="533"/>
      <c r="M45" s="533"/>
      <c r="N45" s="533"/>
      <c r="O45" s="533"/>
      <c r="P45" s="536">
        <v>1171.6978</v>
      </c>
      <c r="Q45" s="536">
        <v>676.5745999999999</v>
      </c>
      <c r="R45" s="539">
        <v>15914.2724</v>
      </c>
      <c r="S45" s="536">
        <v>1688</v>
      </c>
      <c r="T45" s="536">
        <v>105.49499999999999</v>
      </c>
      <c r="U45" s="533"/>
      <c r="V45" s="533"/>
      <c r="W45" s="533"/>
      <c r="X45" s="533"/>
      <c r="Y45" s="536"/>
      <c r="Z45" s="539">
        <v>1793.495</v>
      </c>
      <c r="AA45" s="540">
        <v>14121</v>
      </c>
      <c r="AB45" s="533">
        <f t="shared" si="0"/>
        <v>1829</v>
      </c>
      <c r="AC45" s="536">
        <f t="shared" si="1"/>
        <v>457.14500000000004</v>
      </c>
      <c r="AD45" s="541" t="s">
        <v>334</v>
      </c>
      <c r="AE45" s="542" t="s">
        <v>335</v>
      </c>
      <c r="AF45" s="541" t="s">
        <v>336</v>
      </c>
      <c r="AG45" s="543"/>
      <c r="AH45" s="543"/>
      <c r="AI45" s="543"/>
      <c r="AJ45" s="543"/>
    </row>
    <row r="46" ht="105" s="532" customFormat="1">
      <c r="A46" s="533">
        <v>24</v>
      </c>
      <c r="B46" s="533" t="s">
        <v>189</v>
      </c>
      <c r="C46" s="534" t="s">
        <v>360</v>
      </c>
      <c r="D46" s="534" t="s">
        <v>250</v>
      </c>
      <c r="E46" s="535">
        <v>541</v>
      </c>
      <c r="F46" s="536">
        <v>14066</v>
      </c>
      <c r="G46" s="537">
        <v>26</v>
      </c>
      <c r="H46" s="538"/>
      <c r="I46" s="536">
        <v>14066</v>
      </c>
      <c r="J46" s="536"/>
      <c r="K46" s="533"/>
      <c r="L46" s="533"/>
      <c r="M46" s="533"/>
      <c r="N46" s="533"/>
      <c r="O46" s="533"/>
      <c r="P46" s="536">
        <v>1171.6978</v>
      </c>
      <c r="Q46" s="536">
        <v>676.5745999999999</v>
      </c>
      <c r="R46" s="539">
        <v>15914.2724</v>
      </c>
      <c r="S46" s="536">
        <v>1688</v>
      </c>
      <c r="T46" s="536">
        <v>105.49499999999999</v>
      </c>
      <c r="U46" s="533"/>
      <c r="V46" s="533"/>
      <c r="W46" s="533"/>
      <c r="X46" s="533"/>
      <c r="Y46" s="536"/>
      <c r="Z46" s="539">
        <v>1793.495</v>
      </c>
      <c r="AA46" s="540">
        <v>14121</v>
      </c>
      <c r="AB46" s="533">
        <f t="shared" si="0"/>
        <v>1829</v>
      </c>
      <c r="AC46" s="536">
        <f t="shared" si="1"/>
        <v>457.14500000000004</v>
      </c>
      <c r="AD46" s="541" t="s">
        <v>334</v>
      </c>
      <c r="AE46" s="542" t="s">
        <v>335</v>
      </c>
      <c r="AF46" s="541" t="s">
        <v>336</v>
      </c>
      <c r="AG46" s="543"/>
      <c r="AH46" s="543"/>
      <c r="AI46" s="543"/>
      <c r="AJ46" s="543"/>
    </row>
    <row r="47" ht="105" s="532" customFormat="1">
      <c r="A47" s="533">
        <v>25</v>
      </c>
      <c r="B47" s="533" t="s">
        <v>211</v>
      </c>
      <c r="C47" s="534" t="s">
        <v>361</v>
      </c>
      <c r="D47" s="534" t="s">
        <v>255</v>
      </c>
      <c r="E47" s="535">
        <v>674</v>
      </c>
      <c r="F47" s="536">
        <v>10784</v>
      </c>
      <c r="G47" s="537">
        <v>16</v>
      </c>
      <c r="H47" s="538"/>
      <c r="I47" s="536">
        <v>10784</v>
      </c>
      <c r="J47" s="536"/>
      <c r="K47" s="533"/>
      <c r="L47" s="533"/>
      <c r="M47" s="533"/>
      <c r="N47" s="533"/>
      <c r="O47" s="533"/>
      <c r="P47" s="536">
        <v>898.3072</v>
      </c>
      <c r="Q47" s="536">
        <v>518.7103999999999</v>
      </c>
      <c r="R47" s="539">
        <v>12201.0176</v>
      </c>
      <c r="S47" s="536">
        <v>1294</v>
      </c>
      <c r="T47" s="536">
        <v>80.88</v>
      </c>
      <c r="U47" s="533"/>
      <c r="V47" s="533"/>
      <c r="W47" s="533"/>
      <c r="X47" s="533"/>
      <c r="Y47" s="536"/>
      <c r="Z47" s="539">
        <v>1374.88</v>
      </c>
      <c r="AA47" s="540">
        <v>10826</v>
      </c>
      <c r="AB47" s="533">
        <f t="shared" si="0"/>
        <v>1402</v>
      </c>
      <c r="AC47" s="536">
        <f t="shared" si="1"/>
        <v>350.48</v>
      </c>
      <c r="AD47" s="541" t="s">
        <v>334</v>
      </c>
      <c r="AE47" s="542" t="s">
        <v>335</v>
      </c>
      <c r="AF47" s="541" t="s">
        <v>336</v>
      </c>
      <c r="AG47" s="543"/>
      <c r="AH47" s="543"/>
      <c r="AI47" s="543"/>
      <c r="AJ47" s="543"/>
    </row>
    <row r="48" ht="84" s="532" customFormat="1">
      <c r="A48" s="533">
        <v>26</v>
      </c>
      <c r="B48" s="533" t="s">
        <v>213</v>
      </c>
      <c r="C48" s="534" t="s">
        <v>362</v>
      </c>
      <c r="D48" s="534" t="s">
        <v>253</v>
      </c>
      <c r="E48" s="535">
        <v>541</v>
      </c>
      <c r="F48" s="536">
        <v>14066</v>
      </c>
      <c r="G48" s="537">
        <v>26</v>
      </c>
      <c r="H48" s="538"/>
      <c r="I48" s="536">
        <v>14066</v>
      </c>
      <c r="J48" s="536"/>
      <c r="K48" s="533"/>
      <c r="L48" s="533"/>
      <c r="M48" s="533"/>
      <c r="N48" s="533"/>
      <c r="O48" s="533"/>
      <c r="P48" s="536">
        <v>1171.6978</v>
      </c>
      <c r="Q48" s="536">
        <v>676.5745999999999</v>
      </c>
      <c r="R48" s="539">
        <v>15914.2724</v>
      </c>
      <c r="S48" s="536">
        <v>1688</v>
      </c>
      <c r="T48" s="536">
        <v>105.49499999999999</v>
      </c>
      <c r="U48" s="533"/>
      <c r="V48" s="533"/>
      <c r="W48" s="533"/>
      <c r="X48" s="533"/>
      <c r="Y48" s="536"/>
      <c r="Z48" s="539">
        <v>1793.495</v>
      </c>
      <c r="AA48" s="540">
        <v>14121</v>
      </c>
      <c r="AB48" s="533">
        <f t="shared" si="0"/>
        <v>1829</v>
      </c>
      <c r="AC48" s="536">
        <f t="shared" si="1"/>
        <v>457.14500000000004</v>
      </c>
      <c r="AD48" s="541" t="s">
        <v>334</v>
      </c>
      <c r="AE48" s="542" t="s">
        <v>335</v>
      </c>
      <c r="AF48" s="541" t="s">
        <v>336</v>
      </c>
      <c r="AG48" s="543"/>
      <c r="AH48" s="543"/>
      <c r="AI48" s="543"/>
      <c r="AJ48" s="543"/>
    </row>
    <row r="49" ht="84" s="532" customFormat="1">
      <c r="A49" s="533">
        <v>27</v>
      </c>
      <c r="B49" s="533" t="s">
        <v>221</v>
      </c>
      <c r="C49" s="534" t="s">
        <v>363</v>
      </c>
      <c r="D49" s="534" t="s">
        <v>254</v>
      </c>
      <c r="E49" s="535">
        <v>541</v>
      </c>
      <c r="F49" s="536">
        <v>14066</v>
      </c>
      <c r="G49" s="537">
        <v>26</v>
      </c>
      <c r="H49" s="538"/>
      <c r="I49" s="536">
        <v>14066</v>
      </c>
      <c r="J49" s="536"/>
      <c r="K49" s="533"/>
      <c r="L49" s="533"/>
      <c r="M49" s="533"/>
      <c r="N49" s="533"/>
      <c r="O49" s="533"/>
      <c r="P49" s="536">
        <v>1171.6978</v>
      </c>
      <c r="Q49" s="536">
        <v>676.5745999999999</v>
      </c>
      <c r="R49" s="539">
        <v>15914.2724</v>
      </c>
      <c r="S49" s="536">
        <v>1688</v>
      </c>
      <c r="T49" s="536">
        <v>105.49499999999999</v>
      </c>
      <c r="U49" s="533"/>
      <c r="V49" s="533"/>
      <c r="W49" s="533"/>
      <c r="X49" s="533"/>
      <c r="Y49" s="536"/>
      <c r="Z49" s="539">
        <v>1793.495</v>
      </c>
      <c r="AA49" s="540">
        <v>14121</v>
      </c>
      <c r="AB49" s="533">
        <f t="shared" si="0"/>
        <v>1829</v>
      </c>
      <c r="AC49" s="536">
        <f t="shared" si="1"/>
        <v>457.14500000000004</v>
      </c>
      <c r="AD49" s="541" t="s">
        <v>334</v>
      </c>
      <c r="AE49" s="542" t="s">
        <v>335</v>
      </c>
      <c r="AF49" s="541" t="s">
        <v>336</v>
      </c>
      <c r="AG49" s="543"/>
      <c r="AH49" s="543"/>
      <c r="AI49" s="543"/>
      <c r="AJ49" s="543"/>
    </row>
    <row r="50" ht="84.75" s="532" customFormat="1">
      <c r="A50" s="533">
        <v>28</v>
      </c>
      <c r="B50" s="533" t="s">
        <v>231</v>
      </c>
      <c r="C50" s="534" t="s">
        <v>364</v>
      </c>
      <c r="D50" s="534" t="s">
        <v>258</v>
      </c>
      <c r="E50" s="535">
        <v>760</v>
      </c>
      <c r="F50" s="536">
        <v>19760</v>
      </c>
      <c r="G50" s="537">
        <v>26</v>
      </c>
      <c r="H50" s="538"/>
      <c r="I50" s="536">
        <v>19760</v>
      </c>
      <c r="J50" s="536"/>
      <c r="K50" s="533"/>
      <c r="L50" s="533"/>
      <c r="M50" s="533"/>
      <c r="N50" s="533"/>
      <c r="O50" s="533"/>
      <c r="P50" s="536">
        <v>1646.008</v>
      </c>
      <c r="Q50" s="536">
        <v>950.4559999999999</v>
      </c>
      <c r="R50" s="539">
        <v>22356.464</v>
      </c>
      <c r="S50" s="536">
        <v>1800</v>
      </c>
      <c r="T50" s="536">
        <v>148.2</v>
      </c>
      <c r="U50" s="533"/>
      <c r="V50" s="533"/>
      <c r="W50" s="533"/>
      <c r="X50" s="533"/>
      <c r="Y50" s="536"/>
      <c r="Z50" s="539">
        <v>1948.2</v>
      </c>
      <c r="AA50" s="540">
        <v>20408</v>
      </c>
      <c r="AB50" s="533">
        <f t="shared" si="0"/>
        <v>1950</v>
      </c>
      <c r="AC50" s="536">
        <f t="shared" si="1"/>
        <v>642.2</v>
      </c>
      <c r="AD50" s="541" t="s">
        <v>334</v>
      </c>
      <c r="AE50" s="542" t="s">
        <v>335</v>
      </c>
      <c r="AF50" s="541" t="s">
        <v>336</v>
      </c>
      <c r="AG50" s="543"/>
      <c r="AH50" s="543"/>
      <c r="AI50" s="543"/>
      <c r="AJ50" s="543"/>
    </row>
    <row r="51" ht="42.75" customHeight="1" s="484" customFormat="1">
      <c r="A51" s="553"/>
      <c r="B51" s="554"/>
      <c r="C51" s="555" t="s">
        <v>249</v>
      </c>
      <c r="D51" s="555"/>
      <c r="E51" s="556">
        <f ref="E51:AC51" t="shared" si="2">SUM(E23:E50)</f>
        <v>15852</v>
      </c>
      <c r="F51" s="556">
        <f t="shared" si="2"/>
        <v>394592</v>
      </c>
      <c r="G51" s="556">
        <f t="shared" si="2"/>
        <v>698</v>
      </c>
      <c r="H51" s="556">
        <f t="shared" si="2"/>
        <v>0</v>
      </c>
      <c r="I51" s="556">
        <f t="shared" si="2"/>
        <v>394592</v>
      </c>
      <c r="J51" s="556">
        <f t="shared" si="2"/>
        <v>0</v>
      </c>
      <c r="K51" s="556">
        <f t="shared" si="2"/>
        <v>0</v>
      </c>
      <c r="L51" s="556">
        <f t="shared" si="2"/>
        <v>0</v>
      </c>
      <c r="M51" s="556">
        <f t="shared" si="2"/>
        <v>0</v>
      </c>
      <c r="N51" s="556">
        <f t="shared" si="2"/>
        <v>0</v>
      </c>
      <c r="O51" s="556">
        <f t="shared" si="2"/>
        <v>0</v>
      </c>
      <c r="P51" s="556">
        <f t="shared" si="2"/>
        <v>32869.51360000001</v>
      </c>
      <c r="Q51" s="556">
        <f t="shared" si="2"/>
        <v>18979.875199999995</v>
      </c>
      <c r="R51" s="557">
        <f t="shared" si="2"/>
        <v>446441.3888000001</v>
      </c>
      <c r="S51" s="556">
        <f t="shared" si="2"/>
        <v>45907</v>
      </c>
      <c r="T51" s="556">
        <f t="shared" si="2"/>
        <v>2959.4399999999982</v>
      </c>
      <c r="U51" s="556">
        <f t="shared" si="2"/>
        <v>0</v>
      </c>
      <c r="V51" s="556">
        <f t="shared" si="2"/>
        <v>0</v>
      </c>
      <c r="W51" s="556">
        <f t="shared" si="2"/>
        <v>0</v>
      </c>
      <c r="X51" s="556">
        <f t="shared" si="2"/>
        <v>0</v>
      </c>
      <c r="Y51" s="556">
        <f t="shared" si="2"/>
        <v>0</v>
      </c>
      <c r="Z51" s="557">
        <f t="shared" si="2"/>
        <v>48866.44</v>
      </c>
      <c r="AA51" s="557">
        <f t="shared" si="2"/>
        <v>397579</v>
      </c>
      <c r="AB51" s="556">
        <f t="shared" si="2"/>
        <v>49739</v>
      </c>
      <c r="AC51" s="556">
        <f t="shared" si="2"/>
        <v>12824.240000000007</v>
      </c>
      <c r="AD51" s="556"/>
      <c r="AE51" s="556"/>
      <c r="AF51" s="556"/>
    </row>
    <row r="52" ht="30" customHeight="1" s="484" customFormat="1">
      <c r="C52" s="558"/>
      <c r="D52" s="558"/>
      <c r="E52" s="559"/>
      <c r="F52" s="559"/>
      <c r="G52" s="560"/>
      <c r="H52" s="560"/>
      <c r="I52" s="560"/>
      <c r="J52" s="560"/>
      <c r="K52" s="560"/>
      <c r="L52" s="560"/>
      <c r="M52" s="560"/>
      <c r="N52" s="560"/>
      <c r="O52" s="560"/>
      <c r="P52" s="560"/>
      <c r="Q52" s="560"/>
      <c r="R52" s="560">
        <v>465563</v>
      </c>
      <c r="S52" s="560"/>
      <c r="T52" s="560"/>
      <c r="U52" s="560"/>
      <c r="V52" s="560"/>
      <c r="W52" s="560"/>
      <c r="X52" s="560"/>
      <c r="Y52" s="560"/>
      <c r="Z52" s="560"/>
      <c r="AA52" s="560"/>
      <c r="AB52" s="560"/>
      <c r="AC52" s="560">
        <f>AC51+AB52+R51</f>
        <v>459265.62880000006</v>
      </c>
    </row>
    <row r="53" ht="21">
      <c r="R53" s="561">
        <f>AB51</f>
        <v>49739</v>
      </c>
      <c r="AA53" s="562"/>
    </row>
    <row r="54" ht="21" s="563" customFormat="1">
      <c r="R54" s="563">
        <f>AC51</f>
        <v>12824.240000000007</v>
      </c>
      <c r="AA54" s="564"/>
    </row>
    <row r="56" ht="20.25">
      <c r="R56" s="561">
        <f>R54+R53+R52</f>
        <v>528126.24</v>
      </c>
    </row>
  </sheetData>
  <sheetProtection/>
  <mergeCells>
    <mergeCell ref="AD20:AD21"/>
    <mergeCell ref="A5:H5"/>
    <mergeCell ref="I5:M5"/>
    <mergeCell ref="N5:U5"/>
    <mergeCell ref="V5:Z5"/>
    <mergeCell ref="A1:AF1"/>
    <mergeCell ref="A2:AF2"/>
    <mergeCell ref="A8:H8"/>
    <mergeCell ref="I8:M8"/>
    <mergeCell ref="N8:U8"/>
    <mergeCell ref="V8:Z8"/>
    <mergeCell ref="A10:I10"/>
    <mergeCell ref="A6:H6"/>
    <mergeCell ref="I6:M7"/>
    <mergeCell ref="N6:U7"/>
    <mergeCell ref="V6:Z7"/>
    <mergeCell ref="A7:H7"/>
    <mergeCell ref="I20:I21"/>
    <mergeCell ref="A12:I12"/>
    <mergeCell ref="A14:I14"/>
    <mergeCell ref="A16:I16"/>
    <mergeCell ref="K16:X16"/>
    <mergeCell ref="Y16:AA16"/>
    <mergeCell ref="K14:AF14"/>
    <mergeCell ref="AB16:AF16"/>
    <mergeCell ref="O20:O21"/>
    <mergeCell ref="A18:I18"/>
    <mergeCell ref="K18:X18"/>
    <mergeCell ref="A20:A21"/>
    <mergeCell ref="B20:B21"/>
    <mergeCell ref="C20:C21"/>
    <mergeCell ref="E20:E21"/>
    <mergeCell ref="F20:F21"/>
    <mergeCell ref="G20:G21"/>
    <mergeCell ref="H20:H21"/>
    <mergeCell ref="Q20:Q21"/>
    <mergeCell ref="R20:R21"/>
    <mergeCell ref="P20:P21"/>
    <mergeCell ref="S20:Z20"/>
    <mergeCell ref="AA20:AA21"/>
    <mergeCell ref="AB20:AB21"/>
    <mergeCell ref="J20:J21"/>
    <mergeCell ref="K20:K21"/>
    <mergeCell ref="L20:L21"/>
    <mergeCell ref="M20:M21"/>
    <mergeCell ref="N20:N21"/>
    <mergeCell ref="AA6:AF6"/>
    <mergeCell ref="AA7:AF7"/>
    <mergeCell ref="AC20:AC21"/>
    <mergeCell ref="A4:AF4"/>
    <mergeCell ref="AA5:AF5"/>
    <mergeCell ref="AA8:AF8"/>
    <mergeCell ref="K10:AF10"/>
    <mergeCell ref="K12:AF12"/>
    <mergeCell ref="AE20:AE21"/>
    <mergeCell ref="AF20:AF21"/>
  </mergeCells>
  <pageMargins left="0.7" right="0.7" top="0.75" bottom="0.75" header="0.3" footer="0.3"/>
  <pageSetup fitToHeight="0" horizontalDpi="300" verticalDpi="300" orientation="landscape" paperSize="1" scale="34"/>
  <headerFooter/>
  <rowBreaks count="4" manualBreakCount="4">
    <brk id="27" max="1048575" man="1"/>
    <brk id="32" max="1048575" man="1"/>
    <brk id="39" max="1048575" man="1"/>
    <brk id="45" max="1048575" man="1"/>
  </rowBreaks>
  <colBreaks count="1" manualBreakCount="1">
    <brk id="28" max="16383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4CEC86B9-E3B2-4510-B0F0-05083921ECCC}">
  <dimension ref="A2:E19"/>
  <sheetViews>
    <sheetView workbookViewId="0" topLeftCell="A1">
      <selection pane="topLeft" activeCell="B17" sqref="B17"/>
    </sheetView>
  </sheetViews>
  <sheetFormatPr defaultRowHeight="12.75"/>
  <cols>
    <col min="1" max="1" bestFit="1" width="29.1428571428571" customWidth="1"/>
    <col min="2" max="2" bestFit="1" width="34.4285714285714" customWidth="1"/>
    <col min="3" max="3" bestFit="1" width="32.1428571428571" customWidth="1"/>
    <col min="4" max="4" bestFit="1" width="24.5714285714286" customWidth="1"/>
    <col min="5" max="5" bestFit="1" width="22.4285714285714" customWidth="1"/>
  </cols>
  <sheetData>
    <row r="2" ht="12.75">
      <c r="A2" s="5" t="s">
        <v>365</v>
      </c>
      <c r="B2" s="5" t="str">
        <f ref="B2:E2" t="array">'FORM B'!AB16:AG16</f>
        <v>01 Oct 2025 To 31 Oct 2025</v>
      </c>
      <c r="C2" s="0">
        <v>0</v>
      </c>
      <c r="D2" s="0">
        <v>0</v>
      </c>
      <c r="E2" s="0">
        <v>0</v>
      </c>
    </row>
    <row r="3" ht="12.75">
      <c r="A3" s="5" t="s">
        <v>6</v>
      </c>
      <c r="B3" s="5" t="s">
        <v>366</v>
      </c>
    </row>
    <row r="4" ht="12.75">
      <c r="A4" s="5" t="s">
        <v>367</v>
      </c>
      <c r="B4" s="565" t="s">
        <v>368</v>
      </c>
    </row>
    <row r="5" ht="12.75">
      <c r="A5" s="5" t="s">
        <v>369</v>
      </c>
      <c r="B5" s="566">
        <v>45964</v>
      </c>
    </row>
    <row r="6" ht="12.75">
      <c r="A6" s="5" t="s">
        <v>370</v>
      </c>
      <c r="B6" s="0">
        <v>19</v>
      </c>
      <c r="C6" s="0" t="str">
        <f>A6&amp;B6</f>
        <v>RA BILL NO-19</v>
      </c>
    </row>
    <row r="7" ht="12.75">
      <c r="A7" s="5" t="s">
        <v>7</v>
      </c>
      <c r="B7" s="567">
        <v>45964</v>
      </c>
    </row>
    <row r="8" ht="12.75">
      <c r="A8" s="5" t="s">
        <v>371</v>
      </c>
      <c r="B8" s="0">
        <v>10</v>
      </c>
    </row>
    <row r="9" ht="12.75">
      <c r="A9" s="5" t="s">
        <v>372</v>
      </c>
      <c r="B9" s="0">
        <v>2025</v>
      </c>
    </row>
    <row r="11" ht="12.75">
      <c r="A11" s="0" t="s">
        <v>373</v>
      </c>
      <c r="B11" s="0">
        <v>2511430013888</v>
      </c>
      <c r="C11" s="0" t="s">
        <v>374</v>
      </c>
      <c r="D11" s="568" t="s">
        <v>375</v>
      </c>
    </row>
    <row r="12" ht="12.75">
      <c r="A12" s="0" t="s">
        <v>376</v>
      </c>
      <c r="B12" s="0" t="s">
        <v>377</v>
      </c>
      <c r="C12" s="0" t="s">
        <v>376</v>
      </c>
      <c r="D12" s="0">
        <v>16590</v>
      </c>
    </row>
    <row r="13" ht="12.75">
      <c r="A13" s="0" t="s">
        <v>378</v>
      </c>
      <c r="B13" s="569" t="s">
        <v>379</v>
      </c>
      <c r="C13" s="0" t="s">
        <v>378</v>
      </c>
      <c r="D13" s="567">
        <v>45972</v>
      </c>
    </row>
    <row r="15" ht="12.75">
      <c r="A15" s="5" t="s">
        <v>380</v>
      </c>
      <c r="B15" s="233">
        <f ref="B15:C15" t="array">'TAX INVOICE'!I44:J44</f>
        <v>609221.589</v>
      </c>
      <c r="C15" s="0">
        <v>0</v>
      </c>
    </row>
    <row r="16" ht="12.75">
      <c r="B16" s="0">
        <v>609221.59</v>
      </c>
    </row>
    <row r="17" ht="12.75">
      <c r="B17" s="0" t="s">
        <v>381</v>
      </c>
      <c r="C17" s="0" t="s">
        <v>255</v>
      </c>
      <c r="D17" s="0" t="s">
        <v>258</v>
      </c>
    </row>
    <row r="18" ht="12.75">
      <c r="A18" s="0" t="s">
        <v>382</v>
      </c>
      <c r="B18" s="570">
        <v>477</v>
      </c>
      <c r="C18" s="0">
        <v>595</v>
      </c>
      <c r="D18" s="0">
        <v>671</v>
      </c>
    </row>
    <row r="19" ht="12.75">
      <c r="A19" s="0" t="s">
        <v>383</v>
      </c>
      <c r="B19" s="570">
        <v>541</v>
      </c>
      <c r="C19" s="0">
        <v>674</v>
      </c>
      <c r="D19" s="0">
        <v>760</v>
      </c>
    </row>
  </sheetData>
  <sheetProtection/>
  <pageMargins left="0.7" right="0.7" top="0.75" bottom="0.75" header="0.3" footer="0.3"/>
  <headerFooter/>
  <drawing r:id="rId2"/>
  <legacyDrawing r:id="rId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">
              <controlPr defaultSize="0" print="0" autoLine="0" autoPict="0" macro="[0]!Button11_Click">
                <anchor moveWithCells="1" sizeWithCells="1">
                  <from>
                    <xdr:col>4</xdr:col>
                    <xdr:colOff>627962</xdr:colOff>
                    <xdr:row>6</xdr:row>
                    <xdr:rowOff>66415</xdr:rowOff>
                  </from>
                  <to>
                    <xdr:col>8</xdr:col>
                    <xdr:colOff>561975</xdr:colOff>
                    <xdr:row>14</xdr:row>
                    <xdr:rowOff>56927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4BE54BB1-7A27-4F9C-B829-01669CFD92F6}">
  <dimension ref="A1:L97"/>
  <sheetViews>
    <sheetView view="pageBreakPreview" zoomScale="109" zoomScaleNormal="100" zoomScaleSheetLayoutView="109" workbookViewId="0" topLeftCell="A63">
      <selection pane="topLeft" activeCell="A75" sqref="A75"/>
    </sheetView>
  </sheetViews>
  <sheetFormatPr defaultRowHeight="12.75"/>
  <cols>
    <col min="2" max="2" width="11.5714285714286" customWidth="1"/>
    <col min="3" max="3" width="8.28571428571429" customWidth="1"/>
    <col min="4" max="4" width="5" customWidth="1"/>
    <col min="7" max="7" width="12.4285714285714" customWidth="1"/>
    <col min="8" max="8" width="6.28571428571429" customWidth="1"/>
    <col min="9" max="9" width="12" customWidth="1"/>
    <col min="11" max="11" width="12.5714285714286" customWidth="1"/>
  </cols>
  <sheetData>
    <row r="1" ht="15">
      <c r="G1" s="571"/>
      <c r="I1" s="571" t="s">
        <v>384</v>
      </c>
    </row>
    <row r="2" ht="15">
      <c r="G2" s="571"/>
      <c r="I2" s="571" t="s">
        <v>385</v>
      </c>
    </row>
    <row r="3" ht="15">
      <c r="G3" s="571"/>
      <c r="I3" s="571" t="s">
        <v>386</v>
      </c>
    </row>
    <row r="4" ht="15">
      <c r="G4" s="571"/>
      <c r="I4" s="571" t="s">
        <v>387</v>
      </c>
    </row>
    <row r="5" ht="15">
      <c r="G5" s="571"/>
      <c r="I5" s="571" t="s">
        <v>388</v>
      </c>
    </row>
    <row r="6" ht="15">
      <c r="G6" s="571"/>
      <c r="I6" s="571" t="s">
        <v>389</v>
      </c>
    </row>
    <row r="8" ht="15.75" customHeight="1">
      <c r="A8" s="572" t="s">
        <v>390</v>
      </c>
      <c r="B8" s="572"/>
      <c r="C8" s="572"/>
      <c r="D8" s="572"/>
      <c r="E8" s="572"/>
      <c r="F8" s="572"/>
      <c r="G8" s="572"/>
      <c r="H8" s="572"/>
      <c r="I8" s="572"/>
      <c r="J8" s="572"/>
      <c r="K8" s="572"/>
    </row>
    <row r="9" ht="12.75">
      <c r="B9" s="573"/>
      <c r="C9" s="573"/>
      <c r="D9" s="573"/>
      <c r="E9" s="573"/>
      <c r="F9" s="573"/>
      <c r="G9" s="574"/>
      <c r="J9" s="575" t="s">
        <v>391</v>
      </c>
      <c r="K9" s="575"/>
    </row>
    <row r="10" ht="21" customHeight="1">
      <c r="A10" s="576" t="str">
        <f>"Subject: Particulars of PF Contribution for the Month of "&amp;'Working Sheet'!B4</f>
        <v>Subject: Particulars of PF Contribution for the Month of OCTOBER-2025</v>
      </c>
      <c r="B10" s="576"/>
      <c r="C10" s="576"/>
      <c r="D10" s="576"/>
      <c r="E10" s="576"/>
      <c r="F10" s="576"/>
      <c r="G10" s="576"/>
      <c r="H10" s="576"/>
      <c r="I10" s="576"/>
      <c r="J10" s="576"/>
      <c r="K10" s="576"/>
    </row>
    <row r="11" ht="15">
      <c r="A11" s="577" t="s">
        <v>392</v>
      </c>
      <c r="B11" s="577"/>
      <c r="C11" s="577"/>
      <c r="D11" s="577"/>
      <c r="E11" s="577"/>
      <c r="F11" s="577"/>
    </row>
    <row r="12" ht="15.75">
      <c r="A12" s="578" t="s">
        <v>393</v>
      </c>
      <c r="B12" s="578"/>
      <c r="C12" s="578"/>
      <c r="D12" s="578"/>
      <c r="E12" s="578"/>
    </row>
    <row r="13" ht="15.75">
      <c r="A13" s="578" t="s">
        <v>394</v>
      </c>
      <c r="B13" s="578"/>
      <c r="C13" s="578"/>
      <c r="D13" s="578"/>
      <c r="E13" s="578"/>
    </row>
    <row r="14" ht="15.75">
      <c r="A14" s="578" t="s">
        <v>395</v>
      </c>
      <c r="B14" s="579"/>
      <c r="C14" s="579"/>
      <c r="D14" s="579"/>
    </row>
    <row r="15" ht="15.75">
      <c r="A15" s="578" t="s">
        <v>396</v>
      </c>
      <c r="B15" s="579"/>
      <c r="C15" s="579"/>
      <c r="D15" s="579"/>
    </row>
    <row r="16" ht="15.75">
      <c r="A16" s="578" t="s">
        <v>397</v>
      </c>
      <c r="B16" s="579"/>
      <c r="C16" s="579"/>
      <c r="D16" s="579"/>
    </row>
    <row r="17" ht="15.75">
      <c r="A17" s="578" t="s">
        <v>398</v>
      </c>
      <c r="B17" s="579"/>
      <c r="C17" s="579"/>
      <c r="D17" s="579"/>
      <c r="L17" s="5"/>
    </row>
    <row r="18" ht="15.75">
      <c r="A18" s="578" t="s">
        <v>399</v>
      </c>
      <c r="B18" s="579"/>
      <c r="C18" s="579"/>
      <c r="D18" s="579"/>
      <c r="L18" s="5"/>
    </row>
    <row r="19" ht="15.75">
      <c r="A19" s="578" t="s">
        <v>400</v>
      </c>
      <c r="B19" s="578"/>
      <c r="C19" s="578"/>
      <c r="D19" s="578"/>
      <c r="E19" s="578"/>
    </row>
    <row r="20" ht="15.75">
      <c r="A20" s="578" t="s">
        <v>401</v>
      </c>
      <c r="B20" s="579"/>
      <c r="C20" s="579"/>
      <c r="D20" s="579"/>
    </row>
    <row r="21" ht="15.75">
      <c r="A21" s="580" t="s">
        <v>402</v>
      </c>
      <c r="B21" s="580"/>
      <c r="C21" s="580"/>
      <c r="D21" s="580"/>
    </row>
    <row r="22" ht="15.75">
      <c r="A22" s="581" t="s">
        <v>403</v>
      </c>
      <c r="B22" s="581"/>
      <c r="C22" s="581"/>
      <c r="D22" s="581"/>
    </row>
    <row r="23" ht="15.75">
      <c r="A23" s="581" t="s">
        <v>404</v>
      </c>
      <c r="B23" s="581"/>
      <c r="C23" s="581"/>
      <c r="D23" s="581"/>
      <c r="E23" s="581"/>
    </row>
    <row r="24" ht="15.75">
      <c r="A24" s="5" t="s">
        <v>405</v>
      </c>
    </row>
    <row r="25" ht="15.75">
      <c r="A25" s="582" t="s">
        <v>406</v>
      </c>
      <c r="B25" s="582"/>
      <c r="C25" s="582"/>
      <c r="D25" s="582"/>
    </row>
    <row r="26" ht="15.75">
      <c r="A26" s="582" t="s">
        <v>407</v>
      </c>
      <c r="B26" s="582"/>
      <c r="C26" s="582"/>
      <c r="D26" s="582"/>
      <c r="E26" s="582"/>
    </row>
    <row r="27" ht="15.75">
      <c r="A27" s="583" t="str">
        <f>"      (a)  EPF Challan No. "&amp;'Working Sheet'!B11</f>
        <v>      (a)  EPF Challan No. 2511430013888</v>
      </c>
      <c r="B27" s="583"/>
      <c r="C27" s="583"/>
      <c r="D27" s="583"/>
      <c r="E27" s="584"/>
      <c r="F27" s="583" t="s">
        <v>408</v>
      </c>
      <c r="G27" s="584" t="str">
        <f>'Working Sheet'!B12</f>
        <v>17,69,632</v>
      </c>
      <c r="H27" s="583" t="s">
        <v>378</v>
      </c>
      <c r="I27" s="585" t="str">
        <f>'Working Sheet'!B13</f>
        <v>14-11-2025</v>
      </c>
    </row>
    <row r="28" ht="15.75">
      <c r="A28" s="586" t="s">
        <v>409</v>
      </c>
      <c r="B28" s="586"/>
      <c r="C28" s="586"/>
      <c r="D28" s="586"/>
      <c r="E28" s="586"/>
      <c r="F28" s="586"/>
    </row>
    <row r="29" ht="15.75">
      <c r="A29" s="583" t="str">
        <f>"      (a)  ESI Challan No. "&amp;'Working Sheet'!D11</f>
        <v>      (a)  ESI Challan No. 06225144239293</v>
      </c>
      <c r="B29" s="583"/>
      <c r="C29" s="581"/>
      <c r="F29" s="583" t="s">
        <v>408</v>
      </c>
      <c r="G29" s="587">
        <f>'Working Sheet'!D12</f>
        <v>16590</v>
      </c>
      <c r="H29" s="583" t="s">
        <v>378</v>
      </c>
      <c r="I29" s="585">
        <f>'Working Sheet'!D13</f>
        <v>45972</v>
      </c>
    </row>
    <row r="30" ht="15.75">
      <c r="A30" s="586"/>
      <c r="B30" s="586"/>
      <c r="C30" s="586"/>
      <c r="D30" s="586"/>
      <c r="E30" s="586"/>
      <c r="F30" s="586"/>
    </row>
    <row r="32" ht="15">
      <c r="A32" s="588" t="s">
        <v>410</v>
      </c>
      <c r="B32" s="589"/>
      <c r="C32" s="590"/>
      <c r="D32" s="588" t="s">
        <v>411</v>
      </c>
      <c r="E32" s="589"/>
      <c r="F32" s="589"/>
      <c r="G32" s="590"/>
      <c r="H32" s="591" t="s">
        <v>412</v>
      </c>
      <c r="I32" s="591"/>
      <c r="J32" s="591"/>
      <c r="K32" s="591"/>
    </row>
    <row r="33" ht="15.75">
      <c r="A33" s="592" t="s">
        <v>413</v>
      </c>
      <c r="B33" s="592"/>
      <c r="C33" s="592"/>
      <c r="D33" s="593">
        <v>26</v>
      </c>
      <c r="E33" s="594"/>
      <c r="F33" s="594"/>
      <c r="G33" s="595"/>
      <c r="H33" s="596" t="s">
        <v>414</v>
      </c>
      <c r="I33" s="596"/>
      <c r="J33" s="596"/>
      <c r="K33" s="596"/>
    </row>
    <row r="34" ht="15.75" customHeight="1">
      <c r="A34" s="597" t="s">
        <v>415</v>
      </c>
      <c r="B34" s="598"/>
      <c r="C34" s="599"/>
      <c r="D34" s="600" t="s">
        <v>145</v>
      </c>
      <c r="E34" s="601"/>
      <c r="F34" s="601"/>
      <c r="G34" s="602"/>
      <c r="H34" s="596" t="s">
        <v>145</v>
      </c>
      <c r="I34" s="596"/>
      <c r="J34" s="596"/>
      <c r="K34" s="596"/>
    </row>
    <row r="35" ht="15.75">
      <c r="A35" s="603" t="s">
        <v>416</v>
      </c>
      <c r="B35" s="604"/>
      <c r="C35" s="605"/>
      <c r="D35" s="600">
        <v>2</v>
      </c>
      <c r="E35" s="601"/>
      <c r="F35" s="601"/>
      <c r="G35" s="602"/>
      <c r="H35" s="596">
        <v>760</v>
      </c>
      <c r="I35" s="596"/>
      <c r="J35" s="596"/>
      <c r="K35" s="596"/>
    </row>
    <row r="36" ht="15.75" customHeight="1">
      <c r="A36" s="603" t="s">
        <v>417</v>
      </c>
      <c r="B36" s="604"/>
      <c r="C36" s="605"/>
      <c r="D36" s="600" t="s">
        <v>145</v>
      </c>
      <c r="E36" s="601"/>
      <c r="F36" s="601"/>
      <c r="G36" s="602"/>
      <c r="H36" s="596" t="s">
        <v>145</v>
      </c>
      <c r="I36" s="596"/>
      <c r="J36" s="596"/>
      <c r="K36" s="596"/>
    </row>
    <row r="37" ht="15.75">
      <c r="A37" s="606" t="s">
        <v>418</v>
      </c>
      <c r="B37" s="606"/>
      <c r="C37" s="606"/>
      <c r="D37" s="607">
        <f>SUM(D33:E36)</f>
        <v>28</v>
      </c>
      <c r="E37" s="608"/>
      <c r="F37" s="608"/>
      <c r="G37" s="609"/>
      <c r="H37" s="610"/>
      <c r="I37" s="610"/>
      <c r="J37" s="610"/>
      <c r="K37" s="610"/>
    </row>
    <row r="39" ht="15.75">
      <c r="A39" s="611"/>
      <c r="B39" s="611"/>
      <c r="C39" s="611"/>
      <c r="D39" s="612" t="s">
        <v>419</v>
      </c>
    </row>
    <row r="42" ht="21" customHeight="1">
      <c r="A42" s="613" t="s">
        <v>420</v>
      </c>
      <c r="B42" s="614" t="s">
        <v>230</v>
      </c>
      <c r="C42" s="614"/>
      <c r="D42" s="573"/>
    </row>
    <row r="43" ht="15.75">
      <c r="A43" s="613" t="s">
        <v>421</v>
      </c>
      <c r="B43" s="615" t="str">
        <f>I27</f>
        <v>14-11-2025</v>
      </c>
      <c r="C43" s="573"/>
      <c r="D43" s="573"/>
    </row>
    <row r="44" ht="15.75">
      <c r="A44" s="613"/>
      <c r="B44" s="616"/>
      <c r="C44" s="573"/>
      <c r="D44" s="573"/>
    </row>
    <row r="45" ht="15.75">
      <c r="A45" s="613"/>
      <c r="B45" s="616"/>
      <c r="C45" s="573"/>
      <c r="D45" s="573"/>
    </row>
    <row r="46" ht="15.75">
      <c r="A46" s="613"/>
      <c r="B46" s="616"/>
      <c r="C46" s="573"/>
      <c r="D46" s="573"/>
    </row>
    <row r="47" ht="15.75">
      <c r="A47" s="613"/>
      <c r="B47" s="616"/>
      <c r="C47" s="573"/>
      <c r="D47" s="573"/>
    </row>
    <row r="48" ht="15.75">
      <c r="A48" s="613"/>
      <c r="B48" s="616"/>
      <c r="C48" s="573"/>
      <c r="D48" s="573"/>
    </row>
    <row r="49" ht="15">
      <c r="F49" s="571"/>
      <c r="I49" s="571" t="s">
        <v>384</v>
      </c>
    </row>
    <row r="50" ht="15">
      <c r="F50" s="571"/>
      <c r="I50" s="571" t="s">
        <v>385</v>
      </c>
    </row>
    <row r="51" ht="15">
      <c r="F51" s="571"/>
      <c r="I51" s="571" t="s">
        <v>386</v>
      </c>
    </row>
    <row r="52" ht="15">
      <c r="F52" s="571"/>
      <c r="I52" s="571" t="s">
        <v>387</v>
      </c>
    </row>
    <row r="53" ht="15">
      <c r="F53" s="571"/>
      <c r="I53" s="571" t="s">
        <v>388</v>
      </c>
    </row>
    <row r="54" ht="15">
      <c r="F54" s="571"/>
      <c r="I54" s="571" t="s">
        <v>389</v>
      </c>
    </row>
    <row r="55" ht="15.75">
      <c r="G55" s="617"/>
      <c r="I55" s="617"/>
    </row>
    <row r="56" ht="15">
      <c r="A56" s="618" t="str">
        <f>"Invoice No.: "&amp;'Working Sheet'!B3</f>
        <v>Invoice No.: SSI/1183</v>
      </c>
      <c r="G56" s="619"/>
      <c r="H56" s="620">
        <f>'Working Sheet'!B5</f>
        <v>45964</v>
      </c>
      <c r="I56" s="620"/>
      <c r="J56" s="620"/>
      <c r="K56" s="620"/>
    </row>
    <row r="57" ht="15.75">
      <c r="A57" s="621"/>
    </row>
    <row r="58" ht="15.75">
      <c r="A58" s="622" t="s">
        <v>422</v>
      </c>
    </row>
    <row r="59" ht="15.75">
      <c r="A59" s="622" t="s">
        <v>24</v>
      </c>
    </row>
    <row r="60" ht="15.75" customHeight="1">
      <c r="A60" s="622" t="s">
        <v>423</v>
      </c>
      <c r="B60" s="623"/>
      <c r="C60" s="623"/>
      <c r="D60" s="623"/>
      <c r="E60" s="623"/>
    </row>
    <row r="61" ht="12.75">
      <c r="A61" s="624"/>
    </row>
    <row r="62" ht="15">
      <c r="A62" s="625" t="s">
        <v>424</v>
      </c>
      <c r="B62" s="625"/>
      <c r="C62" s="625"/>
      <c r="D62" s="625"/>
      <c r="E62" s="625"/>
      <c r="F62" s="625"/>
      <c r="G62" s="625"/>
      <c r="H62" s="625"/>
      <c r="I62" s="625"/>
      <c r="J62" s="625"/>
      <c r="K62" s="625"/>
    </row>
    <row r="63" ht="15.75">
      <c r="A63" s="621"/>
    </row>
    <row r="64" ht="14.25">
      <c r="A64" s="626" t="str">
        <f>"Subject: "&amp;'Working Sheet'!C6&amp;" – Invoice No. "&amp;'Working Sheet'!B3&amp;" for the Month of "&amp;'Working Sheet'!B4&amp;" for hiring of contract  for housekeeping services"</f>
        <v>Subject: RA BILL NO-19 – Invoice No. SSI/1183 for the Month of OCTOBER-2025 for hiring of contract  for housekeeping services</v>
      </c>
    </row>
    <row r="65" ht="14.25">
      <c r="A65" s="626" t="s">
        <v>425</v>
      </c>
    </row>
    <row r="67" ht="14.25">
      <c r="A67" s="626" t="s">
        <v>426</v>
      </c>
    </row>
    <row r="68" ht="15.75">
      <c r="A68" s="621"/>
      <c r="B68" s="571"/>
      <c r="C68" s="571"/>
      <c r="D68" s="571"/>
      <c r="E68" s="571"/>
      <c r="F68" s="571"/>
      <c r="G68" s="571"/>
      <c r="H68" s="571"/>
      <c r="I68" s="571"/>
    </row>
    <row r="69" ht="15">
      <c r="A69" s="626" t="s">
        <v>427</v>
      </c>
      <c r="B69" s="571"/>
      <c r="C69" s="571"/>
      <c r="D69" s="571"/>
      <c r="E69" s="571"/>
      <c r="F69" s="571"/>
      <c r="G69" s="571"/>
      <c r="H69" s="571"/>
      <c r="I69" s="571"/>
    </row>
    <row r="70" ht="15">
      <c r="A70" s="626"/>
      <c r="B70" s="571"/>
      <c r="C70" s="571"/>
      <c r="D70" s="571"/>
      <c r="E70" s="571"/>
      <c r="F70" s="571"/>
      <c r="G70" s="571"/>
      <c r="H70" s="571"/>
      <c r="I70" s="571"/>
    </row>
    <row r="71" ht="15">
      <c r="A71" s="626" t="str">
        <f>"We are submitting "&amp;'Working Sheet'!C6&amp;", Invoice No.- "&amp;'Working Sheet'!B3&amp;" for the period of "&amp;'Working Sheet'!B2&amp;" for hiring of contract  "</f>
        <v>We are submitting RA BILL NO-19, Invoice No.- SSI/1183 for the period of 01 Oct 2025 To 31 Oct 2025 for hiring of contract  </v>
      </c>
      <c r="B71" s="571"/>
      <c r="C71" s="571"/>
      <c r="D71" s="571"/>
      <c r="E71" s="571"/>
      <c r="F71" s="571"/>
      <c r="G71" s="571"/>
      <c r="H71" s="571"/>
      <c r="I71" s="571"/>
    </row>
    <row r="72" ht="15">
      <c r="A72" s="626" t="s">
        <v>428</v>
      </c>
      <c r="B72" s="571"/>
      <c r="C72" s="571"/>
      <c r="D72" s="571"/>
      <c r="E72" s="571"/>
      <c r="F72" s="571"/>
      <c r="G72" s="571"/>
      <c r="H72" s="571"/>
      <c r="I72" s="571"/>
    </row>
    <row r="73" ht="15">
      <c r="A73" s="626"/>
      <c r="B73" s="571"/>
      <c r="C73" s="571"/>
      <c r="D73" s="571"/>
      <c r="E73" s="571"/>
      <c r="F73" s="571"/>
      <c r="G73" s="571"/>
      <c r="H73" s="571"/>
      <c r="I73" s="571"/>
    </row>
    <row r="74" ht="14.25">
      <c r="A74" s="626" t="str">
        <f>"The  total  bill  amount  is  INR  "&amp;'Working Sheet'!B16</f>
        <v>The  total  bill  amount  is  INR  609221.59</v>
      </c>
      <c r="E74" s="0" t="str">
        <f>[1]!SpellNumber('Working Sheet'!B15)</f>
        <v>Rupees Six Lakh Nine Thousand Two Hundred TwentyOne Paise FiftyNine Only </v>
      </c>
    </row>
    <row r="75" ht="15.75">
      <c r="A75" s="621"/>
    </row>
    <row r="76" ht="14.25">
      <c r="A76" s="626" t="s">
        <v>429</v>
      </c>
    </row>
    <row r="77" ht="15">
      <c r="A77" s="626" t="s">
        <v>430</v>
      </c>
      <c r="B77" s="571"/>
    </row>
    <row r="78" ht="15">
      <c r="A78" s="626" t="s">
        <v>431</v>
      </c>
      <c r="B78" s="571"/>
    </row>
    <row r="79" ht="15">
      <c r="A79" s="626" t="s">
        <v>432</v>
      </c>
      <c r="B79" s="571"/>
    </row>
    <row r="80" ht="15">
      <c r="A80" s="626" t="s">
        <v>433</v>
      </c>
      <c r="B80" s="571"/>
    </row>
    <row r="81" ht="15">
      <c r="A81" s="626" t="s">
        <v>434</v>
      </c>
      <c r="B81" s="571"/>
    </row>
    <row r="83" ht="14.25">
      <c r="A83" s="626" t="s">
        <v>435</v>
      </c>
    </row>
    <row r="85" ht="15">
      <c r="A85" s="626" t="s">
        <v>436</v>
      </c>
      <c r="B85" s="571"/>
      <c r="C85" s="571"/>
    </row>
    <row r="86" ht="15">
      <c r="A86" s="626" t="s">
        <v>437</v>
      </c>
      <c r="B86" s="571"/>
      <c r="C86" s="571"/>
    </row>
    <row r="87" ht="15">
      <c r="A87" s="626" t="s">
        <v>384</v>
      </c>
      <c r="B87" s="571"/>
      <c r="C87" s="571"/>
    </row>
    <row r="88" ht="15">
      <c r="A88" s="626" t="s">
        <v>438</v>
      </c>
      <c r="B88" s="571"/>
      <c r="C88" s="571"/>
    </row>
    <row r="91" ht="14.25">
      <c r="A91" s="626"/>
    </row>
    <row r="92" ht="14.25">
      <c r="A92" s="626"/>
    </row>
    <row r="93" ht="14.25">
      <c r="A93" s="626"/>
    </row>
    <row r="94" ht="14.25">
      <c r="A94" s="626" t="s">
        <v>439</v>
      </c>
    </row>
    <row r="95" ht="14.25">
      <c r="A95" s="626" t="s">
        <v>440</v>
      </c>
    </row>
    <row r="96" ht="14.25">
      <c r="A96" s="626" t="s">
        <v>441</v>
      </c>
    </row>
    <row r="97" ht="14.25">
      <c r="A97" s="626" t="s">
        <v>442</v>
      </c>
    </row>
  </sheetData>
  <sheetProtection/>
  <mergeCells>
    <mergeCell ref="A8:K8"/>
    <mergeCell ref="J9:K9"/>
    <mergeCell ref="A10:K10"/>
    <mergeCell ref="A28:F28"/>
    <mergeCell ref="A30:F30"/>
    <mergeCell ref="A32:C32"/>
    <mergeCell ref="D32:G32"/>
    <mergeCell ref="H32:K32"/>
    <mergeCell ref="A33:C33"/>
    <mergeCell ref="D33:G33"/>
    <mergeCell ref="H33:K33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A37:C37"/>
    <mergeCell ref="D37:G37"/>
    <mergeCell ref="H37:K37"/>
    <mergeCell ref="B42:C42"/>
    <mergeCell ref="H56:K56"/>
    <mergeCell ref="A62:K62"/>
  </mergeCells>
  <hyperlinks>
    <hyperlink ref="I5" display="E-mail: snsitech@gmail.com  " r:id="rId2"/>
    <hyperlink ref="I6" display="Website: www.snsinfotech.com" r:id="rId3"/>
    <hyperlink ref="I53" display="E-mail: snsitech@gmail.com  " r:id="rId4"/>
    <hyperlink ref="I54" display="Website: www.snsinfotech.com" r:id="rId5"/>
  </hyperlinks>
  <pageMargins left="0.5" right="0.5" top="0.5" bottom="0.75" header="0.3" footer="0.3"/>
  <pageSetup fitToHeight="0" orientation="portrait" paperSize="1" scale="93"/>
  <headerFooter/>
  <rowBreaks count="1" manualBreakCount="1">
    <brk id="48" max="1048575" man="1"/>
  </rowBreaks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238AA1FB-6BDF-4A37-82CE-9C2D01C684FC}">
  <dimension ref="A1:AD45"/>
  <sheetViews>
    <sheetView view="pageBreakPreview" zoomScale="42" zoomScaleNormal="33" zoomScaleSheetLayoutView="42" workbookViewId="0" topLeftCell="A1">
      <selection pane="topLeft" activeCell="M46" sqref="M46"/>
    </sheetView>
  </sheetViews>
  <sheetFormatPr defaultRowHeight="12.75"/>
  <cols>
    <col min="1" max="1" width="11.2857142857143" customWidth="1"/>
    <col min="2" max="2" width="45.1428571428571" customWidth="1"/>
    <col min="3" max="3" width="37.7142857142857" customWidth="1"/>
    <col min="4" max="6" width="15.7142857142857" customWidth="1"/>
    <col min="7" max="7" width="20.5714285714286" customWidth="1"/>
    <col min="8" max="9" width="10.7142857142857" customWidth="1"/>
    <col min="10" max="10" width="11.2857142857143" customWidth="1"/>
    <col min="11" max="11" width="10.7142857142857" customWidth="1"/>
    <col min="12" max="12" width="12.7142857142857" customWidth="1"/>
    <col min="13" max="13" width="17" customWidth="1"/>
    <col min="14" max="14" width="16.5714285714286" customWidth="1"/>
    <col min="15" max="15" width="21.1428571428571" customWidth="1"/>
    <col min="16" max="16" width="18.4285714285714" customWidth="1"/>
    <col min="17" max="17" width="16.2857142857143" customWidth="1"/>
    <col min="18" max="22" width="10.7142857142857" customWidth="1"/>
    <col min="23" max="23" width="19.4285714285714" customWidth="1"/>
    <col min="24" max="24" width="23.1428571428571" customWidth="1"/>
    <col min="25" max="25" width="21" customWidth="1"/>
    <col min="26" max="26" width="39.8571428571429" customWidth="1"/>
    <col min="27" max="27" width="27.8571428571429" customWidth="1"/>
    <col min="28" max="28" width="23.4285714285714" customWidth="1"/>
  </cols>
  <sheetData>
    <row r="1" ht="40.15" customHeight="1">
      <c r="A1" s="627" t="s">
        <v>443</v>
      </c>
      <c r="B1" s="628"/>
      <c r="C1" s="628"/>
      <c r="D1" s="628"/>
      <c r="E1" s="628"/>
      <c r="F1" s="628"/>
      <c r="G1" s="628"/>
      <c r="H1" s="628"/>
      <c r="I1" s="628"/>
      <c r="J1" s="628"/>
      <c r="K1" s="628"/>
      <c r="L1" s="628"/>
      <c r="M1" s="628"/>
      <c r="N1" s="628"/>
      <c r="O1" s="628"/>
      <c r="P1" s="628"/>
      <c r="Q1" s="628"/>
      <c r="R1" s="628"/>
      <c r="S1" s="628"/>
      <c r="T1" s="628"/>
      <c r="U1" s="628"/>
      <c r="V1" s="628"/>
      <c r="W1" s="628"/>
      <c r="X1" s="628"/>
      <c r="Y1" s="628"/>
      <c r="Z1" s="628"/>
      <c r="AA1" s="628"/>
      <c r="AB1" s="629"/>
    </row>
    <row r="2" ht="49.9" customHeight="1">
      <c r="A2" s="630" t="s">
        <v>444</v>
      </c>
      <c r="B2" s="631"/>
      <c r="C2" s="631"/>
      <c r="D2" s="631"/>
      <c r="E2" s="631"/>
      <c r="F2" s="631"/>
      <c r="G2" s="631"/>
      <c r="H2" s="631"/>
      <c r="I2" s="631"/>
      <c r="J2" s="631"/>
      <c r="K2" s="631"/>
      <c r="L2" s="631"/>
      <c r="M2" s="631"/>
      <c r="N2" s="631"/>
      <c r="O2" s="631"/>
      <c r="P2" s="631"/>
      <c r="Q2" s="631"/>
      <c r="R2" s="631"/>
      <c r="S2" s="631"/>
      <c r="T2" s="631"/>
      <c r="U2" s="631"/>
      <c r="V2" s="631"/>
      <c r="W2" s="631"/>
      <c r="X2" s="631"/>
      <c r="Y2" s="631"/>
      <c r="Z2" s="631"/>
      <c r="AA2" s="631"/>
      <c r="AB2" s="632"/>
    </row>
    <row r="3" ht="49.9" customHeight="1">
      <c r="A3" s="630" t="s">
        <v>445</v>
      </c>
      <c r="B3" s="631"/>
      <c r="C3" s="631"/>
      <c r="D3" s="631"/>
      <c r="E3" s="631"/>
      <c r="F3" s="631"/>
      <c r="G3" s="631"/>
      <c r="H3" s="631"/>
      <c r="I3" s="631"/>
      <c r="J3" s="631"/>
      <c r="K3" s="631"/>
      <c r="L3" s="631"/>
      <c r="M3" s="631"/>
      <c r="N3" s="631"/>
      <c r="O3" s="631"/>
      <c r="P3" s="631"/>
      <c r="Q3" s="631"/>
      <c r="R3" s="631"/>
      <c r="S3" s="631"/>
      <c r="T3" s="631"/>
      <c r="U3" s="631"/>
      <c r="V3" s="631"/>
      <c r="W3" s="631"/>
      <c r="X3" s="631"/>
      <c r="Y3" s="631"/>
      <c r="Z3" s="631"/>
      <c r="AA3" s="631"/>
      <c r="AB3" s="632"/>
    </row>
    <row r="4" ht="49.9" customHeight="1">
      <c r="A4" s="633" t="s">
        <v>446</v>
      </c>
      <c r="B4" s="634"/>
      <c r="C4" s="634"/>
      <c r="D4" s="634"/>
      <c r="E4" s="634"/>
      <c r="F4" s="634"/>
      <c r="G4" s="634"/>
      <c r="H4" s="634"/>
      <c r="I4" s="634"/>
      <c r="J4" s="634"/>
      <c r="K4" s="634"/>
      <c r="L4" s="634"/>
      <c r="M4" s="634"/>
      <c r="N4" s="634"/>
      <c r="O4" s="634"/>
      <c r="P4" s="634"/>
      <c r="Q4" s="634"/>
      <c r="R4" s="634"/>
      <c r="S4" s="634"/>
      <c r="T4" s="634"/>
      <c r="U4" s="634"/>
      <c r="V4" s="634"/>
      <c r="W4" s="634"/>
      <c r="X4" s="634"/>
      <c r="Y4" s="634"/>
      <c r="Z4" s="634"/>
      <c r="AA4" s="634"/>
      <c r="AB4" s="635"/>
    </row>
    <row r="5" ht="49.9" customHeight="1">
      <c r="A5" s="636"/>
      <c r="B5" s="637"/>
      <c r="C5" s="637"/>
      <c r="D5" s="637"/>
      <c r="E5" s="637"/>
      <c r="F5" s="638" t="s">
        <v>267</v>
      </c>
      <c r="G5" s="638"/>
      <c r="H5" s="638"/>
      <c r="I5" s="638"/>
      <c r="J5" s="638"/>
      <c r="K5" s="638" t="s">
        <v>447</v>
      </c>
      <c r="L5" s="638"/>
      <c r="M5" s="638"/>
      <c r="N5" s="638"/>
      <c r="O5" s="638"/>
      <c r="P5" s="638"/>
      <c r="Q5" s="639" t="s">
        <v>448</v>
      </c>
      <c r="R5" s="639"/>
      <c r="S5" s="639"/>
      <c r="T5" s="639"/>
      <c r="U5" s="639"/>
      <c r="V5" s="639"/>
      <c r="W5" s="639"/>
      <c r="X5" s="638" t="s">
        <v>449</v>
      </c>
      <c r="Y5" s="638"/>
      <c r="Z5" s="638"/>
      <c r="AA5" s="638"/>
      <c r="AB5" s="640"/>
    </row>
    <row r="6" ht="49.9" customHeight="1">
      <c r="A6" s="641" t="s">
        <v>272</v>
      </c>
      <c r="B6" s="642"/>
      <c r="C6" s="642"/>
      <c r="D6" s="642"/>
      <c r="E6" s="642"/>
      <c r="F6" s="643" t="s">
        <v>145</v>
      </c>
      <c r="G6" s="644"/>
      <c r="H6" s="644"/>
      <c r="I6" s="644"/>
      <c r="J6" s="644"/>
      <c r="K6" s="643" t="s">
        <v>450</v>
      </c>
      <c r="L6" s="643"/>
      <c r="M6" s="643"/>
      <c r="N6" s="643"/>
      <c r="O6" s="643"/>
      <c r="P6" s="643"/>
      <c r="Q6" s="643" t="s">
        <v>145</v>
      </c>
      <c r="R6" s="643"/>
      <c r="S6" s="643"/>
      <c r="T6" s="643"/>
      <c r="U6" s="643"/>
      <c r="V6" s="643"/>
      <c r="W6" s="643"/>
      <c r="X6" s="643" t="s">
        <v>451</v>
      </c>
      <c r="Y6" s="643"/>
      <c r="Z6" s="643"/>
      <c r="AA6" s="643"/>
      <c r="AB6" s="645"/>
    </row>
    <row r="7" ht="49.9" customHeight="1">
      <c r="A7" s="641" t="s">
        <v>276</v>
      </c>
      <c r="B7" s="642"/>
      <c r="C7" s="642"/>
      <c r="D7" s="642"/>
      <c r="E7" s="642"/>
      <c r="F7" s="643" t="s">
        <v>145</v>
      </c>
      <c r="G7" s="644"/>
      <c r="H7" s="644"/>
      <c r="I7" s="644"/>
      <c r="J7" s="644"/>
      <c r="K7" s="643" t="s">
        <v>145</v>
      </c>
      <c r="L7" s="643"/>
      <c r="M7" s="643"/>
      <c r="N7" s="643"/>
      <c r="O7" s="643"/>
      <c r="P7" s="643"/>
      <c r="Q7" s="643" t="s">
        <v>145</v>
      </c>
      <c r="R7" s="643"/>
      <c r="S7" s="643"/>
      <c r="T7" s="643"/>
      <c r="U7" s="643"/>
      <c r="V7" s="643"/>
      <c r="W7" s="643"/>
      <c r="X7" s="643" t="s">
        <v>452</v>
      </c>
      <c r="Y7" s="643"/>
      <c r="Z7" s="643"/>
      <c r="AA7" s="643"/>
      <c r="AB7" s="645"/>
    </row>
    <row r="8" ht="49.9" customHeight="1">
      <c r="A8" s="641" t="s">
        <v>453</v>
      </c>
      <c r="B8" s="642"/>
      <c r="C8" s="642"/>
      <c r="D8" s="642"/>
      <c r="E8" s="642"/>
      <c r="F8" s="643" t="s">
        <v>145</v>
      </c>
      <c r="G8" s="644"/>
      <c r="H8" s="644"/>
      <c r="I8" s="644"/>
      <c r="J8" s="644"/>
      <c r="K8" s="643" t="s">
        <v>145</v>
      </c>
      <c r="L8" s="643"/>
      <c r="M8" s="643"/>
      <c r="N8" s="643"/>
      <c r="O8" s="643"/>
      <c r="P8" s="643"/>
      <c r="Q8" s="643" t="s">
        <v>145</v>
      </c>
      <c r="R8" s="643"/>
      <c r="S8" s="643"/>
      <c r="T8" s="643"/>
      <c r="U8" s="643"/>
      <c r="V8" s="643"/>
      <c r="W8" s="643"/>
      <c r="X8" s="643" t="s">
        <v>145</v>
      </c>
      <c r="Y8" s="643"/>
      <c r="Z8" s="643"/>
      <c r="AA8" s="643"/>
      <c r="AB8" s="645"/>
    </row>
    <row r="9" ht="49.9" customHeight="1">
      <c r="A9" s="646" t="s">
        <v>454</v>
      </c>
      <c r="B9" s="647"/>
      <c r="C9" s="647"/>
      <c r="D9" s="647"/>
      <c r="E9" s="647"/>
      <c r="F9" s="647"/>
      <c r="G9" s="647"/>
      <c r="H9" s="647"/>
      <c r="I9" s="647"/>
      <c r="J9" s="647"/>
      <c r="K9" s="647"/>
      <c r="L9" s="647"/>
      <c r="M9" s="647"/>
      <c r="N9" s="647"/>
      <c r="O9" s="647"/>
      <c r="P9" s="647"/>
      <c r="Q9" s="647"/>
      <c r="R9" s="647"/>
      <c r="S9" s="647"/>
      <c r="T9" s="647"/>
      <c r="U9" s="647"/>
      <c r="V9" s="647"/>
      <c r="W9" s="647"/>
      <c r="X9" s="647"/>
      <c r="Y9" s="647"/>
      <c r="Z9" s="647"/>
      <c r="AA9" s="647"/>
      <c r="AB9" s="648"/>
    </row>
    <row r="10" ht="49.9" customHeight="1">
      <c r="A10" s="649" t="s">
        <v>455</v>
      </c>
      <c r="B10" s="650"/>
      <c r="C10" s="650"/>
      <c r="D10" s="650"/>
      <c r="E10" s="650"/>
      <c r="F10" s="650"/>
      <c r="G10" s="650"/>
      <c r="H10" s="650"/>
      <c r="I10" s="650"/>
      <c r="J10" s="650"/>
      <c r="K10" s="650"/>
      <c r="L10" s="650"/>
      <c r="M10" s="650"/>
      <c r="N10" s="650"/>
      <c r="O10" s="650"/>
      <c r="P10" s="650"/>
      <c r="Q10" s="650"/>
      <c r="R10" s="650"/>
      <c r="S10" s="650"/>
      <c r="T10" s="650"/>
      <c r="U10" s="650"/>
      <c r="V10" s="650"/>
      <c r="W10" s="650"/>
      <c r="X10" s="650"/>
      <c r="Y10" s="650"/>
      <c r="Z10" s="650"/>
      <c r="AA10" s="650"/>
      <c r="AB10" s="651"/>
    </row>
    <row r="11" ht="42.4" customHeight="1">
      <c r="A11" s="652" t="s">
        <v>456</v>
      </c>
      <c r="B11" s="652" t="s">
        <v>107</v>
      </c>
      <c r="C11" s="653" t="s">
        <v>457</v>
      </c>
      <c r="D11" s="654" t="s">
        <v>458</v>
      </c>
      <c r="E11" s="654" t="s">
        <v>459</v>
      </c>
      <c r="F11" s="654" t="s">
        <v>460</v>
      </c>
      <c r="G11" s="654" t="s">
        <v>301</v>
      </c>
      <c r="H11" s="654" t="s">
        <v>461</v>
      </c>
      <c r="I11" s="655" t="s">
        <v>302</v>
      </c>
      <c r="J11" s="654" t="s">
        <v>462</v>
      </c>
      <c r="K11" s="654" t="s">
        <v>305</v>
      </c>
      <c r="L11" s="654" t="s">
        <v>463</v>
      </c>
      <c r="M11" s="654"/>
      <c r="N11" s="654"/>
      <c r="O11" s="654" t="s">
        <v>136</v>
      </c>
      <c r="P11" s="655" t="s">
        <v>464</v>
      </c>
      <c r="Q11" s="655"/>
      <c r="R11" s="655"/>
      <c r="S11" s="655"/>
      <c r="T11" s="655"/>
      <c r="U11" s="655"/>
      <c r="V11" s="655"/>
      <c r="W11" s="655"/>
      <c r="X11" s="654" t="s">
        <v>465</v>
      </c>
      <c r="Y11" s="654" t="s">
        <v>466</v>
      </c>
      <c r="Z11" s="654" t="s">
        <v>467</v>
      </c>
      <c r="AA11" s="654" t="s">
        <v>468</v>
      </c>
      <c r="AB11" s="656" t="s">
        <v>469</v>
      </c>
    </row>
    <row r="12" ht="172.5" customHeight="1">
      <c r="A12" s="652"/>
      <c r="B12" s="652"/>
      <c r="C12" s="657"/>
      <c r="D12" s="654"/>
      <c r="E12" s="654"/>
      <c r="F12" s="654"/>
      <c r="G12" s="654"/>
      <c r="H12" s="654"/>
      <c r="I12" s="655"/>
      <c r="J12" s="654"/>
      <c r="K12" s="654"/>
      <c r="L12" s="654" t="s">
        <v>470</v>
      </c>
      <c r="M12" s="654" t="s">
        <v>471</v>
      </c>
      <c r="N12" s="654" t="s">
        <v>472</v>
      </c>
      <c r="O12" s="654"/>
      <c r="P12" s="654" t="s">
        <v>319</v>
      </c>
      <c r="Q12" s="658" t="s">
        <v>320</v>
      </c>
      <c r="R12" s="659" t="s">
        <v>321</v>
      </c>
      <c r="S12" s="659" t="s">
        <v>473</v>
      </c>
      <c r="T12" s="659" t="s">
        <v>323</v>
      </c>
      <c r="U12" s="659" t="s">
        <v>474</v>
      </c>
      <c r="V12" s="659" t="s">
        <v>325</v>
      </c>
      <c r="W12" s="654" t="s">
        <v>136</v>
      </c>
      <c r="X12" s="655"/>
      <c r="Y12" s="654"/>
      <c r="Z12" s="654"/>
      <c r="AA12" s="654"/>
      <c r="AB12" s="656"/>
    </row>
    <row r="13" ht="19.15" customHeight="1">
      <c r="A13" s="660">
        <v>0</v>
      </c>
      <c r="B13" s="660">
        <f>1+A13</f>
        <v>1</v>
      </c>
      <c r="C13" s="661"/>
      <c r="D13" s="661">
        <v>2</v>
      </c>
      <c r="E13" s="661">
        <v>3</v>
      </c>
      <c r="F13" s="661">
        <v>4</v>
      </c>
      <c r="G13" s="661">
        <v>5</v>
      </c>
      <c r="H13" s="661">
        <v>6</v>
      </c>
      <c r="I13" s="661">
        <v>7</v>
      </c>
      <c r="J13" s="661">
        <v>8</v>
      </c>
      <c r="K13" s="661">
        <v>9</v>
      </c>
      <c r="L13" s="661">
        <v>10</v>
      </c>
      <c r="M13" s="661"/>
      <c r="N13" s="661"/>
      <c r="O13" s="661">
        <v>11</v>
      </c>
      <c r="P13" s="661">
        <v>12</v>
      </c>
      <c r="Q13" s="661">
        <v>13</v>
      </c>
      <c r="R13" s="661">
        <v>14</v>
      </c>
      <c r="S13" s="661">
        <v>15</v>
      </c>
      <c r="T13" s="661">
        <v>16</v>
      </c>
      <c r="U13" s="661">
        <v>17</v>
      </c>
      <c r="V13" s="661">
        <v>18</v>
      </c>
      <c r="W13" s="661">
        <v>19</v>
      </c>
      <c r="X13" s="661">
        <v>20</v>
      </c>
      <c r="Y13" s="661">
        <v>21</v>
      </c>
      <c r="Z13" s="661">
        <v>22</v>
      </c>
      <c r="AA13" s="661">
        <v>23</v>
      </c>
      <c r="AB13" s="662">
        <v>24</v>
      </c>
    </row>
    <row r="14" ht="60" customHeight="1">
      <c r="A14" s="663">
        <f>A13+1</f>
        <v>1</v>
      </c>
      <c r="B14" s="664" t="s">
        <v>180</v>
      </c>
      <c r="C14" s="665" t="s">
        <v>178</v>
      </c>
      <c r="D14" s="666">
        <v>526</v>
      </c>
      <c r="E14" s="667">
        <v>26</v>
      </c>
      <c r="F14" s="668">
        <v>0</v>
      </c>
      <c r="G14" s="669">
        <f ref="G14:G41" t="shared" si="0">D14*E14</f>
        <v>13676</v>
      </c>
      <c r="H14" s="668">
        <v>0</v>
      </c>
      <c r="I14" s="668">
        <v>0</v>
      </c>
      <c r="J14" s="668">
        <v>0</v>
      </c>
      <c r="K14" s="668">
        <v>0</v>
      </c>
      <c r="L14" s="670">
        <v>0</v>
      </c>
      <c r="M14" s="670">
        <f ref="M14:M41" t="shared" si="1">G14*8.33%</f>
        <v>1139.2108</v>
      </c>
      <c r="N14" s="670">
        <f ref="N14:N41" t="shared" si="2">G14*4.81%</f>
        <v>657.8155999999999</v>
      </c>
      <c r="O14" s="666">
        <f ref="O14:O41" t="shared" si="3">SUM(G14:N14)</f>
        <v>15473.0264</v>
      </c>
      <c r="P14" s="666">
        <f ref="P14:P41" t="shared" si="4">ROUND(IF(G14*12%&gt;1800,1800,G14*12%),0)</f>
        <v>1641</v>
      </c>
      <c r="Q14" s="666">
        <f ref="Q14:Q41" t="shared" si="5">G14*0.75%</f>
        <v>102.57</v>
      </c>
      <c r="R14" s="668">
        <v>0</v>
      </c>
      <c r="S14" s="668">
        <v>0</v>
      </c>
      <c r="T14" s="668">
        <v>0</v>
      </c>
      <c r="U14" s="668">
        <v>0</v>
      </c>
      <c r="V14" s="668">
        <v>0</v>
      </c>
      <c r="W14" s="671">
        <f ref="W14:W41" t="shared" si="6">SUM(P14:V14)</f>
        <v>1743.57</v>
      </c>
      <c r="X14" s="672">
        <f ref="X14:X41" t="shared" si="7">ROUND(O14-W14,0)</f>
        <v>13729</v>
      </c>
      <c r="Y14" s="673">
        <f ref="Y14:Y41" t="shared" si="8">IF(G14*13%&gt;1950,1950,G14*13%)</f>
        <v>1777.88</v>
      </c>
      <c r="Z14" s="674"/>
      <c r="AA14" s="675">
        <f>AA13</f>
        <v>23</v>
      </c>
      <c r="AB14" s="676" t="s">
        <v>336</v>
      </c>
    </row>
    <row r="15" ht="60" customHeight="1">
      <c r="A15" s="663">
        <f ref="A15:A41" t="shared" si="9">A14+1</f>
        <v>2</v>
      </c>
      <c r="B15" s="677" t="s">
        <v>227</v>
      </c>
      <c r="C15" s="665" t="s">
        <v>475</v>
      </c>
      <c r="D15" s="666">
        <v>526</v>
      </c>
      <c r="E15" s="667">
        <v>26</v>
      </c>
      <c r="F15" s="668">
        <v>0</v>
      </c>
      <c r="G15" s="669">
        <f t="shared" si="0"/>
        <v>13676</v>
      </c>
      <c r="H15" s="668">
        <v>0</v>
      </c>
      <c r="I15" s="668">
        <v>0</v>
      </c>
      <c r="J15" s="668">
        <v>0</v>
      </c>
      <c r="K15" s="668">
        <v>0</v>
      </c>
      <c r="L15" s="670">
        <v>0</v>
      </c>
      <c r="M15" s="670">
        <f t="shared" si="1"/>
        <v>1139.2108</v>
      </c>
      <c r="N15" s="670">
        <f t="shared" si="2"/>
        <v>657.8155999999999</v>
      </c>
      <c r="O15" s="666">
        <f t="shared" si="3"/>
        <v>15473.0264</v>
      </c>
      <c r="P15" s="666">
        <f t="shared" si="4"/>
        <v>1641</v>
      </c>
      <c r="Q15" s="666">
        <f t="shared" si="5"/>
        <v>102.57</v>
      </c>
      <c r="R15" s="668">
        <v>0</v>
      </c>
      <c r="S15" s="668">
        <v>0</v>
      </c>
      <c r="T15" s="668">
        <v>0</v>
      </c>
      <c r="U15" s="668">
        <v>0</v>
      </c>
      <c r="V15" s="668">
        <v>0</v>
      </c>
      <c r="W15" s="671">
        <f t="shared" si="6"/>
        <v>1743.57</v>
      </c>
      <c r="X15" s="672">
        <f t="shared" si="7"/>
        <v>13729</v>
      </c>
      <c r="Y15" s="673">
        <f t="shared" si="8"/>
        <v>1777.88</v>
      </c>
      <c r="Z15" s="674"/>
      <c r="AA15" s="675">
        <f>AA14</f>
        <v>23</v>
      </c>
      <c r="AB15" s="676" t="s">
        <v>336</v>
      </c>
    </row>
    <row r="16" ht="60" customHeight="1">
      <c r="A16" s="663">
        <f t="shared" si="9"/>
        <v>3</v>
      </c>
      <c r="B16" s="664" t="s">
        <v>192</v>
      </c>
      <c r="C16" s="665" t="s">
        <v>49</v>
      </c>
      <c r="D16" s="666">
        <v>526</v>
      </c>
      <c r="E16" s="667">
        <v>26</v>
      </c>
      <c r="F16" s="668">
        <v>0</v>
      </c>
      <c r="G16" s="669">
        <f t="shared" si="0"/>
        <v>13676</v>
      </c>
      <c r="H16" s="668">
        <v>0</v>
      </c>
      <c r="I16" s="668">
        <v>0</v>
      </c>
      <c r="J16" s="668">
        <v>0</v>
      </c>
      <c r="K16" s="668">
        <v>0</v>
      </c>
      <c r="L16" s="670">
        <v>0</v>
      </c>
      <c r="M16" s="670">
        <f t="shared" si="1"/>
        <v>1139.2108</v>
      </c>
      <c r="N16" s="670">
        <f t="shared" si="2"/>
        <v>657.8155999999999</v>
      </c>
      <c r="O16" s="666">
        <f t="shared" si="3"/>
        <v>15473.0264</v>
      </c>
      <c r="P16" s="666">
        <f t="shared" si="4"/>
        <v>1641</v>
      </c>
      <c r="Q16" s="666">
        <f t="shared" si="5"/>
        <v>102.57</v>
      </c>
      <c r="R16" s="668">
        <v>0</v>
      </c>
      <c r="S16" s="668">
        <v>0</v>
      </c>
      <c r="T16" s="668">
        <v>0</v>
      </c>
      <c r="U16" s="668">
        <v>0</v>
      </c>
      <c r="V16" s="668">
        <v>0</v>
      </c>
      <c r="W16" s="671">
        <f t="shared" si="6"/>
        <v>1743.57</v>
      </c>
      <c r="X16" s="672">
        <f t="shared" si="7"/>
        <v>13729</v>
      </c>
      <c r="Y16" s="673">
        <f t="shared" si="8"/>
        <v>1777.88</v>
      </c>
      <c r="Z16" s="674"/>
      <c r="AA16" s="675">
        <f>AA15</f>
        <v>23</v>
      </c>
      <c r="AB16" s="676" t="s">
        <v>336</v>
      </c>
    </row>
    <row r="17" ht="60" customHeight="1">
      <c r="A17" s="663">
        <f t="shared" si="9"/>
        <v>4</v>
      </c>
      <c r="B17" s="664" t="s">
        <v>194</v>
      </c>
      <c r="C17" s="665" t="s">
        <v>49</v>
      </c>
      <c r="D17" s="666">
        <v>526</v>
      </c>
      <c r="E17" s="667">
        <v>26</v>
      </c>
      <c r="F17" s="668">
        <v>0</v>
      </c>
      <c r="G17" s="669">
        <f t="shared" si="0"/>
        <v>13676</v>
      </c>
      <c r="H17" s="668">
        <v>0</v>
      </c>
      <c r="I17" s="668">
        <v>0</v>
      </c>
      <c r="J17" s="668">
        <v>0</v>
      </c>
      <c r="K17" s="668">
        <v>0</v>
      </c>
      <c r="L17" s="670">
        <v>0</v>
      </c>
      <c r="M17" s="670">
        <f t="shared" si="1"/>
        <v>1139.2108</v>
      </c>
      <c r="N17" s="670">
        <f t="shared" si="2"/>
        <v>657.8155999999999</v>
      </c>
      <c r="O17" s="666">
        <f t="shared" si="3"/>
        <v>15473.0264</v>
      </c>
      <c r="P17" s="666">
        <f t="shared" si="4"/>
        <v>1641</v>
      </c>
      <c r="Q17" s="666">
        <f t="shared" si="5"/>
        <v>102.57</v>
      </c>
      <c r="R17" s="668">
        <v>0</v>
      </c>
      <c r="S17" s="668">
        <v>0</v>
      </c>
      <c r="T17" s="668">
        <v>0</v>
      </c>
      <c r="U17" s="668">
        <v>0</v>
      </c>
      <c r="V17" s="668">
        <v>0</v>
      </c>
      <c r="W17" s="671">
        <f t="shared" si="6"/>
        <v>1743.57</v>
      </c>
      <c r="X17" s="672">
        <f t="shared" si="7"/>
        <v>13729</v>
      </c>
      <c r="Y17" s="673">
        <f t="shared" si="8"/>
        <v>1777.88</v>
      </c>
      <c r="Z17" s="674"/>
      <c r="AA17" s="675">
        <f>AA16</f>
        <v>23</v>
      </c>
      <c r="AB17" s="676" t="s">
        <v>336</v>
      </c>
    </row>
    <row r="18" ht="60" customHeight="1">
      <c r="A18" s="663">
        <f t="shared" si="9"/>
        <v>5</v>
      </c>
      <c r="B18" s="664" t="s">
        <v>476</v>
      </c>
      <c r="C18" s="665" t="s">
        <v>230</v>
      </c>
      <c r="D18" s="666">
        <v>739</v>
      </c>
      <c r="E18" s="667">
        <v>26</v>
      </c>
      <c r="F18" s="668">
        <v>0</v>
      </c>
      <c r="G18" s="669">
        <f t="shared" si="0"/>
        <v>19214</v>
      </c>
      <c r="H18" s="668">
        <v>0</v>
      </c>
      <c r="I18" s="668">
        <v>0</v>
      </c>
      <c r="J18" s="668">
        <v>0</v>
      </c>
      <c r="K18" s="668">
        <v>0</v>
      </c>
      <c r="L18" s="670">
        <v>0</v>
      </c>
      <c r="M18" s="670">
        <f t="shared" si="1"/>
        <v>1600.5262</v>
      </c>
      <c r="N18" s="670">
        <f t="shared" si="2"/>
        <v>924.1934</v>
      </c>
      <c r="O18" s="666">
        <f t="shared" si="3"/>
        <v>21738.7196</v>
      </c>
      <c r="P18" s="666">
        <f t="shared" si="4"/>
        <v>1800</v>
      </c>
      <c r="Q18" s="666">
        <f t="shared" si="5"/>
        <v>144.105</v>
      </c>
      <c r="R18" s="668">
        <v>0</v>
      </c>
      <c r="S18" s="668">
        <v>0</v>
      </c>
      <c r="T18" s="668">
        <v>0</v>
      </c>
      <c r="U18" s="668">
        <v>0</v>
      </c>
      <c r="V18" s="668">
        <v>0</v>
      </c>
      <c r="W18" s="671">
        <f t="shared" si="6"/>
        <v>1944.105</v>
      </c>
      <c r="X18" s="672">
        <f t="shared" si="7"/>
        <v>19795</v>
      </c>
      <c r="Y18" s="673">
        <f t="shared" si="8"/>
        <v>1950</v>
      </c>
      <c r="Z18" s="674"/>
      <c r="AA18" s="675" t="s">
        <v>477</v>
      </c>
      <c r="AB18" s="676" t="s">
        <v>336</v>
      </c>
    </row>
    <row r="19" ht="60" customHeight="1">
      <c r="A19" s="663">
        <f t="shared" si="9"/>
        <v>6</v>
      </c>
      <c r="B19" s="664" t="s">
        <v>196</v>
      </c>
      <c r="C19" s="665" t="s">
        <v>49</v>
      </c>
      <c r="D19" s="666">
        <v>526</v>
      </c>
      <c r="E19" s="667">
        <v>26</v>
      </c>
      <c r="F19" s="668">
        <v>0</v>
      </c>
      <c r="G19" s="669">
        <f t="shared" si="0"/>
        <v>13676</v>
      </c>
      <c r="H19" s="668">
        <v>0</v>
      </c>
      <c r="I19" s="668">
        <v>0</v>
      </c>
      <c r="J19" s="668">
        <v>0</v>
      </c>
      <c r="K19" s="668">
        <v>0</v>
      </c>
      <c r="L19" s="670">
        <v>0</v>
      </c>
      <c r="M19" s="670">
        <f t="shared" si="1"/>
        <v>1139.2108</v>
      </c>
      <c r="N19" s="670">
        <f t="shared" si="2"/>
        <v>657.8155999999999</v>
      </c>
      <c r="O19" s="666">
        <f t="shared" si="3"/>
        <v>15473.0264</v>
      </c>
      <c r="P19" s="666">
        <f t="shared" si="4"/>
        <v>1641</v>
      </c>
      <c r="Q19" s="666">
        <f t="shared" si="5"/>
        <v>102.57</v>
      </c>
      <c r="R19" s="668">
        <v>0</v>
      </c>
      <c r="S19" s="668">
        <v>0</v>
      </c>
      <c r="T19" s="668">
        <v>0</v>
      </c>
      <c r="U19" s="668">
        <v>0</v>
      </c>
      <c r="V19" s="668">
        <v>0</v>
      </c>
      <c r="W19" s="671">
        <f t="shared" si="6"/>
        <v>1743.57</v>
      </c>
      <c r="X19" s="672">
        <f t="shared" si="7"/>
        <v>13729</v>
      </c>
      <c r="Y19" s="673">
        <f t="shared" si="8"/>
        <v>1777.88</v>
      </c>
      <c r="Z19" s="674"/>
      <c r="AA19" s="675" t="str">
        <f ref="AA19:AA27" t="shared" si="10">AA18</f>
        <v>0</v>
      </c>
      <c r="AB19" s="676" t="s">
        <v>336</v>
      </c>
    </row>
    <row r="20" ht="60" customHeight="1">
      <c r="A20" s="663">
        <f t="shared" si="9"/>
        <v>7</v>
      </c>
      <c r="B20" s="664" t="s">
        <v>478</v>
      </c>
      <c r="C20" s="665" t="s">
        <v>52</v>
      </c>
      <c r="D20" s="666">
        <v>655</v>
      </c>
      <c r="E20" s="667">
        <v>26</v>
      </c>
      <c r="F20" s="668">
        <v>0</v>
      </c>
      <c r="G20" s="669">
        <f t="shared" si="0"/>
        <v>17030</v>
      </c>
      <c r="H20" s="668">
        <v>0</v>
      </c>
      <c r="I20" s="668">
        <v>0</v>
      </c>
      <c r="J20" s="668">
        <v>0</v>
      </c>
      <c r="K20" s="668">
        <v>0</v>
      </c>
      <c r="L20" s="670">
        <v>0</v>
      </c>
      <c r="M20" s="670">
        <f t="shared" si="1"/>
        <v>1418.599</v>
      </c>
      <c r="N20" s="670">
        <f t="shared" si="2"/>
        <v>819.1429999999999</v>
      </c>
      <c r="O20" s="666">
        <f t="shared" si="3"/>
        <v>19267.742</v>
      </c>
      <c r="P20" s="666">
        <f t="shared" si="4"/>
        <v>1800</v>
      </c>
      <c r="Q20" s="666">
        <f t="shared" si="5"/>
        <v>127.725</v>
      </c>
      <c r="R20" s="668">
        <v>0</v>
      </c>
      <c r="S20" s="668">
        <v>0</v>
      </c>
      <c r="T20" s="668">
        <v>0</v>
      </c>
      <c r="U20" s="668">
        <v>0</v>
      </c>
      <c r="V20" s="668">
        <v>0</v>
      </c>
      <c r="W20" s="671">
        <f t="shared" si="6"/>
        <v>1927.725</v>
      </c>
      <c r="X20" s="672">
        <f t="shared" si="7"/>
        <v>17340</v>
      </c>
      <c r="Y20" s="673">
        <f t="shared" si="8"/>
        <v>1950</v>
      </c>
      <c r="Z20" s="674"/>
      <c r="AA20" s="675" t="str">
        <f t="shared" si="10"/>
        <v>0</v>
      </c>
      <c r="AB20" s="676" t="s">
        <v>336</v>
      </c>
    </row>
    <row r="21" ht="60" customHeight="1">
      <c r="A21" s="663">
        <f t="shared" si="9"/>
        <v>8</v>
      </c>
      <c r="B21" s="664" t="s">
        <v>198</v>
      </c>
      <c r="C21" s="665" t="s">
        <v>49</v>
      </c>
      <c r="D21" s="666">
        <v>526</v>
      </c>
      <c r="E21" s="667">
        <v>26</v>
      </c>
      <c r="F21" s="668">
        <v>0</v>
      </c>
      <c r="G21" s="669">
        <f t="shared" si="0"/>
        <v>13676</v>
      </c>
      <c r="H21" s="668">
        <v>0</v>
      </c>
      <c r="I21" s="668">
        <v>0</v>
      </c>
      <c r="J21" s="668">
        <v>0</v>
      </c>
      <c r="K21" s="668">
        <v>0</v>
      </c>
      <c r="L21" s="670">
        <v>0</v>
      </c>
      <c r="M21" s="670">
        <f t="shared" si="1"/>
        <v>1139.2108</v>
      </c>
      <c r="N21" s="670">
        <f t="shared" si="2"/>
        <v>657.8155999999999</v>
      </c>
      <c r="O21" s="666">
        <f t="shared" si="3"/>
        <v>15473.0264</v>
      </c>
      <c r="P21" s="666">
        <f t="shared" si="4"/>
        <v>1641</v>
      </c>
      <c r="Q21" s="666">
        <f t="shared" si="5"/>
        <v>102.57</v>
      </c>
      <c r="R21" s="668">
        <v>0</v>
      </c>
      <c r="S21" s="668">
        <v>0</v>
      </c>
      <c r="T21" s="668">
        <v>0</v>
      </c>
      <c r="U21" s="668">
        <v>0</v>
      </c>
      <c r="V21" s="668">
        <v>0</v>
      </c>
      <c r="W21" s="671">
        <f t="shared" si="6"/>
        <v>1743.57</v>
      </c>
      <c r="X21" s="672">
        <f t="shared" si="7"/>
        <v>13729</v>
      </c>
      <c r="Y21" s="673">
        <f t="shared" si="8"/>
        <v>1777.88</v>
      </c>
      <c r="Z21" s="674"/>
      <c r="AA21" s="675" t="str">
        <f t="shared" si="10"/>
        <v>0</v>
      </c>
      <c r="AB21" s="676" t="s">
        <v>336</v>
      </c>
    </row>
    <row r="22" ht="60" customHeight="1">
      <c r="A22" s="663">
        <f t="shared" si="9"/>
        <v>9</v>
      </c>
      <c r="B22" s="664" t="s">
        <v>200</v>
      </c>
      <c r="C22" s="665" t="s">
        <v>49</v>
      </c>
      <c r="D22" s="666">
        <v>526</v>
      </c>
      <c r="E22" s="667">
        <v>26</v>
      </c>
      <c r="F22" s="668">
        <v>0</v>
      </c>
      <c r="G22" s="669">
        <f t="shared" si="0"/>
        <v>13676</v>
      </c>
      <c r="H22" s="668">
        <v>0</v>
      </c>
      <c r="I22" s="668">
        <v>0</v>
      </c>
      <c r="J22" s="668">
        <v>0</v>
      </c>
      <c r="K22" s="668">
        <v>0</v>
      </c>
      <c r="L22" s="670">
        <v>0</v>
      </c>
      <c r="M22" s="670">
        <f t="shared" si="1"/>
        <v>1139.2108</v>
      </c>
      <c r="N22" s="670">
        <f t="shared" si="2"/>
        <v>657.8155999999999</v>
      </c>
      <c r="O22" s="666">
        <f t="shared" si="3"/>
        <v>15473.0264</v>
      </c>
      <c r="P22" s="666">
        <f t="shared" si="4"/>
        <v>1641</v>
      </c>
      <c r="Q22" s="666">
        <f t="shared" si="5"/>
        <v>102.57</v>
      </c>
      <c r="R22" s="668">
        <v>0</v>
      </c>
      <c r="S22" s="668">
        <v>0</v>
      </c>
      <c r="T22" s="668">
        <v>0</v>
      </c>
      <c r="U22" s="668">
        <v>0</v>
      </c>
      <c r="V22" s="668">
        <v>0</v>
      </c>
      <c r="W22" s="671">
        <f t="shared" si="6"/>
        <v>1743.57</v>
      </c>
      <c r="X22" s="672">
        <f t="shared" si="7"/>
        <v>13729</v>
      </c>
      <c r="Y22" s="673">
        <f t="shared" si="8"/>
        <v>1777.88</v>
      </c>
      <c r="Z22" s="674"/>
      <c r="AA22" s="675" t="str">
        <f t="shared" si="10"/>
        <v>0</v>
      </c>
      <c r="AB22" s="676" t="s">
        <v>336</v>
      </c>
    </row>
    <row r="23" ht="60" customHeight="1">
      <c r="A23" s="663">
        <f t="shared" si="9"/>
        <v>10</v>
      </c>
      <c r="B23" s="664" t="s">
        <v>204</v>
      </c>
      <c r="C23" s="665" t="s">
        <v>50</v>
      </c>
      <c r="D23" s="666">
        <v>526</v>
      </c>
      <c r="E23" s="667">
        <v>26</v>
      </c>
      <c r="F23" s="668">
        <v>0</v>
      </c>
      <c r="G23" s="669">
        <f t="shared" si="0"/>
        <v>13676</v>
      </c>
      <c r="H23" s="668">
        <v>0</v>
      </c>
      <c r="I23" s="668">
        <v>0</v>
      </c>
      <c r="J23" s="668">
        <v>0</v>
      </c>
      <c r="K23" s="668">
        <v>0</v>
      </c>
      <c r="L23" s="670">
        <v>0</v>
      </c>
      <c r="M23" s="670">
        <f t="shared" si="1"/>
        <v>1139.2108</v>
      </c>
      <c r="N23" s="670">
        <f t="shared" si="2"/>
        <v>657.8155999999999</v>
      </c>
      <c r="O23" s="666">
        <f t="shared" si="3"/>
        <v>15473.0264</v>
      </c>
      <c r="P23" s="666">
        <f t="shared" si="4"/>
        <v>1641</v>
      </c>
      <c r="Q23" s="666">
        <f t="shared" si="5"/>
        <v>102.57</v>
      </c>
      <c r="R23" s="668">
        <v>0</v>
      </c>
      <c r="S23" s="668">
        <v>0</v>
      </c>
      <c r="T23" s="668">
        <v>0</v>
      </c>
      <c r="U23" s="668">
        <v>0</v>
      </c>
      <c r="V23" s="668">
        <v>0</v>
      </c>
      <c r="W23" s="671">
        <f t="shared" si="6"/>
        <v>1743.57</v>
      </c>
      <c r="X23" s="672">
        <f t="shared" si="7"/>
        <v>13729</v>
      </c>
      <c r="Y23" s="673">
        <f t="shared" si="8"/>
        <v>1777.88</v>
      </c>
      <c r="Z23" s="674"/>
      <c r="AA23" s="675" t="str">
        <f t="shared" si="10"/>
        <v>0</v>
      </c>
      <c r="AB23" s="676" t="s">
        <v>336</v>
      </c>
    </row>
    <row r="24" ht="60" customHeight="1">
      <c r="A24" s="663">
        <f t="shared" si="9"/>
        <v>11</v>
      </c>
      <c r="B24" s="678" t="s">
        <v>206</v>
      </c>
      <c r="C24" s="679" t="s">
        <v>50</v>
      </c>
      <c r="D24" s="666">
        <v>526</v>
      </c>
      <c r="E24" s="667">
        <v>26</v>
      </c>
      <c r="F24" s="680">
        <v>0</v>
      </c>
      <c r="G24" s="681">
        <f t="shared" si="0"/>
        <v>13676</v>
      </c>
      <c r="H24" s="680">
        <v>0</v>
      </c>
      <c r="I24" s="680">
        <v>0</v>
      </c>
      <c r="J24" s="680">
        <v>0</v>
      </c>
      <c r="K24" s="680">
        <v>0</v>
      </c>
      <c r="L24" s="670">
        <v>0</v>
      </c>
      <c r="M24" s="670">
        <f t="shared" si="1"/>
        <v>1139.2108</v>
      </c>
      <c r="N24" s="670">
        <f t="shared" si="2"/>
        <v>657.8155999999999</v>
      </c>
      <c r="O24" s="666">
        <f t="shared" si="3"/>
        <v>15473.0264</v>
      </c>
      <c r="P24" s="666">
        <f t="shared" si="4"/>
        <v>1641</v>
      </c>
      <c r="Q24" s="666">
        <f t="shared" si="5"/>
        <v>102.57</v>
      </c>
      <c r="R24" s="680">
        <v>0</v>
      </c>
      <c r="S24" s="680">
        <v>0</v>
      </c>
      <c r="T24" s="680">
        <v>0</v>
      </c>
      <c r="U24" s="680">
        <v>0</v>
      </c>
      <c r="V24" s="680">
        <v>0</v>
      </c>
      <c r="W24" s="682">
        <f t="shared" si="6"/>
        <v>1743.57</v>
      </c>
      <c r="X24" s="672">
        <f t="shared" si="7"/>
        <v>13729</v>
      </c>
      <c r="Y24" s="672">
        <f t="shared" si="8"/>
        <v>1777.88</v>
      </c>
      <c r="Z24" s="683"/>
      <c r="AA24" s="675" t="str">
        <f t="shared" si="10"/>
        <v>0</v>
      </c>
      <c r="AB24" s="684" t="s">
        <v>336</v>
      </c>
    </row>
    <row r="25" ht="60" customHeight="1">
      <c r="A25" s="663">
        <f t="shared" si="9"/>
        <v>12</v>
      </c>
      <c r="B25" s="664" t="s">
        <v>208</v>
      </c>
      <c r="C25" s="665" t="s">
        <v>50</v>
      </c>
      <c r="D25" s="666">
        <v>526</v>
      </c>
      <c r="E25" s="667">
        <v>26</v>
      </c>
      <c r="F25" s="668">
        <v>0</v>
      </c>
      <c r="G25" s="669">
        <f t="shared" si="0"/>
        <v>13676</v>
      </c>
      <c r="H25" s="668">
        <v>0</v>
      </c>
      <c r="I25" s="668">
        <v>0</v>
      </c>
      <c r="J25" s="668">
        <v>0</v>
      </c>
      <c r="K25" s="668">
        <v>0</v>
      </c>
      <c r="L25" s="670">
        <v>0</v>
      </c>
      <c r="M25" s="670">
        <f t="shared" si="1"/>
        <v>1139.2108</v>
      </c>
      <c r="N25" s="670">
        <f t="shared" si="2"/>
        <v>657.8155999999999</v>
      </c>
      <c r="O25" s="666">
        <f t="shared" si="3"/>
        <v>15473.0264</v>
      </c>
      <c r="P25" s="666">
        <f t="shared" si="4"/>
        <v>1641</v>
      </c>
      <c r="Q25" s="666">
        <f t="shared" si="5"/>
        <v>102.57</v>
      </c>
      <c r="R25" s="668">
        <v>0</v>
      </c>
      <c r="S25" s="668">
        <v>0</v>
      </c>
      <c r="T25" s="668">
        <v>0</v>
      </c>
      <c r="U25" s="668">
        <v>0</v>
      </c>
      <c r="V25" s="668">
        <v>0</v>
      </c>
      <c r="W25" s="671">
        <f t="shared" si="6"/>
        <v>1743.57</v>
      </c>
      <c r="X25" s="672">
        <f t="shared" si="7"/>
        <v>13729</v>
      </c>
      <c r="Y25" s="673">
        <f t="shared" si="8"/>
        <v>1777.88</v>
      </c>
      <c r="Z25" s="674"/>
      <c r="AA25" s="675" t="str">
        <f t="shared" si="10"/>
        <v>0</v>
      </c>
      <c r="AB25" s="676" t="s">
        <v>336</v>
      </c>
    </row>
    <row r="26" ht="60" customHeight="1">
      <c r="A26" s="663">
        <f t="shared" si="9"/>
        <v>13</v>
      </c>
      <c r="B26" s="664" t="s">
        <v>479</v>
      </c>
      <c r="C26" s="665" t="s">
        <v>475</v>
      </c>
      <c r="D26" s="666">
        <v>526</v>
      </c>
      <c r="E26" s="667">
        <v>22</v>
      </c>
      <c r="F26" s="668">
        <v>0</v>
      </c>
      <c r="G26" s="669">
        <f t="shared" si="0"/>
        <v>11572</v>
      </c>
      <c r="H26" s="668">
        <v>0</v>
      </c>
      <c r="I26" s="668">
        <v>0</v>
      </c>
      <c r="J26" s="668">
        <v>0</v>
      </c>
      <c r="K26" s="668">
        <v>0</v>
      </c>
      <c r="L26" s="670">
        <v>0</v>
      </c>
      <c r="M26" s="670">
        <f t="shared" si="1"/>
        <v>963.9476</v>
      </c>
      <c r="N26" s="670">
        <f t="shared" si="2"/>
        <v>556.6132</v>
      </c>
      <c r="O26" s="666">
        <f t="shared" si="3"/>
        <v>13092.5608</v>
      </c>
      <c r="P26" s="666">
        <f t="shared" si="4"/>
        <v>1389</v>
      </c>
      <c r="Q26" s="666">
        <f t="shared" si="5"/>
        <v>86.78999999999999</v>
      </c>
      <c r="R26" s="668">
        <v>0</v>
      </c>
      <c r="S26" s="668">
        <v>0</v>
      </c>
      <c r="T26" s="668">
        <v>0</v>
      </c>
      <c r="U26" s="668">
        <v>0</v>
      </c>
      <c r="V26" s="668">
        <v>0</v>
      </c>
      <c r="W26" s="671">
        <f t="shared" si="6"/>
        <v>1475.79</v>
      </c>
      <c r="X26" s="672">
        <f t="shared" si="7"/>
        <v>11617</v>
      </c>
      <c r="Y26" s="673">
        <f t="shared" si="8"/>
        <v>1504.3600000000001</v>
      </c>
      <c r="Z26" s="674"/>
      <c r="AA26" s="675" t="str">
        <f t="shared" si="10"/>
        <v>0</v>
      </c>
      <c r="AB26" s="676" t="s">
        <v>336</v>
      </c>
    </row>
    <row r="27" ht="60" customHeight="1">
      <c r="A27" s="663">
        <f t="shared" si="9"/>
        <v>14</v>
      </c>
      <c r="B27" s="664" t="s">
        <v>182</v>
      </c>
      <c r="C27" s="665" t="s">
        <v>178</v>
      </c>
      <c r="D27" s="666">
        <v>526</v>
      </c>
      <c r="E27" s="667">
        <v>26</v>
      </c>
      <c r="F27" s="668">
        <v>0</v>
      </c>
      <c r="G27" s="669">
        <f t="shared" si="0"/>
        <v>13676</v>
      </c>
      <c r="H27" s="668">
        <v>0</v>
      </c>
      <c r="I27" s="668">
        <v>0</v>
      </c>
      <c r="J27" s="668">
        <v>0</v>
      </c>
      <c r="K27" s="668">
        <v>0</v>
      </c>
      <c r="L27" s="670">
        <v>0</v>
      </c>
      <c r="M27" s="670">
        <f t="shared" si="1"/>
        <v>1139.2108</v>
      </c>
      <c r="N27" s="670">
        <f t="shared" si="2"/>
        <v>657.8155999999999</v>
      </c>
      <c r="O27" s="666">
        <f t="shared" si="3"/>
        <v>15473.0264</v>
      </c>
      <c r="P27" s="666">
        <f t="shared" si="4"/>
        <v>1641</v>
      </c>
      <c r="Q27" s="666">
        <f t="shared" si="5"/>
        <v>102.57</v>
      </c>
      <c r="R27" s="668">
        <v>0</v>
      </c>
      <c r="S27" s="668">
        <v>0</v>
      </c>
      <c r="T27" s="668">
        <v>0</v>
      </c>
      <c r="U27" s="668">
        <v>0</v>
      </c>
      <c r="V27" s="668">
        <v>0</v>
      </c>
      <c r="W27" s="671">
        <f t="shared" si="6"/>
        <v>1743.57</v>
      </c>
      <c r="X27" s="672">
        <f t="shared" si="7"/>
        <v>13729</v>
      </c>
      <c r="Y27" s="673">
        <f t="shared" si="8"/>
        <v>1777.88</v>
      </c>
      <c r="Z27" s="674"/>
      <c r="AA27" s="675" t="str">
        <f t="shared" si="10"/>
        <v>0</v>
      </c>
      <c r="AB27" s="676" t="s">
        <v>336</v>
      </c>
    </row>
    <row r="28" ht="60" customHeight="1">
      <c r="A28" s="663">
        <f t="shared" si="9"/>
        <v>15</v>
      </c>
      <c r="B28" s="664" t="s">
        <v>480</v>
      </c>
      <c r="C28" s="665" t="s">
        <v>51</v>
      </c>
      <c r="D28" s="666">
        <v>526</v>
      </c>
      <c r="E28" s="667">
        <v>26</v>
      </c>
      <c r="F28" s="668">
        <v>0</v>
      </c>
      <c r="G28" s="669">
        <f t="shared" si="0"/>
        <v>13676</v>
      </c>
      <c r="H28" s="668">
        <v>0</v>
      </c>
      <c r="I28" s="668">
        <v>0</v>
      </c>
      <c r="J28" s="668">
        <v>0</v>
      </c>
      <c r="K28" s="668">
        <v>0</v>
      </c>
      <c r="L28" s="670">
        <v>0</v>
      </c>
      <c r="M28" s="670">
        <f t="shared" si="1"/>
        <v>1139.2108</v>
      </c>
      <c r="N28" s="670">
        <f t="shared" si="2"/>
        <v>657.8155999999999</v>
      </c>
      <c r="O28" s="666">
        <f t="shared" si="3"/>
        <v>15473.0264</v>
      </c>
      <c r="P28" s="666">
        <f t="shared" si="4"/>
        <v>1641</v>
      </c>
      <c r="Q28" s="666">
        <f t="shared" si="5"/>
        <v>102.57</v>
      </c>
      <c r="R28" s="668">
        <v>0</v>
      </c>
      <c r="S28" s="668">
        <v>0</v>
      </c>
      <c r="T28" s="668">
        <v>0</v>
      </c>
      <c r="U28" s="668">
        <v>0</v>
      </c>
      <c r="V28" s="668">
        <v>0</v>
      </c>
      <c r="W28" s="671">
        <f t="shared" si="6"/>
        <v>1743.57</v>
      </c>
      <c r="X28" s="672">
        <f t="shared" si="7"/>
        <v>13729</v>
      </c>
      <c r="Y28" s="673">
        <f t="shared" si="8"/>
        <v>1777.88</v>
      </c>
      <c r="Z28" s="674"/>
      <c r="AA28" s="675" t="str">
        <f>AA26</f>
        <v>0</v>
      </c>
      <c r="AB28" s="676" t="s">
        <v>336</v>
      </c>
    </row>
    <row r="29" ht="60" customHeight="1">
      <c r="A29" s="663">
        <f t="shared" si="9"/>
        <v>16</v>
      </c>
      <c r="B29" s="664" t="s">
        <v>202</v>
      </c>
      <c r="C29" s="665" t="s">
        <v>49</v>
      </c>
      <c r="D29" s="666">
        <v>526</v>
      </c>
      <c r="E29" s="667">
        <v>26</v>
      </c>
      <c r="F29" s="668">
        <v>0</v>
      </c>
      <c r="G29" s="669">
        <f t="shared" si="0"/>
        <v>13676</v>
      </c>
      <c r="H29" s="668">
        <v>0</v>
      </c>
      <c r="I29" s="668">
        <v>0</v>
      </c>
      <c r="J29" s="668">
        <v>0</v>
      </c>
      <c r="K29" s="668">
        <v>0</v>
      </c>
      <c r="L29" s="670">
        <v>0</v>
      </c>
      <c r="M29" s="670">
        <f t="shared" si="1"/>
        <v>1139.2108</v>
      </c>
      <c r="N29" s="670">
        <f t="shared" si="2"/>
        <v>657.8155999999999</v>
      </c>
      <c r="O29" s="666">
        <f t="shared" si="3"/>
        <v>15473.0264</v>
      </c>
      <c r="P29" s="666">
        <f t="shared" si="4"/>
        <v>1641</v>
      </c>
      <c r="Q29" s="666">
        <f t="shared" si="5"/>
        <v>102.57</v>
      </c>
      <c r="R29" s="668">
        <v>0</v>
      </c>
      <c r="S29" s="668">
        <v>0</v>
      </c>
      <c r="T29" s="668">
        <v>0</v>
      </c>
      <c r="U29" s="668">
        <v>0</v>
      </c>
      <c r="V29" s="668">
        <v>0</v>
      </c>
      <c r="W29" s="671">
        <f t="shared" si="6"/>
        <v>1743.57</v>
      </c>
      <c r="X29" s="672">
        <f t="shared" si="7"/>
        <v>13729</v>
      </c>
      <c r="Y29" s="673">
        <f t="shared" si="8"/>
        <v>1777.88</v>
      </c>
      <c r="Z29" s="674"/>
      <c r="AA29" s="675" t="str">
        <f ref="AA29:AA35" t="shared" si="11">AA28</f>
        <v>0</v>
      </c>
      <c r="AB29" s="676" t="s">
        <v>336</v>
      </c>
    </row>
    <row r="30" ht="60" customHeight="1">
      <c r="A30" s="663">
        <f t="shared" si="9"/>
        <v>17</v>
      </c>
      <c r="B30" s="664" t="s">
        <v>184</v>
      </c>
      <c r="C30" s="665" t="s">
        <v>178</v>
      </c>
      <c r="D30" s="666">
        <v>526</v>
      </c>
      <c r="E30" s="667">
        <v>26</v>
      </c>
      <c r="F30" s="668">
        <v>0</v>
      </c>
      <c r="G30" s="669">
        <f t="shared" si="0"/>
        <v>13676</v>
      </c>
      <c r="H30" s="668">
        <v>0</v>
      </c>
      <c r="I30" s="668">
        <v>0</v>
      </c>
      <c r="J30" s="668">
        <v>0</v>
      </c>
      <c r="K30" s="668">
        <v>0</v>
      </c>
      <c r="L30" s="670">
        <v>0</v>
      </c>
      <c r="M30" s="670">
        <f t="shared" si="1"/>
        <v>1139.2108</v>
      </c>
      <c r="N30" s="670">
        <f t="shared" si="2"/>
        <v>657.8155999999999</v>
      </c>
      <c r="O30" s="666">
        <f t="shared" si="3"/>
        <v>15473.0264</v>
      </c>
      <c r="P30" s="666">
        <f t="shared" si="4"/>
        <v>1641</v>
      </c>
      <c r="Q30" s="666">
        <f t="shared" si="5"/>
        <v>102.57</v>
      </c>
      <c r="R30" s="668">
        <v>0</v>
      </c>
      <c r="S30" s="668">
        <v>0</v>
      </c>
      <c r="T30" s="668">
        <v>0</v>
      </c>
      <c r="U30" s="668">
        <v>0</v>
      </c>
      <c r="V30" s="668">
        <v>0</v>
      </c>
      <c r="W30" s="671">
        <f t="shared" si="6"/>
        <v>1743.57</v>
      </c>
      <c r="X30" s="672">
        <f t="shared" si="7"/>
        <v>13729</v>
      </c>
      <c r="Y30" s="673">
        <f t="shared" si="8"/>
        <v>1777.88</v>
      </c>
      <c r="Z30" s="674"/>
      <c r="AA30" s="675" t="str">
        <f t="shared" si="11"/>
        <v>0</v>
      </c>
      <c r="AB30" s="676" t="s">
        <v>336</v>
      </c>
    </row>
    <row r="31" ht="60" customHeight="1" s="685" customFormat="1">
      <c r="A31" s="686">
        <f t="shared" si="9"/>
        <v>18</v>
      </c>
      <c r="B31" s="664" t="s">
        <v>186</v>
      </c>
      <c r="C31" s="665" t="s">
        <v>178</v>
      </c>
      <c r="D31" s="666">
        <v>526</v>
      </c>
      <c r="E31" s="667">
        <v>26</v>
      </c>
      <c r="F31" s="668">
        <v>0</v>
      </c>
      <c r="G31" s="669">
        <f t="shared" si="0"/>
        <v>13676</v>
      </c>
      <c r="H31" s="668">
        <v>0</v>
      </c>
      <c r="I31" s="668">
        <v>0</v>
      </c>
      <c r="J31" s="668">
        <v>0</v>
      </c>
      <c r="K31" s="668">
        <v>0</v>
      </c>
      <c r="L31" s="670">
        <v>0</v>
      </c>
      <c r="M31" s="670">
        <f t="shared" si="1"/>
        <v>1139.2108</v>
      </c>
      <c r="N31" s="670">
        <f t="shared" si="2"/>
        <v>657.8155999999999</v>
      </c>
      <c r="O31" s="666">
        <f t="shared" si="3"/>
        <v>15473.0264</v>
      </c>
      <c r="P31" s="666">
        <f t="shared" si="4"/>
        <v>1641</v>
      </c>
      <c r="Q31" s="666">
        <f t="shared" si="5"/>
        <v>102.57</v>
      </c>
      <c r="R31" s="668">
        <v>0</v>
      </c>
      <c r="S31" s="668">
        <v>0</v>
      </c>
      <c r="T31" s="668">
        <v>0</v>
      </c>
      <c r="U31" s="668">
        <v>0</v>
      </c>
      <c r="V31" s="668">
        <v>0</v>
      </c>
      <c r="W31" s="671">
        <f t="shared" si="6"/>
        <v>1743.57</v>
      </c>
      <c r="X31" s="672">
        <f t="shared" si="7"/>
        <v>13729</v>
      </c>
      <c r="Y31" s="673">
        <f t="shared" si="8"/>
        <v>1777.88</v>
      </c>
      <c r="Z31" s="674"/>
      <c r="AA31" s="675" t="str">
        <f t="shared" si="11"/>
        <v>0</v>
      </c>
      <c r="AB31" s="676" t="s">
        <v>336</v>
      </c>
    </row>
    <row r="32" ht="60" customHeight="1">
      <c r="A32" s="663">
        <f t="shared" si="9"/>
        <v>19</v>
      </c>
      <c r="B32" s="664" t="s">
        <v>188</v>
      </c>
      <c r="C32" s="665" t="s">
        <v>178</v>
      </c>
      <c r="D32" s="666">
        <v>526</v>
      </c>
      <c r="E32" s="667">
        <v>26</v>
      </c>
      <c r="F32" s="668">
        <v>0</v>
      </c>
      <c r="G32" s="669">
        <f t="shared" si="0"/>
        <v>13676</v>
      </c>
      <c r="H32" s="668">
        <v>0</v>
      </c>
      <c r="I32" s="668">
        <v>0</v>
      </c>
      <c r="J32" s="668">
        <v>0</v>
      </c>
      <c r="K32" s="668">
        <v>0</v>
      </c>
      <c r="L32" s="670">
        <v>0</v>
      </c>
      <c r="M32" s="670">
        <f t="shared" si="1"/>
        <v>1139.2108</v>
      </c>
      <c r="N32" s="670">
        <f t="shared" si="2"/>
        <v>657.8155999999999</v>
      </c>
      <c r="O32" s="666">
        <f t="shared" si="3"/>
        <v>15473.0264</v>
      </c>
      <c r="P32" s="666">
        <f t="shared" si="4"/>
        <v>1641</v>
      </c>
      <c r="Q32" s="666">
        <f t="shared" si="5"/>
        <v>102.57</v>
      </c>
      <c r="R32" s="668">
        <v>0</v>
      </c>
      <c r="S32" s="668">
        <v>0</v>
      </c>
      <c r="T32" s="668">
        <v>0</v>
      </c>
      <c r="U32" s="668">
        <v>0</v>
      </c>
      <c r="V32" s="668">
        <v>0</v>
      </c>
      <c r="W32" s="671">
        <f t="shared" si="6"/>
        <v>1743.57</v>
      </c>
      <c r="X32" s="672">
        <f t="shared" si="7"/>
        <v>13729</v>
      </c>
      <c r="Y32" s="673">
        <f t="shared" si="8"/>
        <v>1777.88</v>
      </c>
      <c r="Z32" s="674"/>
      <c r="AA32" s="675" t="str">
        <f t="shared" si="11"/>
        <v>0</v>
      </c>
      <c r="AB32" s="676" t="s">
        <v>336</v>
      </c>
    </row>
    <row r="33" ht="60" customHeight="1">
      <c r="A33" s="663">
        <f t="shared" si="9"/>
        <v>20</v>
      </c>
      <c r="B33" s="664" t="s">
        <v>224</v>
      </c>
      <c r="C33" s="665" t="s">
        <v>52</v>
      </c>
      <c r="D33" s="666">
        <v>655</v>
      </c>
      <c r="E33" s="667">
        <v>26</v>
      </c>
      <c r="F33" s="668">
        <v>0</v>
      </c>
      <c r="G33" s="669">
        <f t="shared" si="0"/>
        <v>17030</v>
      </c>
      <c r="H33" s="668">
        <v>0</v>
      </c>
      <c r="I33" s="668">
        <v>0</v>
      </c>
      <c r="J33" s="668">
        <v>0</v>
      </c>
      <c r="K33" s="668">
        <v>0</v>
      </c>
      <c r="L33" s="670">
        <v>0</v>
      </c>
      <c r="M33" s="670">
        <f t="shared" si="1"/>
        <v>1418.599</v>
      </c>
      <c r="N33" s="670">
        <f t="shared" si="2"/>
        <v>819.1429999999999</v>
      </c>
      <c r="O33" s="666">
        <f t="shared" si="3"/>
        <v>19267.742</v>
      </c>
      <c r="P33" s="666">
        <f t="shared" si="4"/>
        <v>1800</v>
      </c>
      <c r="Q33" s="666">
        <f t="shared" si="5"/>
        <v>127.725</v>
      </c>
      <c r="R33" s="668">
        <v>0</v>
      </c>
      <c r="S33" s="668">
        <v>0</v>
      </c>
      <c r="T33" s="668">
        <v>0</v>
      </c>
      <c r="U33" s="668">
        <v>0</v>
      </c>
      <c r="V33" s="668">
        <v>0</v>
      </c>
      <c r="W33" s="671">
        <f t="shared" si="6"/>
        <v>1927.725</v>
      </c>
      <c r="X33" s="672">
        <f t="shared" si="7"/>
        <v>17340</v>
      </c>
      <c r="Y33" s="673">
        <f t="shared" si="8"/>
        <v>1950</v>
      </c>
      <c r="Z33" s="674"/>
      <c r="AA33" s="675" t="str">
        <f t="shared" si="11"/>
        <v>0</v>
      </c>
      <c r="AB33" s="676" t="s">
        <v>336</v>
      </c>
    </row>
    <row r="34" ht="60" customHeight="1">
      <c r="A34" s="663">
        <f t="shared" si="9"/>
        <v>21</v>
      </c>
      <c r="B34" s="664" t="s">
        <v>210</v>
      </c>
      <c r="C34" s="665" t="s">
        <v>50</v>
      </c>
      <c r="D34" s="666">
        <v>526</v>
      </c>
      <c r="E34" s="667">
        <v>26</v>
      </c>
      <c r="F34" s="668">
        <v>0</v>
      </c>
      <c r="G34" s="669">
        <f t="shared" si="0"/>
        <v>13676</v>
      </c>
      <c r="H34" s="668">
        <v>0</v>
      </c>
      <c r="I34" s="668">
        <v>0</v>
      </c>
      <c r="J34" s="668">
        <v>0</v>
      </c>
      <c r="K34" s="668">
        <v>0</v>
      </c>
      <c r="L34" s="670">
        <v>0</v>
      </c>
      <c r="M34" s="670">
        <f t="shared" si="1"/>
        <v>1139.2108</v>
      </c>
      <c r="N34" s="670">
        <f t="shared" si="2"/>
        <v>657.8155999999999</v>
      </c>
      <c r="O34" s="666">
        <f t="shared" si="3"/>
        <v>15473.0264</v>
      </c>
      <c r="P34" s="666">
        <f t="shared" si="4"/>
        <v>1641</v>
      </c>
      <c r="Q34" s="666">
        <f t="shared" si="5"/>
        <v>102.57</v>
      </c>
      <c r="R34" s="668">
        <v>0</v>
      </c>
      <c r="S34" s="668">
        <v>0</v>
      </c>
      <c r="T34" s="668">
        <v>0</v>
      </c>
      <c r="U34" s="668">
        <v>0</v>
      </c>
      <c r="V34" s="668">
        <v>0</v>
      </c>
      <c r="W34" s="671">
        <f t="shared" si="6"/>
        <v>1743.57</v>
      </c>
      <c r="X34" s="672">
        <f t="shared" si="7"/>
        <v>13729</v>
      </c>
      <c r="Y34" s="673">
        <f t="shared" si="8"/>
        <v>1777.88</v>
      </c>
      <c r="Z34" s="674"/>
      <c r="AA34" s="675" t="str">
        <f t="shared" si="11"/>
        <v>0</v>
      </c>
      <c r="AB34" s="676" t="s">
        <v>336</v>
      </c>
    </row>
    <row r="35" ht="60" customHeight="1">
      <c r="A35" s="663">
        <f t="shared" si="9"/>
        <v>22</v>
      </c>
      <c r="B35" s="664" t="s">
        <v>212</v>
      </c>
      <c r="C35" s="665" t="s">
        <v>50</v>
      </c>
      <c r="D35" s="666">
        <v>526</v>
      </c>
      <c r="E35" s="667">
        <v>20</v>
      </c>
      <c r="F35" s="668">
        <v>0</v>
      </c>
      <c r="G35" s="669">
        <f t="shared" si="0"/>
        <v>10520</v>
      </c>
      <c r="H35" s="668">
        <v>0</v>
      </c>
      <c r="I35" s="668">
        <v>0</v>
      </c>
      <c r="J35" s="668">
        <v>0</v>
      </c>
      <c r="K35" s="668">
        <v>0</v>
      </c>
      <c r="L35" s="670">
        <v>0</v>
      </c>
      <c r="M35" s="670">
        <f t="shared" si="1"/>
        <v>876.316</v>
      </c>
      <c r="N35" s="670">
        <f t="shared" si="2"/>
        <v>506.01199999999994</v>
      </c>
      <c r="O35" s="666">
        <f t="shared" si="3"/>
        <v>11902.328000000001</v>
      </c>
      <c r="P35" s="666">
        <f t="shared" si="4"/>
        <v>1262</v>
      </c>
      <c r="Q35" s="666">
        <f t="shared" si="5"/>
        <v>78.89999999999999</v>
      </c>
      <c r="R35" s="668">
        <v>0</v>
      </c>
      <c r="S35" s="668">
        <v>0</v>
      </c>
      <c r="T35" s="668">
        <v>0</v>
      </c>
      <c r="U35" s="668">
        <v>0</v>
      </c>
      <c r="V35" s="668">
        <v>0</v>
      </c>
      <c r="W35" s="671">
        <f t="shared" si="6"/>
        <v>1340.9</v>
      </c>
      <c r="X35" s="672">
        <f t="shared" si="7"/>
        <v>10561</v>
      </c>
      <c r="Y35" s="673">
        <f t="shared" si="8"/>
        <v>1367.6000000000001</v>
      </c>
      <c r="Z35" s="674"/>
      <c r="AA35" s="675" t="str">
        <f t="shared" si="11"/>
        <v>0</v>
      </c>
      <c r="AB35" s="676" t="s">
        <v>481</v>
      </c>
    </row>
    <row r="36" ht="60" customHeight="1">
      <c r="A36" s="663">
        <f t="shared" si="9"/>
        <v>23</v>
      </c>
      <c r="B36" s="664" t="s">
        <v>482</v>
      </c>
      <c r="C36" s="665" t="s">
        <v>51</v>
      </c>
      <c r="D36" s="666">
        <v>526</v>
      </c>
      <c r="E36" s="667">
        <v>26</v>
      </c>
      <c r="F36" s="668">
        <v>0</v>
      </c>
      <c r="G36" s="669">
        <f t="shared" si="0"/>
        <v>13676</v>
      </c>
      <c r="H36" s="668">
        <v>0</v>
      </c>
      <c r="I36" s="668">
        <v>0</v>
      </c>
      <c r="J36" s="668">
        <v>0</v>
      </c>
      <c r="K36" s="668">
        <v>0</v>
      </c>
      <c r="L36" s="670">
        <v>0</v>
      </c>
      <c r="M36" s="670">
        <f t="shared" si="1"/>
        <v>1139.2108</v>
      </c>
      <c r="N36" s="670">
        <f t="shared" si="2"/>
        <v>657.8155999999999</v>
      </c>
      <c r="O36" s="666">
        <f t="shared" si="3"/>
        <v>15473.0264</v>
      </c>
      <c r="P36" s="666">
        <f t="shared" si="4"/>
        <v>1641</v>
      </c>
      <c r="Q36" s="666">
        <f t="shared" si="5"/>
        <v>102.57</v>
      </c>
      <c r="R36" s="668">
        <v>0</v>
      </c>
      <c r="S36" s="668">
        <v>0</v>
      </c>
      <c r="T36" s="668">
        <v>0</v>
      </c>
      <c r="U36" s="668">
        <v>0</v>
      </c>
      <c r="V36" s="668">
        <v>0</v>
      </c>
      <c r="W36" s="671">
        <f t="shared" si="6"/>
        <v>1743.57</v>
      </c>
      <c r="X36" s="672">
        <f t="shared" si="7"/>
        <v>13729</v>
      </c>
      <c r="Y36" s="673">
        <f t="shared" si="8"/>
        <v>1777.88</v>
      </c>
      <c r="Z36" s="674"/>
      <c r="AA36" s="675" t="str">
        <f>AA34</f>
        <v>0</v>
      </c>
      <c r="AB36" s="676" t="s">
        <v>336</v>
      </c>
    </row>
    <row r="37" ht="60" customHeight="1">
      <c r="A37" s="663">
        <f t="shared" si="9"/>
        <v>24</v>
      </c>
      <c r="B37" s="664" t="s">
        <v>220</v>
      </c>
      <c r="C37" s="665" t="s">
        <v>51</v>
      </c>
      <c r="D37" s="666">
        <v>526</v>
      </c>
      <c r="E37" s="667">
        <v>26</v>
      </c>
      <c r="F37" s="668">
        <v>0</v>
      </c>
      <c r="G37" s="669">
        <f t="shared" si="0"/>
        <v>13676</v>
      </c>
      <c r="H37" s="668">
        <v>0</v>
      </c>
      <c r="I37" s="668">
        <v>0</v>
      </c>
      <c r="J37" s="668">
        <v>0</v>
      </c>
      <c r="K37" s="668">
        <v>0</v>
      </c>
      <c r="L37" s="670">
        <v>0</v>
      </c>
      <c r="M37" s="670">
        <f t="shared" si="1"/>
        <v>1139.2108</v>
      </c>
      <c r="N37" s="670">
        <f t="shared" si="2"/>
        <v>657.8155999999999</v>
      </c>
      <c r="O37" s="666">
        <f t="shared" si="3"/>
        <v>15473.0264</v>
      </c>
      <c r="P37" s="666">
        <f t="shared" si="4"/>
        <v>1641</v>
      </c>
      <c r="Q37" s="666">
        <f t="shared" si="5"/>
        <v>102.57</v>
      </c>
      <c r="R37" s="668">
        <v>0</v>
      </c>
      <c r="S37" s="668">
        <v>0</v>
      </c>
      <c r="T37" s="668">
        <v>0</v>
      </c>
      <c r="U37" s="668">
        <v>0</v>
      </c>
      <c r="V37" s="668">
        <v>0</v>
      </c>
      <c r="W37" s="671">
        <f t="shared" si="6"/>
        <v>1743.57</v>
      </c>
      <c r="X37" s="672">
        <f t="shared" si="7"/>
        <v>13729</v>
      </c>
      <c r="Y37" s="673">
        <f t="shared" si="8"/>
        <v>1777.88</v>
      </c>
      <c r="Z37" s="674"/>
      <c r="AA37" s="675" t="str">
        <f>AA36</f>
        <v>0</v>
      </c>
      <c r="AB37" s="676" t="s">
        <v>336</v>
      </c>
    </row>
    <row r="38" ht="60" customHeight="1">
      <c r="A38" s="663">
        <f t="shared" si="9"/>
        <v>25</v>
      </c>
      <c r="B38" s="664" t="s">
        <v>190</v>
      </c>
      <c r="C38" s="665" t="s">
        <v>178</v>
      </c>
      <c r="D38" s="666">
        <v>526</v>
      </c>
      <c r="E38" s="667">
        <v>26</v>
      </c>
      <c r="F38" s="668">
        <v>0</v>
      </c>
      <c r="G38" s="669">
        <f t="shared" si="0"/>
        <v>13676</v>
      </c>
      <c r="H38" s="668">
        <v>0</v>
      </c>
      <c r="I38" s="668">
        <v>0</v>
      </c>
      <c r="J38" s="668">
        <v>0</v>
      </c>
      <c r="K38" s="668">
        <v>0</v>
      </c>
      <c r="L38" s="670">
        <v>0</v>
      </c>
      <c r="M38" s="670">
        <f t="shared" si="1"/>
        <v>1139.2108</v>
      </c>
      <c r="N38" s="670">
        <f t="shared" si="2"/>
        <v>657.8155999999999</v>
      </c>
      <c r="O38" s="666">
        <f t="shared" si="3"/>
        <v>15473.0264</v>
      </c>
      <c r="P38" s="666">
        <f t="shared" si="4"/>
        <v>1641</v>
      </c>
      <c r="Q38" s="666">
        <f t="shared" si="5"/>
        <v>102.57</v>
      </c>
      <c r="R38" s="668">
        <v>0</v>
      </c>
      <c r="S38" s="668">
        <v>0</v>
      </c>
      <c r="T38" s="668">
        <v>0</v>
      </c>
      <c r="U38" s="668">
        <v>0</v>
      </c>
      <c r="V38" s="668">
        <v>0</v>
      </c>
      <c r="W38" s="671">
        <f t="shared" si="6"/>
        <v>1743.57</v>
      </c>
      <c r="X38" s="672">
        <f t="shared" si="7"/>
        <v>13729</v>
      </c>
      <c r="Y38" s="673">
        <f t="shared" si="8"/>
        <v>1777.88</v>
      </c>
      <c r="Z38" s="674"/>
      <c r="AA38" s="675" t="str">
        <f>AA37</f>
        <v>0</v>
      </c>
      <c r="AB38" s="676" t="s">
        <v>336</v>
      </c>
      <c r="AD38" s="687"/>
    </row>
    <row r="39" ht="60" customHeight="1">
      <c r="A39" s="663">
        <f t="shared" si="9"/>
        <v>26</v>
      </c>
      <c r="B39" s="664" t="s">
        <v>214</v>
      </c>
      <c r="C39" s="665" t="s">
        <v>50</v>
      </c>
      <c r="D39" s="666">
        <v>526</v>
      </c>
      <c r="E39" s="667">
        <v>26</v>
      </c>
      <c r="F39" s="668">
        <v>0</v>
      </c>
      <c r="G39" s="669">
        <f t="shared" si="0"/>
        <v>13676</v>
      </c>
      <c r="H39" s="668">
        <v>0</v>
      </c>
      <c r="I39" s="668">
        <v>0</v>
      </c>
      <c r="J39" s="668">
        <v>0</v>
      </c>
      <c r="K39" s="668">
        <v>0</v>
      </c>
      <c r="L39" s="670">
        <v>0</v>
      </c>
      <c r="M39" s="670">
        <f t="shared" si="1"/>
        <v>1139.2108</v>
      </c>
      <c r="N39" s="670">
        <f t="shared" si="2"/>
        <v>657.8155999999999</v>
      </c>
      <c r="O39" s="666">
        <f t="shared" si="3"/>
        <v>15473.0264</v>
      </c>
      <c r="P39" s="666">
        <f t="shared" si="4"/>
        <v>1641</v>
      </c>
      <c r="Q39" s="666">
        <f t="shared" si="5"/>
        <v>102.57</v>
      </c>
      <c r="R39" s="668">
        <v>0</v>
      </c>
      <c r="S39" s="668">
        <v>0</v>
      </c>
      <c r="T39" s="668">
        <v>0</v>
      </c>
      <c r="U39" s="668">
        <v>0</v>
      </c>
      <c r="V39" s="668">
        <v>0</v>
      </c>
      <c r="W39" s="671">
        <f t="shared" si="6"/>
        <v>1743.57</v>
      </c>
      <c r="X39" s="672">
        <f t="shared" si="7"/>
        <v>13729</v>
      </c>
      <c r="Y39" s="673">
        <f t="shared" si="8"/>
        <v>1777.88</v>
      </c>
      <c r="Z39" s="674"/>
      <c r="AA39" s="675" t="str">
        <f>AA38</f>
        <v>0</v>
      </c>
      <c r="AB39" s="676" t="s">
        <v>336</v>
      </c>
      <c r="AD39" s="687"/>
    </row>
    <row r="40" ht="60" customHeight="1">
      <c r="A40" s="663">
        <f t="shared" si="9"/>
        <v>27</v>
      </c>
      <c r="B40" s="664" t="s">
        <v>222</v>
      </c>
      <c r="C40" s="665" t="s">
        <v>51</v>
      </c>
      <c r="D40" s="666">
        <v>526</v>
      </c>
      <c r="E40" s="667">
        <v>26</v>
      </c>
      <c r="F40" s="668">
        <v>0</v>
      </c>
      <c r="G40" s="669">
        <f t="shared" si="0"/>
        <v>13676</v>
      </c>
      <c r="H40" s="668">
        <v>0</v>
      </c>
      <c r="I40" s="668">
        <v>0</v>
      </c>
      <c r="J40" s="668">
        <v>0</v>
      </c>
      <c r="K40" s="668">
        <v>0</v>
      </c>
      <c r="L40" s="670">
        <v>0</v>
      </c>
      <c r="M40" s="670">
        <f t="shared" si="1"/>
        <v>1139.2108</v>
      </c>
      <c r="N40" s="670">
        <f t="shared" si="2"/>
        <v>657.8155999999999</v>
      </c>
      <c r="O40" s="666">
        <f t="shared" si="3"/>
        <v>15473.0264</v>
      </c>
      <c r="P40" s="666">
        <f t="shared" si="4"/>
        <v>1641</v>
      </c>
      <c r="Q40" s="666">
        <f t="shared" si="5"/>
        <v>102.57</v>
      </c>
      <c r="R40" s="668">
        <v>0</v>
      </c>
      <c r="S40" s="668">
        <v>0</v>
      </c>
      <c r="T40" s="668">
        <v>0</v>
      </c>
      <c r="U40" s="668">
        <v>0</v>
      </c>
      <c r="V40" s="668">
        <v>0</v>
      </c>
      <c r="W40" s="671">
        <f t="shared" si="6"/>
        <v>1743.57</v>
      </c>
      <c r="X40" s="672">
        <f t="shared" si="7"/>
        <v>13729</v>
      </c>
      <c r="Y40" s="673">
        <f t="shared" si="8"/>
        <v>1777.88</v>
      </c>
      <c r="Z40" s="674"/>
      <c r="AA40" s="675" t="str">
        <f>AA38</f>
        <v>0</v>
      </c>
      <c r="AB40" s="676" t="s">
        <v>336</v>
      </c>
    </row>
    <row r="41" ht="60" customHeight="1">
      <c r="A41" s="663">
        <f t="shared" si="9"/>
        <v>28</v>
      </c>
      <c r="B41" s="664" t="s">
        <v>232</v>
      </c>
      <c r="C41" s="665" t="s">
        <v>230</v>
      </c>
      <c r="D41" s="666">
        <v>739</v>
      </c>
      <c r="E41" s="667">
        <v>26</v>
      </c>
      <c r="F41" s="668">
        <v>0</v>
      </c>
      <c r="G41" s="669">
        <f t="shared" si="0"/>
        <v>19214</v>
      </c>
      <c r="H41" s="668">
        <v>0</v>
      </c>
      <c r="I41" s="668">
        <v>0</v>
      </c>
      <c r="J41" s="668">
        <v>0</v>
      </c>
      <c r="K41" s="668">
        <v>0</v>
      </c>
      <c r="L41" s="670">
        <v>0</v>
      </c>
      <c r="M41" s="670">
        <f t="shared" si="1"/>
        <v>1600.5262</v>
      </c>
      <c r="N41" s="670">
        <f t="shared" si="2"/>
        <v>924.1934</v>
      </c>
      <c r="O41" s="666">
        <f t="shared" si="3"/>
        <v>21738.7196</v>
      </c>
      <c r="P41" s="666">
        <f t="shared" si="4"/>
        <v>1800</v>
      </c>
      <c r="Q41" s="666">
        <f t="shared" si="5"/>
        <v>144.105</v>
      </c>
      <c r="R41" s="668">
        <v>0</v>
      </c>
      <c r="S41" s="668">
        <v>0</v>
      </c>
      <c r="T41" s="668">
        <v>0</v>
      </c>
      <c r="U41" s="668">
        <v>0</v>
      </c>
      <c r="V41" s="668">
        <v>0</v>
      </c>
      <c r="W41" s="671">
        <f t="shared" si="6"/>
        <v>1944.105</v>
      </c>
      <c r="X41" s="672">
        <f t="shared" si="7"/>
        <v>19795</v>
      </c>
      <c r="Y41" s="673">
        <f t="shared" si="8"/>
        <v>1950</v>
      </c>
      <c r="Z41" s="674"/>
      <c r="AA41" s="675" t="str">
        <f>AA40</f>
        <v>0</v>
      </c>
      <c r="AB41" s="676" t="s">
        <v>336</v>
      </c>
    </row>
    <row r="42" ht="60" customHeight="1">
      <c r="A42" s="688"/>
      <c r="B42" s="689" t="s">
        <v>236</v>
      </c>
      <c r="C42" s="689"/>
      <c r="D42" s="690"/>
      <c r="E42" s="690">
        <f>SUM(E14:E41)</f>
        <v>718</v>
      </c>
      <c r="F42" s="690"/>
      <c r="G42" s="690">
        <f>SUM(G14:G41)</f>
        <v>395452</v>
      </c>
      <c r="H42" s="690"/>
      <c r="I42" s="690"/>
      <c r="J42" s="690"/>
      <c r="K42" s="690"/>
      <c r="L42" s="690"/>
      <c r="M42" s="690">
        <f>SUM(M14:M41)</f>
        <v>32941.151600000005</v>
      </c>
      <c r="N42" s="690">
        <f>SUM(N14:N41)</f>
        <v>19021.2412</v>
      </c>
      <c r="O42" s="690">
        <f>SUM(O14:O41)</f>
        <v>447414.39279999974</v>
      </c>
      <c r="P42" s="690">
        <f>SUM(P14:P41)</f>
        <v>45953</v>
      </c>
      <c r="Q42" s="690">
        <f>SUM(Q14:Q41)</f>
        <v>2965.8900000000003</v>
      </c>
      <c r="R42" s="690"/>
      <c r="S42" s="690"/>
      <c r="T42" s="690"/>
      <c r="U42" s="690"/>
      <c r="V42" s="690"/>
      <c r="W42" s="691">
        <f>SUM(W14:W41)</f>
        <v>48918.89</v>
      </c>
      <c r="X42" s="691">
        <f>SUM(X14:X41)</f>
        <v>398486</v>
      </c>
      <c r="Y42" s="691">
        <f>SUM(Y14:Y41)</f>
        <v>49785.31999999999</v>
      </c>
      <c r="Z42" s="692"/>
      <c r="AA42" s="692"/>
      <c r="AB42" s="693"/>
    </row>
    <row r="43" ht="27">
      <c r="D43" s="666"/>
      <c r="X43" s="694">
        <f>X42-X44</f>
        <v>10561</v>
      </c>
    </row>
    <row r="44" ht="12.75">
      <c r="X44" s="0">
        <v>387925</v>
      </c>
    </row>
    <row r="45" ht="12.75">
      <c r="X45" s="0">
        <v>13726</v>
      </c>
    </row>
  </sheetData>
  <sheetProtection/>
  <mergeCells>
    <mergeCell ref="X7:AB7"/>
    <mergeCell ref="A1:AB1"/>
    <mergeCell ref="A2:AB2"/>
    <mergeCell ref="A3:AB3"/>
    <mergeCell ref="A4:AB4"/>
    <mergeCell ref="A5:E5"/>
    <mergeCell ref="X8:AB8"/>
    <mergeCell ref="F5:J5"/>
    <mergeCell ref="K5:P5"/>
    <mergeCell ref="Q5:W5"/>
    <mergeCell ref="X5:AB5"/>
    <mergeCell ref="A6:E6"/>
    <mergeCell ref="F6:J6"/>
    <mergeCell ref="K6:P6"/>
    <mergeCell ref="Q6:W6"/>
    <mergeCell ref="X6:AB6"/>
    <mergeCell ref="G11:G12"/>
    <mergeCell ref="A7:E7"/>
    <mergeCell ref="F7:J7"/>
    <mergeCell ref="K7:P7"/>
    <mergeCell ref="Q7:W7"/>
    <mergeCell ref="L13:N13"/>
    <mergeCell ref="J11:J12"/>
    <mergeCell ref="K11:K12"/>
    <mergeCell ref="L11:N11"/>
    <mergeCell ref="O11:O12"/>
    <mergeCell ref="A9:AB9"/>
    <mergeCell ref="X11:X12"/>
    <mergeCell ref="A10:AB10"/>
    <mergeCell ref="A11:A12"/>
    <mergeCell ref="H11:H12"/>
    <mergeCell ref="I11:I12"/>
    <mergeCell ref="AA11:AA12"/>
    <mergeCell ref="AB11:AB12"/>
    <mergeCell ref="F11:F12"/>
    <mergeCell ref="P11:W11"/>
    <mergeCell ref="A8:E8"/>
    <mergeCell ref="F8:J8"/>
    <mergeCell ref="K8:P8"/>
    <mergeCell ref="Q8:W8"/>
    <mergeCell ref="Y11:Y12"/>
    <mergeCell ref="Z11:Z12"/>
    <mergeCell ref="B11:B12"/>
    <mergeCell ref="C11:C12"/>
    <mergeCell ref="D11:D12"/>
    <mergeCell ref="E11:E12"/>
  </mergeCells>
  <conditionalFormatting sqref="B15">
    <cfRule type="duplicateValues" dxfId="0" priority="3" stopIfTrue="1"/>
  </conditionalFormatting>
  <conditionalFormatting sqref="B21">
    <cfRule type="duplicateValues" dxfId="0" priority="1" stopIfTrue="1"/>
  </conditionalFormatting>
  <conditionalFormatting sqref="B38">
    <cfRule type="duplicateValues" dxfId="0" priority="2" stopIfTrue="1"/>
  </conditionalFormatting>
  <conditionalFormatting sqref="C13 B14:B20 B23:B37 B39:B41 B42:C42">
    <cfRule type="expression" dxfId="1" priority="7" stopIfTrue="1">
      <formula>AND(COUNTIF($B$42:$C$42,B13)+COUNTIF($C$13:$C$13,B13)+COUNTIF($B$14:$B$20,B13)+COUNTIF($B$23:$B$37,B13)+COUNTIF($B$39:$B$41,B13)&gt;1,NOT(ISBLANK(B13)))</formula>
    </cfRule>
  </conditionalFormatting>
  <pageMargins left="0.7" right="0.7" top="0.75" bottom="0.75" header="0.3" footer="0.3"/>
  <pageSetup horizontalDpi="300" verticalDpi="300" orientation="portrait" paperSize="1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B149F91E-01AA-47ED-B29B-B52C93D3037B}">
  <dimension ref="A1:J26"/>
  <sheetViews>
    <sheetView workbookViewId="0" topLeftCell="A1">
      <selection pane="topLeft" activeCell="E8" sqref="E8"/>
    </sheetView>
  </sheetViews>
  <sheetFormatPr defaultRowHeight="12.75"/>
  <cols>
    <col min="2" max="2" width="15" customWidth="1"/>
    <col min="3" max="3" width="17.4285714285714" customWidth="1"/>
    <col min="4" max="4" width="12.8571428571429" customWidth="1"/>
    <col min="5" max="5" width="15.1428571428571" customWidth="1"/>
    <col min="6" max="6" width="17.8571428571429" customWidth="1"/>
    <col min="7" max="7" width="31.8571428571429" customWidth="1"/>
    <col min="8" max="10" bestFit="1" width="13.1428571428571" customWidth="1"/>
  </cols>
  <sheetData>
    <row r="1" ht="15">
      <c r="A1" s="695" t="s">
        <v>483</v>
      </c>
      <c r="B1" s="695"/>
      <c r="C1" s="696" t="s">
        <v>484</v>
      </c>
      <c r="D1" s="697"/>
      <c r="E1" s="697"/>
      <c r="G1" s="698"/>
    </row>
    <row r="2" ht="15">
      <c r="A2" s="695" t="s">
        <v>485</v>
      </c>
      <c r="B2" s="695"/>
      <c r="C2" s="699" t="s">
        <v>486</v>
      </c>
      <c r="D2" s="697"/>
      <c r="E2" s="697"/>
      <c r="G2" s="698"/>
    </row>
    <row r="3" ht="15">
      <c r="A3" s="695" t="s">
        <v>487</v>
      </c>
      <c r="B3" s="695"/>
      <c r="C3" s="700"/>
      <c r="D3" s="701"/>
      <c r="G3" s="698"/>
    </row>
    <row r="4" ht="15">
      <c r="A4" s="701"/>
      <c r="D4" s="697"/>
      <c r="E4" s="697"/>
      <c r="G4" s="698"/>
    </row>
    <row r="5" ht="15.75">
      <c r="A5" s="702" t="s">
        <v>488</v>
      </c>
      <c r="B5" s="702"/>
      <c r="C5" s="702"/>
      <c r="D5" s="702"/>
      <c r="E5" s="702"/>
      <c r="F5" s="702"/>
      <c r="G5" s="702"/>
    </row>
    <row r="6" ht="12.75">
      <c r="A6" s="703" t="s">
        <v>489</v>
      </c>
      <c r="B6" s="703" t="s">
        <v>490</v>
      </c>
      <c r="C6" s="703" t="s">
        <v>491</v>
      </c>
      <c r="D6" s="704" t="s">
        <v>492</v>
      </c>
      <c r="E6" s="704"/>
      <c r="F6" s="703" t="s">
        <v>493</v>
      </c>
      <c r="G6" s="703" t="s">
        <v>469</v>
      </c>
    </row>
    <row r="7" ht="12.75">
      <c r="A7" s="705"/>
      <c r="B7" s="705"/>
      <c r="C7" s="705"/>
      <c r="D7" s="706" t="s">
        <v>110</v>
      </c>
      <c r="E7" s="706" t="s">
        <v>494</v>
      </c>
      <c r="F7" s="705"/>
      <c r="G7" s="705"/>
    </row>
    <row r="8" ht="12.75">
      <c r="A8" s="707">
        <v>1</v>
      </c>
      <c r="B8" s="708" t="s">
        <v>495</v>
      </c>
      <c r="C8" s="709">
        <v>3278428</v>
      </c>
      <c r="D8" s="710"/>
      <c r="E8" s="711"/>
      <c r="F8" s="712"/>
      <c r="G8" s="713"/>
      <c r="I8" s="714"/>
    </row>
    <row r="9" ht="12.75">
      <c r="A9" s="707">
        <v>2</v>
      </c>
      <c r="B9" s="708"/>
      <c r="C9" s="715"/>
      <c r="D9" s="710"/>
      <c r="E9" s="711"/>
      <c r="F9" s="712"/>
      <c r="G9" s="713"/>
    </row>
    <row r="10" ht="12.75">
      <c r="A10" s="707">
        <v>3</v>
      </c>
      <c r="B10" s="708"/>
      <c r="C10" s="715"/>
      <c r="D10" s="710"/>
      <c r="E10" s="711"/>
      <c r="F10" s="712"/>
      <c r="G10" s="713"/>
    </row>
    <row r="11" ht="12.75">
      <c r="A11" s="707">
        <v>4</v>
      </c>
      <c r="B11" s="708"/>
      <c r="C11" s="715"/>
      <c r="D11" s="710"/>
      <c r="E11" s="711"/>
      <c r="F11" s="712"/>
      <c r="G11" s="713"/>
      <c r="H11" s="714"/>
      <c r="I11" s="714"/>
    </row>
    <row r="12" ht="12.75">
      <c r="A12" s="707">
        <v>5</v>
      </c>
      <c r="B12" s="708"/>
      <c r="C12" s="715"/>
      <c r="D12" s="710"/>
      <c r="E12" s="711"/>
      <c r="F12" s="712"/>
      <c r="G12" s="713"/>
    </row>
    <row r="13" ht="12.75">
      <c r="A13" s="707">
        <v>6</v>
      </c>
      <c r="B13" s="708"/>
      <c r="C13" s="715"/>
      <c r="D13" s="710"/>
      <c r="E13" s="711"/>
      <c r="F13" s="712"/>
      <c r="G13" s="713"/>
    </row>
    <row r="14" ht="12.75">
      <c r="A14" s="707">
        <v>7</v>
      </c>
      <c r="B14" s="708"/>
      <c r="C14" s="715"/>
      <c r="D14" s="710"/>
      <c r="E14" s="711"/>
      <c r="F14" s="712"/>
      <c r="G14" s="713"/>
    </row>
    <row r="15" ht="12.75">
      <c r="A15" s="707">
        <v>8</v>
      </c>
      <c r="B15" s="708"/>
      <c r="C15" s="715"/>
      <c r="D15" s="710"/>
      <c r="E15" s="711"/>
      <c r="F15" s="712"/>
      <c r="G15" s="713"/>
    </row>
    <row r="16" ht="12.75">
      <c r="A16" s="707">
        <v>9</v>
      </c>
      <c r="B16" s="708"/>
      <c r="C16" s="715"/>
      <c r="D16" s="710"/>
      <c r="E16" s="711"/>
      <c r="F16" s="712"/>
      <c r="G16" s="713"/>
    </row>
    <row r="17" ht="12.75">
      <c r="A17" s="707">
        <v>10</v>
      </c>
      <c r="B17" s="708"/>
      <c r="C17" s="715"/>
      <c r="D17" s="710"/>
      <c r="E17" s="711"/>
      <c r="F17" s="712">
        <f>C17-E17</f>
        <v>0</v>
      </c>
      <c r="G17" s="716"/>
    </row>
    <row r="18" ht="12.75">
      <c r="A18" s="707">
        <v>11</v>
      </c>
      <c r="B18" s="708"/>
      <c r="C18" s="715"/>
      <c r="D18" s="710"/>
      <c r="E18" s="711"/>
      <c r="F18" s="712">
        <f>C18-E18</f>
        <v>0</v>
      </c>
      <c r="G18" s="716"/>
    </row>
    <row r="19" ht="12.75">
      <c r="A19" s="707">
        <v>12</v>
      </c>
      <c r="B19" s="708"/>
      <c r="C19" s="715"/>
      <c r="D19" s="710"/>
      <c r="E19" s="711"/>
      <c r="F19" s="712">
        <f>C19-E19</f>
        <v>0</v>
      </c>
      <c r="G19" s="716"/>
      <c r="J19" s="714"/>
    </row>
    <row r="20" ht="12.75">
      <c r="A20" s="574"/>
      <c r="B20" s="717"/>
      <c r="C20" s="718"/>
      <c r="D20" s="719"/>
      <c r="E20" s="720"/>
      <c r="F20" s="721"/>
      <c r="G20" s="722"/>
    </row>
    <row r="21" ht="12.75">
      <c r="A21" s="0" t="s">
        <v>496</v>
      </c>
    </row>
    <row r="22" ht="15">
      <c r="A22" s="612" t="s">
        <v>484</v>
      </c>
    </row>
    <row r="26" ht="12.75">
      <c r="A26" s="5" t="s">
        <v>497</v>
      </c>
    </row>
  </sheetData>
  <sheetProtection/>
  <mergeCells>
    <mergeCell ref="A1:B1"/>
    <mergeCell ref="A2:B2"/>
    <mergeCell ref="A3:B3"/>
    <mergeCell ref="A5:G5"/>
    <mergeCell ref="D6:E6"/>
  </mergeCells>
  <pageMargins left="0.7" right="0.7" top="0.75" bottom="0.75" header="0.3" footer="0.3"/>
  <headerFooter/>
</worksheet>
</file>

<file path=EPPlusLicense.txt>This workbook was created with the EPPlus library, licensed to ExcelToPdf Converter under the Polyform Noncommercial license, see https://polyformproject.org/licenses/noncommercial/1.0.0
For more information about EPPlus, see https://epplussoftware.com/

</file>

<file path=docProps/app.xml><?xml version="1.0" encoding="utf-8"?>
<Properties xmlns:vt="http://schemas.openxmlformats.org/officeDocument/2006/docPropsVTypes" xmlns="http://schemas.openxmlformats.org/officeDocument/2006/extended-properties">
  <Application>EPPlus</Application>
  <AppVersion>8.2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keywords>EPPlus noncommercial use</cp:keywords>
  <dc:description>This workbook has been created with EPPlus licensed to ExcelToPdf Converter under The Polyform Noncommercial License: See https://polyformproject.org/licenses/noncommercial/1.0.0</dc:description>
  <dc:creator>ExcelToPdf Converter</dc:creator>
</cp:coreProperties>
</file>

<file path=docProps/custom.xml><?xml version="1.0" encoding="utf-8"?>
<Properties xmlns:vt="http://schemas.openxmlformats.org/officeDocument/2006/docPropsVTypes" xmlns="http://schemas.openxmlformats.org/officeDocument/2006/custom-properties"/>
</file>