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jpeg" ContentType="image/jpeg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trProps/ctrProp1.xml" ContentType="application/vnd.ms-excel.controlproperties+xml"/>
  <Override PartName="/xl/ctrProps/ctrProp2.xml" ContentType="application/vnd.ms-excel.controlproperties+xml"/>
  <Override PartName="/xl/drawings/drawing3.xml" ContentType="application/vnd.openxmlformats-officedocument.drawing+xml"/>
  <Default Extension="vml" ContentType="application/vnd.openxmlformats-officedocument.vmlDrawing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32760" yWindow="32760" windowWidth="19200" windowHeight="6765" tabRatio="756" activeTab="2"/>
  </bookViews>
  <sheets>
    <sheet name="Tax Invoice (BBSR)" sheetId="24" r:id="rId4"/>
    <sheet name="MOP (BBSR)" sheetId="14" r:id="rId5"/>
    <sheet name="AOC (BBSR)" sheetId="17" r:id="rId6"/>
    <sheet name="Sheet1" sheetId="7" state="hidden" r:id="rId7"/>
    <sheet name="MB (BBSR)" sheetId="21" r:id="rId8"/>
    <sheet name="DIFF-II (BBSR)" sheetId="20" r:id="rId9"/>
    <sheet name="FORM B" sheetId="25" r:id="rId10"/>
    <sheet name="Working Sheet" sheetId="26" r:id="rId11"/>
    <sheet name="PERFORMA PFD" sheetId="27" r:id="rId12"/>
    <sheet name="Tax Invoice (CTCK)" sheetId="32" r:id="rId13"/>
    <sheet name="MOP (CTCK)" sheetId="31" r:id="rId14"/>
    <sheet name="AOC (CTCK)" sheetId="30" r:id="rId15"/>
    <sheet name="MB (CTCK)" sheetId="29" r:id="rId16"/>
    <sheet name="DIFF-II (CTCK)" sheetId="28" r:id="rId17"/>
    <sheet name="Sheet2" sheetId="33" r:id="rId18"/>
    <sheet name="Sheet3" sheetId="34" r:id="rId19"/>
    <sheet name="BREAKUP" sheetId="23" state="hidden" r:id="rId20"/>
  </sheets>
  <externalReferences>
    <externalReference r:id="rId22"/>
  </externalReferences>
  <definedNames>
    <definedName name="_xlnm._FilterDatabase" localSheetId="6" hidden="1">'FORM B'!$A$22:$AI$65</definedName>
    <definedName name="_xleta.AND" hidden="1">#NAME?</definedName>
    <definedName name="_xleta.DAYS" hidden="1">#NAME?</definedName>
    <definedName name="_xlfn._FV" hidden="1">#NAME?</definedName>
    <definedName name="_xlfn.SUMIFS" hidden="1">#NAME?</definedName>
    <definedName name="_xlnm.Print_Area" localSheetId="2">'AOC (BBSR)'!$A$1:$M$34</definedName>
    <definedName name="_xlnm.Print_Area" localSheetId="11">'AOC (CTCK)'!$A$1:$M$33</definedName>
    <definedName name="_xlnm.Print_Area" localSheetId="5">'DIFF-II (BBSR)'!$A$1:$N$18</definedName>
    <definedName name="_xlnm.Print_Area" localSheetId="13">'DIFF-II (CTCK)'!$A$1:$N$29</definedName>
    <definedName name="_xlnm.Print_Area" localSheetId="6">'FORM B'!$A$1:$AE$65</definedName>
    <definedName name="_xlnm.Print_Area" localSheetId="1">'MOP (BBSR)'!$A$1:$K$37</definedName>
    <definedName name="_xlnm.Print_Area" localSheetId="10">'MOP (CTCK)'!$A$1:$K$37</definedName>
    <definedName name="_xlnm.Print_Area" localSheetId="8">'PERFORMA PFD'!$A$1:$K$150</definedName>
    <definedName name="_xlnm.Print_Area" localSheetId="0">'Tax Invoice (BBSR)'!$A$1:$L$57</definedName>
    <definedName name="_xlnm.Print_Area" localSheetId="9">'Tax Invoice (CTCK)'!$A$1:$L$56</definedName>
  </definedNames>
  <calcPr fullCalcOnLoad="1"/>
</workbook>
</file>

<file path=xl/calcChain.xml><?xml version="1.0" encoding="utf-8"?>
<calcChain xmlns="http://schemas.openxmlformats.org/spreadsheetml/2006/main">
  <c r="A2" i="20" l="1"/>
</calcChain>
</file>

<file path=xl/sharedStrings.xml><?xml version="1.0" encoding="utf-8"?>
<sst xmlns="http://schemas.openxmlformats.org/spreadsheetml/2006/main" count="1022" uniqueCount="502">
  <si>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</si>
  <si>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</si>
  <si>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</si>
  <si>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</si>
  <si>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</si>
  <si>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</si>
  <si>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</si>
  <si>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</si>
  <si>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</si>
  <si>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</si>
  <si>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</si>
  <si>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</si>
  <si>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</si>
  <si>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</si>
  <si>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</si>
  <si>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</si>
  <si>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</si>
  <si>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</si>
  <si>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</si>
  <si>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</si>
  <si>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</si>
  <si>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</si>
  <si>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</si>
  <si>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</si>
  <si>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</si>
  <si>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</si>
  <si>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</si>
  <si>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</si>
  <si>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</si>
  <si>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</si>
  <si>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</si>
  <si>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</si>
  <si>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</si>
  <si>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</si>
  <si>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</si>
  <si>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</si>
  <si>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</si>
  <si>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</si>
  <si>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</si>
  <si>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</si>
  <si>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</si>
  <si>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</si>
  <si>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</si>
  <si>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</si>
  <si>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</si>
  <si>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</si>
  <si>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</si>
  <si>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</si>
  <si>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</si>
  <si>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</si>
  <si>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</si>
  <si>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</si>
  <si>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</si>
  <si>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</si>
  <si>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</si>
  <si>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</si>
  <si>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</si>
  <si>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</si>
  <si>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</si>
  <si>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</si>
  <si>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Total Amount Before Tax</t>
  </si>
  <si>
    <t>Authorised Signatory</t>
  </si>
  <si>
    <t>09</t>
  </si>
  <si>
    <t>MON</t>
  </si>
  <si>
    <t>Sri. B.K Singh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</si>
  <si>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</si>
  <si>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</si>
  <si>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</si>
  <si>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</si>
  <si>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</si>
  <si>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</si>
  <si>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</si>
  <si>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</si>
  <si>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</si>
  <si>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</si>
  <si>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</si>
  <si>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</si>
  <si>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</si>
  <si>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</si>
  <si>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</si>
  <si>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</si>
  <si>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</si>
  <si>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</si>
  <si>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</si>
  <si>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</si>
  <si>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</si>
  <si>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</si>
  <si>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Sign of Contractor/Authoriesd Signatory</t>
  </si>
  <si>
    <t>Sign of GAIL Representative /EIC</t>
  </si>
  <si>
    <t>Item No.</t>
  </si>
  <si>
    <t>Sr. No.</t>
  </si>
  <si>
    <t>Current Month RA Bill</t>
  </si>
  <si>
    <t>Total Qty. Consumed Till Closure of Current Month RA Bill</t>
  </si>
  <si>
    <t>Qty.</t>
  </si>
  <si>
    <t>TOTAL (INR)</t>
  </si>
  <si>
    <t>-</t>
  </si>
  <si>
    <t>I-GST @ 18%</t>
  </si>
  <si>
    <t>GRAND TOTAL (INR)</t>
  </si>
  <si>
    <t>Total gross work done value
(Amount including GST)</t>
  </si>
  <si>
    <t>Net Value of work done</t>
  </si>
  <si>
    <t>Total Amount 
(For 2 Years)</t>
  </si>
  <si>
    <t>ADD:- CGST @ 18%</t>
  </si>
  <si>
    <t>Add: IGST@18%</t>
  </si>
  <si>
    <t>Add: Others@00%</t>
  </si>
  <si>
    <t>ABSTRACT OF COST</t>
  </si>
  <si>
    <t xml:space="preserve">Deduction - TDS Against IGST@ 2% </t>
  </si>
  <si>
    <t>0101065975</t>
  </si>
  <si>
    <t>GAIL/23-24/054/5300040841/-</t>
  </si>
  <si>
    <t>23.03.2024</t>
  </si>
  <si>
    <t>From 01-04-2024 To 01-04-2027</t>
  </si>
  <si>
    <t xml:space="preserve">NAME OF WORK: HIRING OF ARC SERVICES FOR FIRE AND SAFETY ALONG WITH ERV AND FIRE BIKE FOR CGD BHUBANESWAR &amp; CGD CUTTACK </t>
  </si>
  <si>
    <t xml:space="preserve">ARC SERVICES BBSR </t>
  </si>
  <si>
    <t xml:space="preserve">HIRING OF HIGHSKILLED MANPOWER </t>
  </si>
  <si>
    <t xml:space="preserve">HIRING  OF SKILLED MANPOWER </t>
  </si>
  <si>
    <t xml:space="preserve">HIRING OF SEMI SKILLED MANPOWER </t>
  </si>
  <si>
    <t xml:space="preserve">HIRING OF UNSKILLED MANPOWER </t>
  </si>
  <si>
    <t xml:space="preserve">HIRING OF SERVICES OF 01 nos ERV </t>
  </si>
  <si>
    <t xml:space="preserve">HIRING OF SERVICES OF 01 nos FIRE BIKE </t>
  </si>
  <si>
    <t xml:space="preserve">MAD </t>
  </si>
  <si>
    <t>LS</t>
  </si>
  <si>
    <t xml:space="preserve">HIRING OF ARC SERVICES FOR FIRE AND SAFETY ALONG WITH ERV AND FIRE BIKE FOR CGD BHUBANESWAR &amp; CGD CUTTACK </t>
  </si>
  <si>
    <t>36 Months from Date of LOA</t>
  </si>
  <si>
    <t>GAIL/23-24/054/5300040841/- Dated: 23.03.2024</t>
  </si>
  <si>
    <t>JAGDISHPUR-HALDIA -BOKARO-DHARMA</t>
  </si>
  <si>
    <t>GAS PIPELINE PROJECT OFFICE 612</t>
  </si>
  <si>
    <t>21AAACG1209J2Z7</t>
  </si>
  <si>
    <t>SERVICE CHARGES @10%</t>
  </si>
  <si>
    <t>Rs. 62119272.16</t>
  </si>
  <si>
    <t>ODISHA</t>
  </si>
  <si>
    <t>21</t>
  </si>
  <si>
    <t>Qty. Consumed Upto 
Previous RA Bill</t>
  </si>
  <si>
    <t>SL. NO.</t>
  </si>
  <si>
    <t>PARTICULARS</t>
  </si>
  <si>
    <t>CATEGORY</t>
  </si>
  <si>
    <t>NO OF WORKMEN</t>
  </si>
  <si>
    <t>WAGE DIFF. PER DAY</t>
  </si>
  <si>
    <t>WORKING DAYS</t>
  </si>
  <si>
    <t>DIFFERENCE AMOUNT</t>
  </si>
  <si>
    <t>EPF@13%
ER SHARE</t>
  </si>
  <si>
    <t>ESIC@3.25%
ER SHARE</t>
  </si>
  <si>
    <t xml:space="preserve"> BONUS
@8.33%</t>
  </si>
  <si>
    <t>LWW
@4.81%</t>
  </si>
  <si>
    <t>TOTAL</t>
  </si>
  <si>
    <t>For SINGH AND SONS INFOTECH</t>
  </si>
  <si>
    <t>Highly Skilled</t>
  </si>
  <si>
    <t>Skilled</t>
  </si>
  <si>
    <t>Semi Skilled</t>
  </si>
  <si>
    <t>Unskilled</t>
  </si>
  <si>
    <t>Area-B</t>
  </si>
  <si>
    <t>MEASUREMENT SHEET</t>
  </si>
  <si>
    <t xml:space="preserve">SL. NO. </t>
  </si>
  <si>
    <t>NAME (SH./SMT.)</t>
  </si>
  <si>
    <t>QUANTITY OF WORK DONE</t>
  </si>
  <si>
    <t>REMARKS</t>
  </si>
  <si>
    <t xml:space="preserve">TOTAL </t>
  </si>
  <si>
    <t>SERVICE UNIT FOR</t>
  </si>
  <si>
    <t xml:space="preserve">QTY PROVIDED </t>
  </si>
  <si>
    <t>High Skilled</t>
  </si>
  <si>
    <t>W.O. NO: GAIL/23-24/054/5300040841/- Dated: 23.03.2024</t>
  </si>
  <si>
    <t xml:space="preserve">SUBJECT: HIRING OF ARC SERVICES FOR FIRE AND SAFETY ALONG WITH ERV AND FIRE BIKE FOR CGD BHUBANESWAR &amp; CGD CUTTACK </t>
  </si>
  <si>
    <t>Debiprasad Rout</t>
  </si>
  <si>
    <t>Kabindra Kumar Dalei</t>
  </si>
  <si>
    <t>Prasanta Kumar Sahoo</t>
  </si>
  <si>
    <t>Subrat Kumar Das</t>
  </si>
  <si>
    <t>Birendra Samantray</t>
  </si>
  <si>
    <t>Judhisthir Manik</t>
  </si>
  <si>
    <t>Mukesh Parida</t>
  </si>
  <si>
    <t>Pramod Kumar Behera</t>
  </si>
  <si>
    <t>Rakesh Kumar Behera</t>
  </si>
  <si>
    <t>Tapan Kumar Palei</t>
  </si>
  <si>
    <t>For GAIL BHUBANESHWAR CGD</t>
  </si>
  <si>
    <t>SUMMARY BBSR CGD:-</t>
  </si>
  <si>
    <t>DESCRIPTION OF SERVICE UNIT
(ARC SERVICES BBSR)</t>
  </si>
  <si>
    <t>As Per SOR/ Quoted</t>
  </si>
  <si>
    <t>Total Quantity/ Rate/ Amount as per SOR</t>
  </si>
  <si>
    <t xml:space="preserve">HIRING OF HIGH SKILLED MANPOWER </t>
  </si>
  <si>
    <t>Short Description of Services</t>
  </si>
  <si>
    <t>WAGE REVISION REIMBURSEMENT</t>
  </si>
  <si>
    <t>For GAIL (India) Limited-Bhubaneshwar</t>
  </si>
  <si>
    <t>CNACZCMVA9/₹ 438696.00/- Validity as per GAIL rules</t>
  </si>
  <si>
    <t>Bank Account No: 39075399225, IFSC: SBIN0001937, State Bank of India, Pata</t>
  </si>
  <si>
    <t>PAN  No : ABDCS1757M</t>
  </si>
  <si>
    <t>21, INDRA NAGAR</t>
  </si>
  <si>
    <t>NEAR PILI KOTHI</t>
  </si>
  <si>
    <t>BHUBANSESWAR</t>
  </si>
  <si>
    <t>UTKAL SIGNATURE PAHALA NH-5 --752101</t>
  </si>
  <si>
    <t>M/S. GAIL (INDIA) LIMITED</t>
  </si>
  <si>
    <t>M/S. SINGH AND SONS INFOTECH PRIVATE LIMITED</t>
  </si>
  <si>
    <t>ADDRESS</t>
  </si>
  <si>
    <t>NAME</t>
  </si>
  <si>
    <t xml:space="preserve">                    TAX INVOICE</t>
  </si>
  <si>
    <t xml:space="preserve">Total Amount (with GST) : </t>
  </si>
  <si>
    <t>Vendor Code</t>
  </si>
  <si>
    <t>DIBIYAPUR, AURAIYA-206244</t>
  </si>
  <si>
    <t>Wage Difference Sheet - CGD BHUBANESWAR</t>
  </si>
  <si>
    <t>For GAIL (INDIA) LIMITED - BHUBANESWAR</t>
  </si>
  <si>
    <t>GAIL, BHUBANESWAR</t>
  </si>
  <si>
    <t>Dipak Kumar Sahoo</t>
  </si>
  <si>
    <t>Krushna Ch. Dora</t>
  </si>
  <si>
    <t>Manoranjan Sethi</t>
  </si>
  <si>
    <t>Mohan Pradhan</t>
  </si>
  <si>
    <t>Baruna Behera</t>
  </si>
  <si>
    <t>Narayan Padhi</t>
  </si>
  <si>
    <t>Nirmal Kunar Mohanta</t>
  </si>
  <si>
    <t>Padmalochan Behera</t>
  </si>
  <si>
    <t>Rohit Sahoo</t>
  </si>
  <si>
    <t>Sunil  Kumar Behra</t>
  </si>
  <si>
    <t>TOTAL WAGE REVISION AMOUNT :</t>
  </si>
  <si>
    <t>Sambit Kumar Parida</t>
  </si>
  <si>
    <t>NOS. OF OT Hours Worked</t>
  </si>
  <si>
    <t xml:space="preserve">HIRING  OF SEMI-SKILLED MANPOWER </t>
  </si>
  <si>
    <t>Employee Code</t>
  </si>
  <si>
    <t>GAILOD10</t>
  </si>
  <si>
    <t>GAILOD13</t>
  </si>
  <si>
    <t>GAILOD35</t>
  </si>
  <si>
    <t>GAILOD03</t>
  </si>
  <si>
    <t>GAILOD02</t>
  </si>
  <si>
    <t>GAILOD38</t>
  </si>
  <si>
    <t>GAILOD01</t>
  </si>
  <si>
    <t>GAILOD04</t>
  </si>
  <si>
    <t>GAILOD31</t>
  </si>
  <si>
    <t>GAILOD43</t>
  </si>
  <si>
    <t>GAILOD21</t>
  </si>
  <si>
    <t>GAILOD06</t>
  </si>
  <si>
    <t>GAILOD12</t>
  </si>
  <si>
    <t>GAILOD11</t>
  </si>
  <si>
    <t>GAILOD16</t>
  </si>
  <si>
    <t>GAILOD14</t>
  </si>
  <si>
    <t>GAILOD09</t>
  </si>
  <si>
    <t>GAILOD08</t>
  </si>
  <si>
    <t>GAILOD07</t>
  </si>
  <si>
    <t>GAILOD05</t>
  </si>
  <si>
    <t>GAILOD15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</si>
  <si>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</si>
  <si>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</si>
  <si>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</si>
  <si>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</si>
  <si>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</si>
  <si>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</si>
  <si>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</si>
  <si>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</si>
  <si>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</si>
  <si>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</si>
  <si>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</si>
  <si>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</si>
  <si>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</si>
  <si>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</si>
  <si>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SINGH AND SONS INFOTECH PRIVATE LIMITED</t>
  </si>
  <si>
    <t>Whenever minimum wages revised by Govt. Pls mentioned rates &amp; date of revised rate accordingly</t>
  </si>
  <si>
    <t xml:space="preserve">Name of owner :- </t>
  </si>
  <si>
    <t>SHRI B.K. SINGH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</si>
  <si>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</si>
  <si>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</si>
  <si>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</si>
  <si>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</si>
  <si>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</si>
  <si>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</si>
  <si>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>M/S. GAIL (INDIA) LIMITED
BHUBANESHWAR &amp; CUTTACK, ODISHA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</si>
  <si>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</si>
  <si>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</si>
  <si>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</si>
  <si>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</si>
  <si>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</si>
  <si>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</si>
  <si>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</si>
  <si>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</si>
  <si>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</si>
  <si>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</si>
  <si>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</si>
  <si>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</si>
  <si>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EX GRATIA BONUS</t>
  </si>
  <si>
    <t>EARNED LEAVE</t>
  </si>
  <si>
    <t>Total (06 To 10C)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</si>
  <si>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</si>
  <si>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</si>
  <si>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</si>
  <si>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</si>
  <si>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</si>
  <si>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</si>
  <si>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</si>
  <si>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</si>
  <si>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</si>
  <si>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</si>
  <si>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</si>
  <si>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</si>
  <si>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</si>
  <si>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</si>
  <si>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</si>
  <si>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</si>
  <si>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</si>
  <si>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</si>
  <si>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</si>
  <si>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GAILOD30</t>
  </si>
  <si>
    <t>ANILI KUMARA MAHAPATRA
101840385745
8500121368</t>
  </si>
  <si>
    <t>BARUNA BEHERA
102106780292
UPKNP2070240000/0001
4406990506</t>
  </si>
  <si>
    <t>GAILOD44</t>
  </si>
  <si>
    <t>BIDYA PRASAD DALAI
101834530919
4407140381</t>
  </si>
  <si>
    <t>GAILOD25</t>
  </si>
  <si>
    <t>BIKRAMADITYA DEY
101994814620
8500221617</t>
  </si>
  <si>
    <t>BIRENDRA SAMANTARAY
101682689838
4405345288</t>
  </si>
  <si>
    <t>GAILOD19</t>
  </si>
  <si>
    <t>BISWAJIT PRADHAN
101154838900
4405345418</t>
  </si>
  <si>
    <t>DEBIPRASAD ROUT
101871732622
1014745543</t>
  </si>
  <si>
    <t>DEEPAK KUMAR SAHOO
101992555830
8500216429</t>
  </si>
  <si>
    <t>GAILOD27</t>
  </si>
  <si>
    <t>GYANESWAR KHATUA
101818241960
4407004298</t>
  </si>
  <si>
    <t>GAILOD32</t>
  </si>
  <si>
    <t>JNANA RANJAN DAS
101594952695
4117652792</t>
  </si>
  <si>
    <t>JUDHISTHIR MANIK
101683493905
1014812198</t>
  </si>
  <si>
    <t>GAILOD28</t>
  </si>
  <si>
    <t>KABI BARAD
101821763068
4407004302</t>
  </si>
  <si>
    <t>KABINDRA KUMAR DALEI
100579867011
1014811020</t>
  </si>
  <si>
    <t>KRUSHNACHNDRA DORA
101259988965
4406992232</t>
  </si>
  <si>
    <t>GAILOD34</t>
  </si>
  <si>
    <t>LAKI PRAJNA SAHOO
102019863030
4407004454</t>
  </si>
  <si>
    <t>GAILOD17</t>
  </si>
  <si>
    <t>MAKUNDA GURANDI
100540258781
6928896158</t>
  </si>
  <si>
    <t>GAILOD18</t>
  </si>
  <si>
    <t>MANMATH KUMAR ROUT
101114423471
6929447402</t>
  </si>
  <si>
    <t>GAILOD37</t>
  </si>
  <si>
    <t>MANOJ KUMAR BEHERA
101732600792
6931745765</t>
  </si>
  <si>
    <t>MANORANJAN SETHI
102081209927
4406992229</t>
  </si>
  <si>
    <t>MOHAN PRADHAN
102081209936
4406992231</t>
  </si>
  <si>
    <t>MUKESH PARIDA
101292084668
2018677589</t>
  </si>
  <si>
    <t>NARAYAN PADHI
101680050738
4405345346</t>
  </si>
  <si>
    <t>NIRMAL KUNAR MOHANTA
101567393498
6929940341</t>
  </si>
  <si>
    <t>GAILOD26</t>
  </si>
  <si>
    <t>PABITRA KUMAR BHOI
102081208501
4407004297</t>
  </si>
  <si>
    <t>PADMALOCHAN BEHERA
101305714060
4406990468</t>
  </si>
  <si>
    <t>GAILOD20</t>
  </si>
  <si>
    <t>PRADIPTA KUMAR JENA
101753666694
4405601252</t>
  </si>
  <si>
    <t>PRAMOD KUMAR BEHERA
101358997449
2706682303</t>
  </si>
  <si>
    <t>PRASANTA KUMAR SAHOO
101124997460
6929174454</t>
  </si>
  <si>
    <t>RAKESH KUMAR BEHERA
101244590322
4116304286</t>
  </si>
  <si>
    <t>GAILOD39</t>
  </si>
  <si>
    <t>RAKESH KUMAR MOHANTY
100299989738
4406990488</t>
  </si>
  <si>
    <t>ROHIT SAHOO
101580771069
4405567731</t>
  </si>
  <si>
    <t>SAMBIT KUMAR PARIDA
101714761944
1014625422</t>
  </si>
  <si>
    <t>GAILOD40</t>
  </si>
  <si>
    <t>SANDIP KUMAR SAHOO
101428373242
4406990459</t>
  </si>
  <si>
    <t>GAILOD24</t>
  </si>
  <si>
    <t>SIBA PRASAD BEHERA
101791929790
6932044827</t>
  </si>
  <si>
    <t>GAILOD41</t>
  </si>
  <si>
    <t>SUBODHKANTA MUDULI
101837363653
4406990475</t>
  </si>
  <si>
    <t>SUBRAT KUMAR DAS
100667959286
1014812191</t>
  </si>
  <si>
    <t>SUNIL KUMAR BEHERA
102012635970
4406635113</t>
  </si>
  <si>
    <t>GAILOD42</t>
  </si>
  <si>
    <t>SUSANTA KUMAR SWAIN
101483508612
4406990503</t>
  </si>
  <si>
    <t>TAPAN KUMAR PALEI
100770877823
7010297297</t>
  </si>
  <si>
    <t>GAILOD23</t>
  </si>
  <si>
    <t>Highly Skilled - BBSR</t>
  </si>
  <si>
    <t>Skilled - BBSR</t>
  </si>
  <si>
    <t>Semi Skilled - BBSR</t>
  </si>
  <si>
    <t>Unskilled - BBSR</t>
  </si>
  <si>
    <t>Period</t>
  </si>
  <si>
    <t>Service Month</t>
  </si>
  <si>
    <t>RA BILL NO-</t>
  </si>
  <si>
    <t>EPF Challan No.</t>
  </si>
  <si>
    <t>ESIC Challan No.</t>
  </si>
  <si>
    <t>Amount:</t>
  </si>
  <si>
    <t>Date:</t>
  </si>
  <si>
    <t>OLD WAGES AS ON 01.04.2023(as per LOA)</t>
  </si>
  <si>
    <t>INVOICE NUMBER BBSR</t>
  </si>
  <si>
    <t>INVOICE NUMBER CUTTACK</t>
  </si>
  <si>
    <t>MAX. NO. OF WORKING DAYS</t>
  </si>
  <si>
    <t>For GAIL (INDIA) LIMITED - CUTTACK</t>
  </si>
  <si>
    <t>Wage Difference Sheet - CGD CUTTACK</t>
  </si>
  <si>
    <t>For GAIL CUTTACK CGD</t>
  </si>
  <si>
    <t>SUMMARY CUTTACK CGD:-</t>
  </si>
  <si>
    <t>ANILI KUMAR MAHAPATRA</t>
  </si>
  <si>
    <t>Siba Prasad Behera</t>
  </si>
  <si>
    <t>Pabitra Bhoi</t>
  </si>
  <si>
    <t>Makudha Gurandi</t>
  </si>
  <si>
    <t>Kabi Barad</t>
  </si>
  <si>
    <t>Gyaneshwar Khatua</t>
  </si>
  <si>
    <t>Bidya Prasad Dalai</t>
  </si>
  <si>
    <t>Susanta Kumar Swain</t>
  </si>
  <si>
    <t>Subodhkanta Muduli</t>
  </si>
  <si>
    <t>Sandip Kumar Sahoo</t>
  </si>
  <si>
    <t>Rakesh Kumar Mohanty</t>
  </si>
  <si>
    <t>Pradipta Kumar Jena</t>
  </si>
  <si>
    <t>Manoj Kumar Behera</t>
  </si>
  <si>
    <t>Manmath Kumar Rout</t>
  </si>
  <si>
    <t>Jnana Ranjan Das</t>
  </si>
  <si>
    <t>Biswajit Pradhan</t>
  </si>
  <si>
    <t>Laki prajna sahoo</t>
  </si>
  <si>
    <t>Bikramaditya Dey</t>
  </si>
  <si>
    <t>NOS. OF OT HOURS WORKED</t>
  </si>
  <si>
    <t>DESCRIPTION OF SERVICE UNIT
(ARC SERVICES CTC)</t>
  </si>
  <si>
    <t>21, INDRA NAGAR, DIBIYAPUR, AURAIYA (U.P)-206244</t>
  </si>
  <si>
    <t>HIRING OF SKILLED  MANPOWER</t>
  </si>
  <si>
    <t>ARC SERVICES  CTC</t>
  </si>
  <si>
    <t>GAIL, ODISHA</t>
  </si>
  <si>
    <t>Highly Skilled - CTCK</t>
  </si>
  <si>
    <t>Skilled - CTCK</t>
  </si>
  <si>
    <t>Semi Skilled - CTCK</t>
  </si>
  <si>
    <t>Unskilled - CTCK</t>
  </si>
  <si>
    <t>EMPLOYEE CODE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</si>
  <si>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</si>
  <si>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</si>
  <si>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</si>
  <si>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</si>
  <si>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</si>
  <si>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</si>
  <si>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 val="single"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</si>
  <si>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</si>
  <si>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</si>
  <si>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</si>
  <si>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</si>
  <si>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</si>
  <si>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</si>
  <si>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</si>
  <si>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</si>
  <si>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 val="single"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</si>
  <si>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</si>
  <si>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</si>
  <si>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</si>
  <si>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</si>
  <si>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</si>
  <si>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</si>
  <si>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</si>
  <si>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</si>
  <si>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</si>
  <si>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</si>
  <si>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</si>
  <si>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</si>
  <si>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</si>
  <si>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</si>
  <si>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</si>
  <si>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</si>
  <si>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</si>
  <si>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</si>
  <si>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</si>
  <si>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</si>
  <si>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</si>
  <si>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</si>
  <si>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</si>
  <si>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</si>
  <si>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</si>
  <si>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</si>
  <si>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</si>
  <si>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</si>
  <si>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</si>
  <si>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8.   Address of ESIC office from where ESI Code No. has been allotted: </t>
    </r>
    <r>
      <rPr>
        <b/>
        <sz val="12"/>
        <rFont val="Calibri"/>
        <family val="2"/>
      </rPr>
      <t>BHUBANESWAR</t>
    </r>
  </si>
  <si>
    <r>
      <t xml:space="preserve">9.   ESI Code No. allotted by ESIC office: </t>
    </r>
    <r>
      <rPr>
        <b/>
        <sz val="12"/>
        <rFont val="Calibri"/>
        <family val="2"/>
      </rPr>
      <t>44210624350010999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</si>
  <si>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 val="single"/>
        <sz val="12"/>
        <color indexed="8"/>
        <rFont val="Calibri"/>
        <family val="2"/>
      </rPr>
      <t>From  01.04.2024 To 31.03.2027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</si>
  <si>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 val="single"/>
        <sz val="11"/>
        <color indexed="8"/>
        <rFont val="Calibri"/>
        <family val="2"/>
      </rPr>
      <t xml:space="preserve"> GAIL, JHBDPL, Odisha-752101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</si>
  <si>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 xml:space="preserve">Validity period of Labour License From: </t>
    </r>
    <r>
      <rPr>
        <b/>
        <u val="single"/>
        <sz val="12"/>
        <color indexed="8"/>
        <rFont val="Aptos Display"/>
        <family val="2"/>
      </rPr>
      <t>25-APR-2024 To 24-APR-2025</t>
    </r>
  </si>
  <si>
    <t>BHUBANESWAR</t>
  </si>
  <si>
    <t>To M/S. GAIL (INDIA) LIMITED,</t>
  </si>
  <si>
    <t>BHUBANSESWAR -752101,</t>
  </si>
  <si>
    <t>MAIL: ABHAVE@GAIL.CO.IN</t>
  </si>
  <si>
    <t>Invoice for BHUBANESWAR CGD</t>
  </si>
  <si>
    <t>for fire and safety along with erv and fire bike for cgd bhubaneswar &amp; cgd cuttack.</t>
  </si>
  <si>
    <t>along with erv and fire bike for cgd bhubaneswar &amp; cgd cuttack.</t>
  </si>
  <si>
    <t>Invoice for CUTTACK CGD</t>
  </si>
  <si>
    <t>LOA No.: GAIL/23-24/054/5300040841 DATED: 23.03.2024</t>
  </si>
  <si>
    <t>Invoice Amount BBSR</t>
  </si>
  <si>
    <t>Invoice Amount CTCK</t>
  </si>
  <si>
    <t>Minimum Basic-B</t>
  </si>
  <si>
    <t>NEFT</t>
  </si>
  <si>
    <t>E-BANKING</t>
  </si>
  <si>
    <t>SBI</t>
  </si>
  <si>
    <t>FLOATER MEDICAL POLICY + WC POLICY</t>
  </si>
  <si>
    <t>Employer/Workmqan/Worker/ Share ESIC Welfare Fund</t>
  </si>
  <si>
    <t>DESIGNATION</t>
  </si>
  <si>
    <t>GAILOD46</t>
  </si>
  <si>
    <t xml:space="preserve">REIMBURSEMENT OT HOURS WORKED </t>
  </si>
  <si>
    <t xml:space="preserve">Rs. 981/ Man Day ( Rs. 25,506/ Month ) </t>
  </si>
  <si>
    <t xml:space="preserve"> Rs. 893/ Man Day ( Rs. 23,218/ Month ) </t>
  </si>
  <si>
    <t xml:space="preserve">Rs. 760/ Man Day ( Rs. 19,760/ Month )  </t>
  </si>
  <si>
    <t xml:space="preserve"> Rs. 674/ Man Day ( Rs. 17,534/ Month )  </t>
  </si>
  <si>
    <t>P</t>
  </si>
  <si>
    <t>GAPI</t>
  </si>
  <si>
    <t>PMJJBY</t>
  </si>
  <si>
    <t>Rate of minimum Wage and since the date 01.04.2025 TO 30.09.2025</t>
  </si>
  <si>
    <r>
      <t xml:space="preserve">11. Labour License No.: </t>
    </r>
    <r>
      <rPr>
        <b/>
        <sz val="12"/>
        <color indexed="8"/>
        <rFont val="Calibri"/>
        <family val="2"/>
      </rPr>
      <t>CLRA/ALCBHUBNESHWAR/2024/160176/L-197 Date: 25-Apr-2025</t>
    </r>
  </si>
  <si>
    <t>1,57,500.00</t>
  </si>
  <si>
    <r>
      <rPr>
        <sz val="12"/>
        <color indexed="8"/>
        <rFont val="Aptos Display"/>
        <family val="2"/>
      </rPr>
      <t xml:space="preserve">       Validity period of Renewed Labour License From: </t>
    </r>
    <r>
      <rPr>
        <b/>
        <sz val="12"/>
        <color indexed="8"/>
        <rFont val="Aptos Display"/>
        <family val="2"/>
      </rPr>
      <t>10</t>
    </r>
    <r>
      <rPr>
        <b/>
        <u val="single"/>
        <sz val="12"/>
        <color indexed="8"/>
        <rFont val="Aptos Display"/>
        <family val="2"/>
      </rPr>
      <t>-APR-2025 To 24-APR-2026</t>
    </r>
  </si>
  <si>
    <t>Mr. JEFF LOPEZ</t>
  </si>
  <si>
    <t>Sr. Officer (F&amp;S)</t>
  </si>
  <si>
    <t>Kind Attn.:  Mr. JEFF LOPEZ, – Sr. Officer (F&amp;S)</t>
  </si>
  <si>
    <t>GIRISH KUMAR PRADHAN
102210620966
4407390451</t>
  </si>
  <si>
    <t>Mr. BOMMANA ANIRUDH</t>
  </si>
  <si>
    <t>Senior officer- Fire &amp; Safety</t>
  </si>
  <si>
    <t>Kind Attn.:  Mr. BOMMANA ANIRUDH, – Senior officer- Fire &amp; Safety</t>
  </si>
  <si>
    <t xml:space="preserve"> </t>
  </si>
  <si>
    <t>ATISH KUMAR CHHOTARAY
101504489779
4407266885</t>
  </si>
  <si>
    <t>GAILOD47</t>
  </si>
  <si>
    <t>GAILOD48</t>
  </si>
  <si>
    <t>HIMANSU MOHANTY
101713046373
8500099854</t>
  </si>
  <si>
    <t>HIMANSU MOHANTY</t>
  </si>
  <si>
    <t xml:space="preserve"> ATISH KUMAR CHHOTARAY</t>
  </si>
  <si>
    <t>GIRISH KUMAR PRADHAN</t>
  </si>
  <si>
    <t xml:space="preserve"> HIRING  OF SEMI
SKILLED MANPOWER</t>
  </si>
  <si>
    <t>01 Oct 2025 To 31 Oct 2025</t>
  </si>
  <si>
    <t>01-11-2025</t>
  </si>
  <si>
    <t>OCTOBER-2025</t>
  </si>
  <si>
    <t>NEW WAGES AS ON 01.10.2025</t>
  </si>
  <si>
    <t>REIMBURSEMENT OT HOURS WORKED FROM (01.10.2025 TO 31.10.2025)</t>
  </si>
  <si>
    <t>SSI/1190</t>
  </si>
  <si>
    <t>SSI/1191</t>
  </si>
</sst>
</file>

<file path=xl/styles.xml><?xml version="1.0" encoding="utf-8"?>
<styleSheet xmlns="http://schemas.openxmlformats.org/spreadsheetml/2006/main">
  <numFmts count="38">
    <numFmt numFmtId="5" formatCode="&quot;₹&quot;\ #,##0;&quot;₹&quot;\ \-#,##0"/>
    <numFmt numFmtId="6" formatCode="&quot;₹&quot;\ #,##0;[Red]&quot;₹&quot;\ \-#,##0"/>
    <numFmt numFmtId="7" formatCode="&quot;₹&quot;\ #,##0.00;&quot;₹&quot;\ \-#,##0.00"/>
    <numFmt numFmtId="8" formatCode="&quot;₹&quot;\ #,##0.00;[Red]&quot;₹&quot;\ \-#,##0.00"/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0.000"/>
    <numFmt numFmtId="173" formatCode="0.0"/>
    <numFmt numFmtId="174" formatCode="[$-409]d\-mmm\-yy;@"/>
    <numFmt numFmtId="175" formatCode="#,##0.00;[Red]#,##0.00"/>
    <numFmt numFmtId="176" formatCode="[$-409]d\-mmm;@"/>
    <numFmt numFmtId="177" formatCode="_(* #,##0.0_);_(* \(#,##0.0\);_(* &quot;-&quot;??_);_(@_)"/>
    <numFmt numFmtId="178" formatCode="[$-F800]dddd\,\ mmmm\ dd\,\ yyyy"/>
    <numFmt numFmtId="179" formatCode="[$-14009]dddd\,\ d\ mmmm\,\ yyyy;@"/>
    <numFmt numFmtId="180" formatCode="[$-409]d/mmm/yyyy;@"/>
    <numFmt numFmtId="181" formatCode="[$-14009]dd\-mm\-yyyy;@"/>
    <numFmt numFmtId="182" formatCode="00"/>
    <numFmt numFmtId="183" formatCode="0.0000"/>
    <numFmt numFmtId="184" formatCode="0.0000000000"/>
    <numFmt numFmtId="185" formatCode="0.000000000"/>
    <numFmt numFmtId="186" formatCode="0.00000000"/>
    <numFmt numFmtId="187" formatCode="0.0000000"/>
    <numFmt numFmtId="188" formatCode="0.000000"/>
    <numFmt numFmtId="189" formatCode="0.00000"/>
    <numFmt numFmtId="190" formatCode="&quot;Yes&quot;;&quot;Yes&quot;;&quot;No&quot;"/>
    <numFmt numFmtId="191" formatCode="&quot;True&quot;;&quot;True&quot;;&quot;False&quot;"/>
    <numFmt numFmtId="192" formatCode="&quot;On&quot;;&quot;On&quot;;&quot;Off&quot;"/>
    <numFmt numFmtId="193" formatCode="[$€-2]\ #,##0.00_);[Red]\([$€-2]\ #,##0.00\)"/>
  </numFmts>
  <fonts count="160">
    <font>
      <sz val="10"/>
      <name val="Arial"/>
      <family val="0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2"/>
      <name val="Arial"/>
      <family val="2"/>
    </font>
    <font>
      <b/>
      <sz val="30"/>
      <name val="Arial"/>
      <family val="2"/>
    </font>
    <font>
      <b/>
      <sz val="20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</font>
    <font>
      <b/>
      <u val="single"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u val="double"/>
      <sz val="10"/>
      <color indexed="10"/>
      <name val="Arial"/>
      <family val="2"/>
    </font>
    <font>
      <b/>
      <i/>
      <sz val="12"/>
      <name val="Calibri"/>
      <family val="2"/>
    </font>
    <font>
      <b/>
      <i/>
      <u val="single"/>
      <sz val="12"/>
      <name val="Calibri"/>
      <family val="1"/>
    </font>
    <font>
      <b/>
      <u val="single"/>
      <sz val="16"/>
      <name val="Calibri"/>
      <family val="2"/>
    </font>
    <font>
      <sz val="11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b/>
      <u val="single"/>
      <sz val="11"/>
      <color indexed="8"/>
      <name val="Calibri"/>
      <family val="2"/>
    </font>
    <font>
      <sz val="12"/>
      <color indexed="8"/>
      <name val="Aptos Display"/>
      <family val="2"/>
    </font>
    <font>
      <b/>
      <u val="single"/>
      <sz val="12"/>
      <color indexed="8"/>
      <name val="Aptos Display"/>
      <family val="2"/>
    </font>
    <font>
      <sz val="12"/>
      <name val="Times New Roman"/>
      <family val="1"/>
    </font>
    <font>
      <sz val="9"/>
      <name val="Arial"/>
      <family val="2"/>
    </font>
    <font>
      <b/>
      <sz val="12"/>
      <color indexed="8"/>
      <name val="Aptos Display"/>
      <family val="2"/>
    </font>
    <font>
      <sz val="16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u val="single"/>
      <sz val="10"/>
      <color indexed="20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 val="single"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Arial"/>
      <family val="2"/>
    </font>
    <font>
      <sz val="14"/>
      <color indexed="8"/>
      <name val="Calibri"/>
      <family val="2"/>
    </font>
    <font>
      <sz val="8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</font>
    <font>
      <sz val="8"/>
      <color indexed="8"/>
      <name val="Calibri"/>
      <family val="2"/>
    </font>
    <font>
      <b/>
      <sz val="10"/>
      <name val="Calibri"/>
      <family val="2"/>
    </font>
    <font>
      <b/>
      <sz val="10"/>
      <color indexed="63"/>
      <name val="Calibri"/>
      <family val="2"/>
    </font>
    <font>
      <b/>
      <u val="single"/>
      <sz val="12"/>
      <color indexed="10"/>
      <name val="Calibri"/>
      <family val="2"/>
    </font>
    <font>
      <b/>
      <sz val="14"/>
      <color indexed="8"/>
      <name val="Calibri"/>
      <family val="2"/>
    </font>
    <font>
      <sz val="11"/>
      <color indexed="8"/>
      <name val="Aptos Display"/>
      <family val="2"/>
    </font>
    <font>
      <b/>
      <sz val="11"/>
      <color indexed="8"/>
      <name val="Aptos Display"/>
      <family val="2"/>
    </font>
    <font>
      <sz val="10.5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8"/>
      <name val="Calibri"/>
      <family val="2"/>
    </font>
    <font>
      <b/>
      <sz val="16"/>
      <color indexed="8"/>
      <name val="Calibri"/>
      <family val="2"/>
    </font>
    <font>
      <b/>
      <u val="single"/>
      <sz val="18"/>
      <color indexed="8"/>
      <name val="Calibri"/>
      <family val="2"/>
    </font>
    <font>
      <b/>
      <sz val="26"/>
      <color indexed="8"/>
      <name val="Calibri"/>
      <family val="2"/>
    </font>
    <font>
      <b/>
      <u val="single"/>
      <sz val="12"/>
      <name val="Calibri"/>
      <family val="2"/>
    </font>
    <font>
      <b/>
      <sz val="22"/>
      <name val="Calibri"/>
      <family val="2"/>
    </font>
    <font>
      <b/>
      <sz val="20"/>
      <name val="Calibri"/>
      <family val="2"/>
    </font>
    <font>
      <b/>
      <u val="single"/>
      <sz val="11"/>
      <color indexed="8"/>
      <name val="Aptos Display"/>
      <family val="2"/>
    </font>
    <font>
      <b/>
      <sz val="28"/>
      <name val="Calibri"/>
      <family val="2"/>
    </font>
    <font>
      <sz val="16"/>
      <color indexed="8"/>
      <name val="Calibri"/>
      <family val="2"/>
    </font>
    <font>
      <b/>
      <sz val="16"/>
      <color indexed="12"/>
      <name val="Calibri"/>
      <family val="2"/>
    </font>
    <font>
      <sz val="16"/>
      <color indexed="8"/>
      <name val="Times New Roman"/>
      <family val="1"/>
    </font>
    <font>
      <sz val="16"/>
      <color indexed="10"/>
      <name val="Calibri"/>
      <family val="2"/>
    </font>
    <font>
      <b/>
      <sz val="16"/>
      <color indexed="10"/>
      <name val="Calibri"/>
      <family val="2"/>
    </font>
    <font>
      <sz val="8"/>
      <name val="Segoe UI"/>
      <family val="2"/>
    </font>
    <font>
      <b/>
      <sz val="10"/>
      <color indexed="8"/>
      <name val="Gauge Heavy"/>
      <family val="0"/>
    </font>
    <font>
      <b/>
      <sz val="10"/>
      <color indexed="8"/>
      <name val="Cambria"/>
      <family val="0"/>
    </font>
    <font>
      <b/>
      <sz val="30"/>
      <color indexed="8"/>
      <name val="Cambria"/>
      <family val="0"/>
    </font>
    <font>
      <sz val="30"/>
      <color indexed="8"/>
      <name val="Cambria"/>
      <family val="0"/>
    </font>
    <font>
      <b/>
      <sz val="19"/>
      <color indexed="10"/>
      <name val="Cambria"/>
      <family val="0"/>
    </font>
    <font>
      <b/>
      <sz val="20"/>
      <color indexed="10"/>
      <name val="Cambria"/>
      <family val="0"/>
    </font>
    <font>
      <sz val="20"/>
      <color indexed="8"/>
      <name val="Cambria"/>
      <family val="0"/>
    </font>
    <font>
      <b/>
      <sz val="13"/>
      <color indexed="8"/>
      <name val="Cambria"/>
      <family val="0"/>
    </font>
    <font>
      <b/>
      <sz val="14"/>
      <color indexed="8"/>
      <name val="Cambria"/>
      <family val="0"/>
    </font>
    <font>
      <b/>
      <sz val="12"/>
      <color indexed="8"/>
      <name val="Cambria"/>
      <family val="0"/>
    </font>
    <font>
      <sz val="12"/>
      <color indexed="8"/>
      <name val="Cambria"/>
      <family val="0"/>
    </font>
    <font>
      <b/>
      <sz val="11"/>
      <color indexed="8"/>
      <name val="Cambria"/>
      <family val="0"/>
    </font>
    <font>
      <sz val="11"/>
      <color indexed="8"/>
      <name val="Cambria"/>
      <family val="0"/>
    </font>
    <font>
      <b/>
      <sz val="32"/>
      <color indexed="8"/>
      <name val="Gauge Heavy"/>
      <family val="0"/>
    </font>
    <font>
      <b/>
      <sz val="28"/>
      <color indexed="8"/>
      <name val="Calibri"/>
      <family val="0"/>
    </font>
    <font>
      <b/>
      <sz val="20"/>
      <color indexed="10"/>
      <name val="Calibri"/>
      <family val="0"/>
    </font>
    <font>
      <sz val="20"/>
      <color indexed="8"/>
      <name val="Calibri"/>
      <family val="0"/>
    </font>
    <font>
      <b/>
      <sz val="20"/>
      <name val="Calibri"/>
      <family val="2"/>
      <scheme val="minor"/>
    </font>
    <font>
      <b/>
      <sz val="28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u val="single"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u val="single"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 val="single"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2"/>
      <color theme="1"/>
      <name val="Aptos Display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u val="single"/>
      <sz val="11"/>
      <color theme="1"/>
      <name val="Aptos Display"/>
      <family val="2"/>
    </font>
    <font>
      <b/>
      <sz val="2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1"/>
      <name val="Times New Roman"/>
      <family val="1"/>
    </font>
    <font>
      <b/>
      <sz val="16"/>
      <color indexed="1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0.5"/>
      <color theme="1"/>
      <name val="Calibri"/>
      <family val="2"/>
      <scheme val="minor"/>
    </font>
    <font>
      <u val="single"/>
      <sz val="10"/>
      <color theme="10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8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u val="single"/>
      <sz val="12"/>
      <color rgb="FFFF000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u val="single"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799979984760284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7998476028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00102615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79996681213"/>
        <bgColor indexed="64"/>
      </patternFill>
    </fill>
    <fill>
      <patternFill patternType="solid">
        <fgColor theme="0" tint="-0.149990007281303"/>
        <bgColor indexed="64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>
        <color indexed="0"/>
      </right>
      <top>
        <color indexed="0"/>
      </top>
      <bottom>
        <color indexed="0"/>
      </bottom>
    </border>
    <border>
      <left>
        <color indexed="0"/>
      </left>
      <right style="thin">
        <color auto="1"/>
      </right>
      <top>
        <color indexed="0"/>
      </top>
      <bottom>
        <color indexed="0"/>
      </bottom>
    </border>
    <border>
      <left/>
      <right/>
      <top style="thin">
        <color auto="1"/>
      </top>
      <bottom/>
    </border>
    <border>
      <left>
        <color indexed="0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>
        <color indexed="0"/>
      </top>
      <bottom style="thin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>
        <color indexed="0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</border>
    <border>
      <left>
        <color indexed="0"/>
      </left>
      <right style="thin">
        <color auto="1"/>
      </right>
      <top style="medium">
        <color auto="1"/>
      </top>
      <bottom style="medium">
        <color auto="1"/>
      </bottom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auto="1"/>
      </right>
      <top style="thin">
        <color rgb="FF000000"/>
      </top>
      <bottom style="thin">
        <color rgb="FF000000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auto="1"/>
      </right>
      <top/>
      <bottom style="thin">
        <color rgb="FF000000"/>
      </bottom>
    </border>
  </borders>
  <cellStyleXfs count="53">
    <xf numFmtId="0" fontId="0" fillId="0" borderId="0">
      <alignment/>
      <protection/>
    </xf>
    <xf numFmtId="0" fontId="112" fillId="2" borderId="0" applyNumberFormat="0" applyBorder="0" applyAlignment="0" applyProtection="0">
      <alignment/>
    </xf>
    <xf numFmtId="0" fontId="112" fillId="3" borderId="0" applyNumberFormat="0" applyBorder="0" applyAlignment="0" applyProtection="0">
      <alignment/>
    </xf>
    <xf numFmtId="0" fontId="112" fillId="4" borderId="0" applyNumberFormat="0" applyBorder="0" applyAlignment="0" applyProtection="0">
      <alignment/>
    </xf>
    <xf numFmtId="0" fontId="112" fillId="5" borderId="0" applyNumberFormat="0" applyBorder="0" applyAlignment="0" applyProtection="0">
      <alignment/>
    </xf>
    <xf numFmtId="0" fontId="112" fillId="6" borderId="0" applyNumberFormat="0" applyBorder="0" applyAlignment="0" applyProtection="0">
      <alignment/>
    </xf>
    <xf numFmtId="0" fontId="112" fillId="7" borderId="0" applyNumberFormat="0" applyBorder="0" applyAlignment="0" applyProtection="0">
      <alignment/>
    </xf>
    <xf numFmtId="0" fontId="112" fillId="8" borderId="0" applyNumberFormat="0" applyBorder="0" applyAlignment="0" applyProtection="0">
      <alignment/>
    </xf>
    <xf numFmtId="0" fontId="112" fillId="9" borderId="0" applyNumberFormat="0" applyBorder="0" applyAlignment="0" applyProtection="0">
      <alignment/>
    </xf>
    <xf numFmtId="0" fontId="112" fillId="10" borderId="0" applyNumberFormat="0" applyBorder="0" applyAlignment="0" applyProtection="0">
      <alignment/>
    </xf>
    <xf numFmtId="0" fontId="112" fillId="11" borderId="0" applyNumberFormat="0" applyBorder="0" applyAlignment="0" applyProtection="0">
      <alignment/>
    </xf>
    <xf numFmtId="0" fontId="112" fillId="12" borderId="0" applyNumberFormat="0" applyBorder="0" applyAlignment="0" applyProtection="0">
      <alignment/>
    </xf>
    <xf numFmtId="0" fontId="112" fillId="13" borderId="0" applyNumberFormat="0" applyBorder="0" applyAlignment="0" applyProtection="0">
      <alignment/>
    </xf>
    <xf numFmtId="0" fontId="159" fillId="14" borderId="0" applyNumberFormat="0" applyBorder="0" applyAlignment="0" applyProtection="0">
      <alignment/>
    </xf>
    <xf numFmtId="0" fontId="159" fillId="15" borderId="0" applyNumberFormat="0" applyBorder="0" applyAlignment="0" applyProtection="0">
      <alignment/>
    </xf>
    <xf numFmtId="0" fontId="159" fillId="16" borderId="0" applyNumberFormat="0" applyBorder="0" applyAlignment="0" applyProtection="0">
      <alignment/>
    </xf>
    <xf numFmtId="0" fontId="159" fillId="17" borderId="0" applyNumberFormat="0" applyBorder="0" applyAlignment="0" applyProtection="0">
      <alignment/>
    </xf>
    <xf numFmtId="0" fontId="159" fillId="18" borderId="0" applyNumberFormat="0" applyBorder="0" applyAlignment="0" applyProtection="0">
      <alignment/>
    </xf>
    <xf numFmtId="0" fontId="159" fillId="19" borderId="0" applyNumberFormat="0" applyBorder="0" applyAlignment="0" applyProtection="0">
      <alignment/>
    </xf>
    <xf numFmtId="0" fontId="159" fillId="20" borderId="0" applyNumberFormat="0" applyBorder="0" applyAlignment="0" applyProtection="0">
      <alignment/>
    </xf>
    <xf numFmtId="0" fontId="159" fillId="21" borderId="0" applyNumberFormat="0" applyBorder="0" applyAlignment="0" applyProtection="0">
      <alignment/>
    </xf>
    <xf numFmtId="0" fontId="159" fillId="22" borderId="0" applyNumberFormat="0" applyBorder="0" applyAlignment="0" applyProtection="0">
      <alignment/>
    </xf>
    <xf numFmtId="0" fontId="159" fillId="23" borderId="0" applyNumberFormat="0" applyBorder="0" applyAlignment="0" applyProtection="0">
      <alignment/>
    </xf>
    <xf numFmtId="0" fontId="159" fillId="24" borderId="0" applyNumberFormat="0" applyBorder="0" applyAlignment="0" applyProtection="0">
      <alignment/>
    </xf>
    <xf numFmtId="0" fontId="159" fillId="25" borderId="0" applyNumberFormat="0" applyBorder="0" applyAlignment="0" applyProtection="0">
      <alignment/>
    </xf>
    <xf numFmtId="0" fontId="158" fillId="26" borderId="0" applyNumberFormat="0" applyBorder="0" applyAlignment="0" applyProtection="0">
      <alignment/>
    </xf>
    <xf numFmtId="0" fontId="157" fillId="27" borderId="1" applyNumberFormat="0" applyAlignment="0" applyProtection="0">
      <alignment/>
    </xf>
    <xf numFmtId="0" fontId="156" fillId="28" borderId="2" applyNumberFormat="0" applyAlignment="0" applyProtection="0">
      <alignment/>
    </xf>
    <xf numFmtId="171" fontId="0" fillId="0" borderId="0" applyFont="0" applyFill="0" applyBorder="0" applyAlignment="0" applyProtection="0">
      <alignment/>
    </xf>
    <xf numFmtId="169" fontId="0" fillId="0" borderId="0" applyFont="0" applyFill="0" applyBorder="0" applyAlignment="0" applyProtection="0">
      <alignment/>
    </xf>
    <xf numFmtId="171" fontId="0" fillId="0" borderId="0" applyFont="0" applyFill="0" applyBorder="0" applyAlignment="0" applyProtection="0">
      <alignment/>
    </xf>
    <xf numFmtId="170" fontId="0" fillId="0" borderId="0" applyFont="0" applyFill="0" applyBorder="0" applyAlignment="0" applyProtection="0">
      <alignment/>
    </xf>
    <xf numFmtId="168" fontId="0" fillId="0" borderId="0" applyFont="0" applyFill="0" applyBorder="0" applyAlignment="0" applyProtection="0">
      <alignment/>
    </xf>
    <xf numFmtId="0" fontId="155" fillId="0" borderId="0" applyNumberFormat="0" applyFill="0" applyBorder="0" applyAlignment="0" applyProtection="0">
      <alignment/>
    </xf>
    <xf numFmtId="0" fontId="154" fillId="0" borderId="0" applyNumberFormat="0" applyFill="0" applyBorder="0" applyAlignment="0" applyProtection="0">
      <alignment/>
    </xf>
    <xf numFmtId="0" fontId="153" fillId="29" borderId="0" applyNumberFormat="0" applyBorder="0" applyAlignment="0" applyProtection="0">
      <alignment/>
    </xf>
    <xf numFmtId="0" fontId="152" fillId="0" borderId="3" applyNumberFormat="0" applyFill="0" applyAlignment="0" applyProtection="0">
      <alignment/>
    </xf>
    <xf numFmtId="0" fontId="151" fillId="0" borderId="4" applyNumberFormat="0" applyFill="0" applyAlignment="0" applyProtection="0">
      <alignment/>
    </xf>
    <xf numFmtId="0" fontId="150" fillId="0" borderId="5" applyNumberFormat="0" applyFill="0" applyAlignment="0" applyProtection="0">
      <alignment/>
    </xf>
    <xf numFmtId="0" fontId="150" fillId="0" borderId="0" applyNumberFormat="0" applyFill="0" applyBorder="0" applyAlignment="0" applyProtection="0">
      <alignment/>
    </xf>
    <xf numFmtId="0" fontId="132" fillId="0" borderId="0" applyNumberFormat="0" applyFill="0" applyBorder="0" applyAlignment="0" applyProtection="0">
      <alignment/>
    </xf>
    <xf numFmtId="0" fontId="149" fillId="30" borderId="1" applyNumberFormat="0" applyAlignment="0" applyProtection="0">
      <alignment/>
    </xf>
    <xf numFmtId="0" fontId="148" fillId="0" borderId="6" applyNumberFormat="0" applyFill="0" applyAlignment="0" applyProtection="0">
      <alignment/>
    </xf>
    <xf numFmtId="0" fontId="147" fillId="31" borderId="0" applyNumberFormat="0" applyBorder="0" applyAlignment="0" applyProtection="0">
      <alignment/>
    </xf>
    <xf numFmtId="0" fontId="112" fillId="0" borderId="0">
      <alignment/>
      <protection/>
    </xf>
    <xf numFmtId="0" fontId="0" fillId="0" borderId="0">
      <alignment/>
      <protection/>
    </xf>
    <xf numFmtId="0" fontId="16" fillId="32" borderId="0">
      <alignment vertical="center" wrapText="1"/>
      <protection/>
    </xf>
    <xf numFmtId="0" fontId="0" fillId="33" borderId="7" applyNumberFormat="0" applyFont="0" applyAlignment="0" applyProtection="0">
      <alignment/>
    </xf>
    <xf numFmtId="0" fontId="146" fillId="27" borderId="8" applyNumberFormat="0" applyAlignment="0" applyProtection="0">
      <alignment/>
    </xf>
    <xf numFmtId="9" fontId="0" fillId="0" borderId="0" applyFont="0" applyFill="0" applyBorder="0" applyAlignment="0" applyProtection="0">
      <alignment/>
    </xf>
    <xf numFmtId="0" fontId="145" fillId="0" borderId="0" applyNumberFormat="0" applyFill="0" applyBorder="0" applyAlignment="0" applyProtection="0">
      <alignment/>
    </xf>
    <xf numFmtId="0" fontId="106" fillId="0" borderId="9" applyNumberFormat="0" applyFill="0" applyAlignment="0" applyProtection="0">
      <alignment/>
    </xf>
    <xf numFmtId="0" fontId="144" fillId="0" borderId="0" applyNumberFormat="0" applyFill="0" applyBorder="0" applyAlignment="0" applyProtection="0">
      <alignment/>
    </xf>
  </cellStyleXfs>
  <cellXfs count="853">
    <xf numFmtId="0" fontId="0" fillId="0" borderId="0" xfId="0" applyAlignment="1">
      <alignment/>
    </xf>
    <xf numFmtId="0" fontId="0" fillId="0" borderId="0" xfId="0" applyBorder="1" applyAlignment="1">
      <alignment/>
    </xf>
    <xf numFmtId="0" fontId="1" fillId="0" borderId="0" xfId="0" applyFont="1" applyBorder="1" applyAlignment="1">
      <alignment horizontal="left"/>
    </xf>
    <xf numFmtId="0" fontId="0" fillId="0" borderId="10" xfId="0" applyBorder="1" applyAlignment="1">
      <alignment horizontal="center"/>
    </xf>
    <xf numFmtId="171" fontId="112" fillId="0" borderId="0" xfId="28" applyFont="1" applyBorder="1" applyAlignment="1">
      <alignment/>
    </xf>
    <xf numFmtId="171" fontId="112" fillId="0" borderId="0" xfId="28" applyFont="1" applyAlignment="1">
      <alignment/>
    </xf>
    <xf numFmtId="0" fontId="0" fillId="0" borderId="0" xfId="0" applyAlignment="1">
      <alignment horizontal="left"/>
    </xf>
    <xf numFmtId="0" fontId="0" fillId="0" borderId="0" xfId="0" applyFont="1" applyBorder="1" applyAlignment="1">
      <alignment vertical="center"/>
    </xf>
    <xf numFmtId="171" fontId="112" fillId="0" borderId="0" xfId="28" applyFont="1" applyBorder="1" applyAlignment="1">
      <alignment horizontal="left"/>
    </xf>
    <xf numFmtId="0" fontId="4" fillId="0" borderId="0" xfId="0" applyFont="1" applyBorder="1" applyAlignment="1">
      <alignment/>
    </xf>
    <xf numFmtId="0" fontId="4" fillId="0" borderId="0" xfId="0" applyFont="1" applyAlignment="1">
      <alignment/>
    </xf>
    <xf numFmtId="0" fontId="1" fillId="34" borderId="10" xfId="0" applyFont="1" applyFill="1" applyBorder="1" applyAlignment="1">
      <alignment horizontal="center" vertical="center" wrapText="1"/>
    </xf>
    <xf numFmtId="0" fontId="1" fillId="35" borderId="10" xfId="0" applyFont="1" applyFill="1" applyBorder="1" applyAlignment="1">
      <alignment/>
    </xf>
    <xf numFmtId="0" fontId="1" fillId="35" borderId="10" xfId="0" applyFont="1" applyFill="1" applyBorder="1" applyAlignment="1">
      <alignment horizontal="center"/>
    </xf>
    <xf numFmtId="1" fontId="0" fillId="0" borderId="10" xfId="0" applyNumberFormat="1" applyBorder="1" applyAlignment="1">
      <alignment/>
    </xf>
    <xf numFmtId="4" fontId="0" fillId="0" borderId="10" xfId="0" applyNumberFormat="1" applyBorder="1" applyAlignment="1">
      <alignment/>
    </xf>
    <xf numFmtId="174" fontId="0" fillId="0" borderId="10" xfId="28" applyNumberFormat="1" applyFont="1" applyBorder="1" applyAlignment="1">
      <alignment/>
    </xf>
    <xf numFmtId="171" fontId="0" fillId="0" borderId="10" xfId="28" applyFont="1" applyBorder="1" applyAlignment="1">
      <alignment/>
    </xf>
    <xf numFmtId="39" fontId="1" fillId="0" borderId="10" xfId="28" applyNumberFormat="1" applyFont="1" applyBorder="1" applyAlignment="1">
      <alignment/>
    </xf>
    <xf numFmtId="17" fontId="0" fillId="0" borderId="10" xfId="28" applyNumberFormat="1" applyFont="1" applyBorder="1" applyAlignment="1">
      <alignment horizontal="left" wrapText="1"/>
    </xf>
    <xf numFmtId="171" fontId="0" fillId="0" borderId="0" xfId="0" applyNumberFormat="1" applyAlignment="1">
      <alignment/>
    </xf>
    <xf numFmtId="175" fontId="0" fillId="0" borderId="10" xfId="0" applyNumberFormat="1" applyBorder="1" applyAlignment="1">
      <alignment/>
    </xf>
    <xf numFmtId="176" fontId="0" fillId="0" borderId="10" xfId="28" applyNumberFormat="1" applyFont="1" applyBorder="1" applyAlignment="1">
      <alignment horizontal="left" wrapText="1"/>
    </xf>
    <xf numFmtId="0" fontId="0" fillId="0" borderId="0" xfId="0" applyBorder="1" applyAlignment="1">
      <alignment horizontal="center"/>
    </xf>
    <xf numFmtId="174" fontId="0" fillId="0" borderId="0" xfId="0" applyNumberFormat="1" applyBorder="1" applyAlignment="1">
      <alignment/>
    </xf>
    <xf numFmtId="175" fontId="0" fillId="0" borderId="0" xfId="0" applyNumberFormat="1" applyBorder="1" applyAlignment="1">
      <alignment/>
    </xf>
    <xf numFmtId="174" fontId="0" fillId="0" borderId="0" xfId="28" applyNumberFormat="1" applyFont="1" applyBorder="1" applyAlignment="1">
      <alignment/>
    </xf>
    <xf numFmtId="171" fontId="0" fillId="0" borderId="0" xfId="28" applyFont="1" applyBorder="1" applyAlignment="1">
      <alignment/>
    </xf>
    <xf numFmtId="39" fontId="1" fillId="0" borderId="0" xfId="28" applyNumberFormat="1" applyFont="1" applyBorder="1" applyAlignment="1">
      <alignment/>
    </xf>
    <xf numFmtId="171" fontId="0" fillId="0" borderId="0" xfId="28" applyFont="1" applyBorder="1" applyAlignment="1">
      <alignment horizontal="left" wrapText="1"/>
    </xf>
    <xf numFmtId="0" fontId="106" fillId="0" borderId="0" xfId="0" applyFont="1" applyAlignment="1">
      <alignment/>
    </xf>
    <xf numFmtId="0" fontId="0" fillId="0" borderId="0" xfId="0" applyFont="1" applyAlignment="1">
      <alignment/>
    </xf>
    <xf numFmtId="0" fontId="0" fillId="0" borderId="11" xfId="0" applyBorder="1" applyAlignment="1">
      <alignment/>
    </xf>
    <xf numFmtId="0" fontId="0" fillId="0" borderId="12" xfId="0" applyBorder="1" applyAlignment="1">
      <alignment/>
    </xf>
    <xf numFmtId="0" fontId="105" fillId="0" borderId="0" xfId="0" applyFont="1" applyAlignment="1">
      <alignment/>
    </xf>
    <xf numFmtId="0" fontId="137" fillId="0" borderId="0" xfId="0" applyFont="1" applyAlignment="1">
      <alignment/>
    </xf>
    <xf numFmtId="172" fontId="137" fillId="0" borderId="0" xfId="0" applyNumberFormat="1" applyFont="1" applyAlignment="1">
      <alignment/>
    </xf>
    <xf numFmtId="0" fontId="0" fillId="0" borderId="13" xfId="0" applyBorder="1" applyAlignment="1">
      <alignment/>
    </xf>
    <xf numFmtId="0" fontId="0" fillId="0" borderId="14" xfId="0" applyBorder="1" applyAlignment="1">
      <alignment/>
    </xf>
    <xf numFmtId="0" fontId="0" fillId="0" borderId="15" xfId="0" applyBorder="1" applyAlignment="1">
      <alignment/>
    </xf>
    <xf numFmtId="0" fontId="137" fillId="0" borderId="15" xfId="0" applyFont="1" applyBorder="1" applyAlignment="1">
      <alignment/>
    </xf>
    <xf numFmtId="0" fontId="137" fillId="0" borderId="13" xfId="0" applyFont="1" applyBorder="1" applyAlignment="1">
      <alignment/>
    </xf>
    <xf numFmtId="0" fontId="137" fillId="0" borderId="14" xfId="0" applyFont="1" applyBorder="1" applyAlignment="1">
      <alignment/>
    </xf>
    <xf numFmtId="0" fontId="137" fillId="0" borderId="11" xfId="0" applyFont="1" applyBorder="1" applyAlignment="1">
      <alignment/>
    </xf>
    <xf numFmtId="0" fontId="137" fillId="0" borderId="0" xfId="0" applyFont="1" applyBorder="1" applyAlignment="1">
      <alignment/>
    </xf>
    <xf numFmtId="0" fontId="137" fillId="0" borderId="12" xfId="0" applyFont="1" applyBorder="1" applyAlignment="1">
      <alignment/>
    </xf>
    <xf numFmtId="0" fontId="5" fillId="0" borderId="0" xfId="0" applyFont="1" applyAlignment="1">
      <alignment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2" xfId="0" applyBorder="1" applyAlignment="1">
      <alignment wrapText="1"/>
    </xf>
    <xf numFmtId="0" fontId="135" fillId="0" borderId="16" xfId="0" applyFont="1" applyFill="1" applyBorder="1" applyAlignment="1">
      <alignment/>
    </xf>
    <xf numFmtId="0" fontId="135" fillId="0" borderId="17" xfId="0" applyFont="1" applyFill="1" applyBorder="1" applyAlignment="1">
      <alignment/>
    </xf>
    <xf numFmtId="0" fontId="135" fillId="0" borderId="18" xfId="0" applyFont="1" applyFill="1" applyBorder="1" applyAlignment="1">
      <alignment/>
    </xf>
    <xf numFmtId="0" fontId="136" fillId="0" borderId="0" xfId="0" applyFont="1" applyAlignment="1">
      <alignment/>
    </xf>
    <xf numFmtId="4" fontId="136" fillId="0" borderId="0" xfId="0" applyNumberFormat="1" applyFont="1" applyAlignment="1">
      <alignment/>
    </xf>
    <xf numFmtId="0" fontId="104" fillId="0" borderId="0" xfId="0" applyFont="1" applyAlignment="1">
      <alignment/>
    </xf>
    <xf numFmtId="0" fontId="103" fillId="0" borderId="0" xfId="0" applyFont="1" applyAlignment="1">
      <alignment/>
    </xf>
    <xf numFmtId="0" fontId="108" fillId="34" borderId="10" xfId="0" applyFont="1" applyFill="1" applyBorder="1" applyAlignment="1">
      <alignment horizontal="center" vertical="center"/>
    </xf>
    <xf numFmtId="0" fontId="112" fillId="0" borderId="10" xfId="0" applyFont="1" applyBorder="1" applyAlignment="1">
      <alignment horizontal="center"/>
    </xf>
    <xf numFmtId="0" fontId="112" fillId="0" borderId="10" xfId="0" applyFont="1" applyBorder="1" applyAlignment="1">
      <alignment horizontal="center" vertical="center"/>
    </xf>
    <xf numFmtId="0" fontId="112" fillId="0" borderId="15" xfId="0" applyFont="1" applyBorder="1" applyAlignment="1">
      <alignment/>
    </xf>
    <xf numFmtId="0" fontId="112" fillId="0" borderId="13" xfId="0" applyFont="1" applyBorder="1" applyAlignment="1">
      <alignment/>
    </xf>
    <xf numFmtId="0" fontId="112" fillId="0" borderId="14" xfId="0" applyFont="1" applyBorder="1" applyAlignment="1">
      <alignment/>
    </xf>
    <xf numFmtId="0" fontId="112" fillId="0" borderId="16" xfId="0" applyFont="1" applyBorder="1" applyAlignment="1">
      <alignment/>
    </xf>
    <xf numFmtId="0" fontId="112" fillId="0" borderId="17" xfId="0" applyFont="1" applyBorder="1" applyAlignment="1">
      <alignment/>
    </xf>
    <xf numFmtId="0" fontId="112" fillId="0" borderId="18" xfId="0" applyFont="1" applyBorder="1" applyAlignment="1">
      <alignment/>
    </xf>
    <xf numFmtId="0" fontId="136" fillId="0" borderId="11" xfId="0" applyFont="1" applyBorder="1" applyAlignment="1">
      <alignment/>
    </xf>
    <xf numFmtId="0" fontId="136" fillId="0" borderId="0" xfId="0" applyFont="1" applyBorder="1" applyAlignment="1">
      <alignment/>
    </xf>
    <xf numFmtId="0" fontId="136" fillId="0" borderId="12" xfId="0" applyFont="1" applyBorder="1" applyAlignment="1">
      <alignment/>
    </xf>
    <xf numFmtId="0" fontId="104" fillId="0" borderId="19" xfId="0" applyFont="1" applyBorder="1" applyAlignment="1">
      <alignment horizontal="center" vertical="center"/>
    </xf>
    <xf numFmtId="0" fontId="104" fillId="0" borderId="19" xfId="0" applyFont="1" applyBorder="1" applyAlignment="1">
      <alignment vertical="center"/>
    </xf>
    <xf numFmtId="0" fontId="114" fillId="0" borderId="20" xfId="0" applyFont="1" applyFill="1" applyBorder="1" applyAlignment="1">
      <alignment horizontal="left" vertical="center" wrapText="1"/>
    </xf>
    <xf numFmtId="0" fontId="114" fillId="0" borderId="21" xfId="0" applyFont="1" applyFill="1" applyBorder="1" applyAlignment="1">
      <alignment horizontal="left" vertical="center" wrapText="1"/>
    </xf>
    <xf numFmtId="0" fontId="114" fillId="0" borderId="21" xfId="0" applyFont="1" applyFill="1" applyBorder="1" applyAlignment="1">
      <alignment vertical="center" wrapText="1"/>
    </xf>
    <xf numFmtId="0" fontId="114" fillId="0" borderId="21" xfId="0" applyFont="1" applyBorder="1" applyAlignment="1">
      <alignment horizontal="left" vertical="center"/>
    </xf>
    <xf numFmtId="2" fontId="114" fillId="0" borderId="21" xfId="0" applyNumberFormat="1" applyFont="1" applyBorder="1" applyAlignment="1">
      <alignment horizontal="center" vertical="center"/>
    </xf>
    <xf numFmtId="2" fontId="114" fillId="0" borderId="22" xfId="0" applyNumberFormat="1" applyFont="1" applyBorder="1" applyAlignment="1">
      <alignment horizontal="center" vertical="center"/>
    </xf>
    <xf numFmtId="0" fontId="104" fillId="0" borderId="11" xfId="0" applyFont="1" applyBorder="1" applyAlignment="1">
      <alignment/>
    </xf>
    <xf numFmtId="0" fontId="104" fillId="0" borderId="0" xfId="0" applyFont="1" applyBorder="1" applyAlignment="1">
      <alignment/>
    </xf>
    <xf numFmtId="0" fontId="111" fillId="0" borderId="0" xfId="0" applyFont="1" applyBorder="1" applyAlignment="1">
      <alignment/>
    </xf>
    <xf numFmtId="0" fontId="111" fillId="0" borderId="12" xfId="0" applyFont="1" applyBorder="1" applyAlignment="1">
      <alignment/>
    </xf>
    <xf numFmtId="0" fontId="104" fillId="0" borderId="16" xfId="0" applyFont="1" applyBorder="1" applyAlignment="1">
      <alignment/>
    </xf>
    <xf numFmtId="0" fontId="104" fillId="0" borderId="17" xfId="0" applyFont="1" applyBorder="1" applyAlignment="1">
      <alignment/>
    </xf>
    <xf numFmtId="172" fontId="138" fillId="0" borderId="0" xfId="0" applyNumberFormat="1" applyFont="1" applyFill="1" applyBorder="1" applyAlignment="1">
      <alignment horizontal="center" vertical="center" shrinkToFit="1"/>
    </xf>
    <xf numFmtId="4" fontId="138" fillId="0" borderId="0" xfId="0" applyNumberFormat="1" applyFont="1" applyFill="1" applyBorder="1" applyAlignment="1">
      <alignment horizontal="center" vertical="center" shrinkToFit="1"/>
    </xf>
    <xf numFmtId="0" fontId="100" fillId="34" borderId="10" xfId="0" applyFont="1" applyFill="1" applyBorder="1" applyAlignment="1">
      <alignment horizontal="left" vertical="center"/>
    </xf>
    <xf numFmtId="0" fontId="6" fillId="0" borderId="0" xfId="0" applyFont="1" applyAlignment="1">
      <alignment/>
    </xf>
    <xf numFmtId="0" fontId="99" fillId="0" borderId="0" xfId="0" applyFont="1" applyAlignment="1">
      <alignment/>
    </xf>
    <xf numFmtId="4" fontId="1" fillId="0" borderId="0" xfId="0" applyNumberFormat="1" applyFont="1" applyFill="1" applyBorder="1" applyAlignment="1">
      <alignment vertical="center"/>
    </xf>
    <xf numFmtId="0" fontId="1" fillId="8" borderId="10" xfId="0" applyFont="1" applyFill="1" applyBorder="1" applyAlignment="1">
      <alignment vertical="top" wrapText="1"/>
    </xf>
    <xf numFmtId="0" fontId="1" fillId="8" borderId="10" xfId="45" applyFont="1" applyFill="1" applyBorder="1" applyAlignment="1">
      <alignment horizontal="left" vertical="top"/>
      <protection/>
    </xf>
    <xf numFmtId="0" fontId="1" fillId="8" borderId="10" xfId="45" applyFont="1" applyFill="1" applyBorder="1" applyAlignment="1">
      <alignment horizontal="left" vertical="top" wrapText="1"/>
      <protection/>
    </xf>
    <xf numFmtId="0" fontId="2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/>
    </xf>
    <xf numFmtId="4" fontId="0" fillId="0" borderId="0" xfId="0" applyNumberFormat="1" applyFont="1" applyAlignment="1">
      <alignment/>
    </xf>
    <xf numFmtId="0" fontId="99" fillId="0" borderId="0" xfId="0" applyFont="1" applyAlignment="1">
      <alignment vertical="center"/>
    </xf>
    <xf numFmtId="0" fontId="111" fillId="0" borderId="0" xfId="0" applyFont="1" applyAlignment="1">
      <alignment horizontal="left"/>
    </xf>
    <xf numFmtId="0" fontId="111" fillId="0" borderId="0" xfId="0" applyFont="1" applyAlignment="1">
      <alignment/>
    </xf>
    <xf numFmtId="0" fontId="99" fillId="0" borderId="0" xfId="0" applyFont="1" applyAlignment="1">
      <alignment horizontal="left"/>
    </xf>
    <xf numFmtId="0" fontId="99" fillId="0" borderId="0" xfId="0" applyFont="1" applyAlignment="1">
      <alignment horizontal="left" vertical="center"/>
    </xf>
    <xf numFmtId="0" fontId="99" fillId="0" borderId="10" xfId="44" applyFont="1" applyBorder="1" applyAlignment="1">
      <alignment horizontal="left" vertical="center" wrapText="1"/>
      <protection/>
    </xf>
    <xf numFmtId="0" fontId="111" fillId="0" borderId="10" xfId="44" applyFont="1" applyBorder="1" applyAlignment="1">
      <alignment horizontal="left" vertical="center" wrapText="1"/>
      <protection/>
    </xf>
    <xf numFmtId="0" fontId="130" fillId="0" borderId="10" xfId="0" applyFont="1" applyBorder="1" applyAlignment="1">
      <alignment horizontal="left" vertical="center"/>
    </xf>
    <xf numFmtId="0" fontId="111" fillId="0" borderId="10" xfId="0" applyFont="1" applyBorder="1" applyAlignment="1">
      <alignment horizontal="left" vertical="center"/>
    </xf>
    <xf numFmtId="0" fontId="99" fillId="36" borderId="10" xfId="0" applyFont="1" applyFill="1" applyBorder="1" applyAlignment="1">
      <alignment horizontal="center" vertical="center"/>
    </xf>
    <xf numFmtId="0" fontId="99" fillId="0" borderId="10" xfId="44" applyFont="1" applyBorder="1" applyAlignment="1" quotePrefix="1">
      <alignment horizontal="left" vertical="center" wrapText="1"/>
      <protection/>
    </xf>
    <xf numFmtId="0" fontId="99" fillId="0" borderId="10" xfId="44" applyFont="1" applyBorder="1" applyAlignment="1">
      <alignment horizontal="left" vertical="center"/>
      <protection/>
    </xf>
    <xf numFmtId="0" fontId="99" fillId="0" borderId="10" xfId="0" applyFont="1" applyBorder="1" applyAlignment="1">
      <alignment horizontal="left"/>
    </xf>
    <xf numFmtId="0" fontId="99" fillId="0" borderId="0" xfId="0" applyFont="1" applyAlignment="1">
      <alignment horizontal="center"/>
    </xf>
    <xf numFmtId="0" fontId="99" fillId="36" borderId="0" xfId="0" applyFont="1" applyFill="1" applyAlignment="1">
      <alignment horizontal="left" vertical="center"/>
    </xf>
    <xf numFmtId="0" fontId="99" fillId="36" borderId="10" xfId="0" applyFont="1" applyFill="1" applyBorder="1" applyAlignment="1">
      <alignment horizontal="left" vertical="center"/>
    </xf>
    <xf numFmtId="0" fontId="111" fillId="0" borderId="10" xfId="0" applyFont="1" applyBorder="1" applyAlignment="1">
      <alignment horizontal="left" vertical="center" shrinkToFit="1"/>
    </xf>
    <xf numFmtId="0" fontId="111" fillId="0" borderId="10" xfId="0" applyFont="1" applyBorder="1" applyAlignment="1">
      <alignment horizontal="left" vertical="center" wrapText="1"/>
    </xf>
    <xf numFmtId="2" fontId="99" fillId="0" borderId="0" xfId="0" applyNumberFormat="1" applyFont="1" applyAlignment="1">
      <alignment horizontal="center" vertical="center"/>
    </xf>
    <xf numFmtId="2" fontId="99" fillId="0" borderId="0" xfId="0" applyNumberFormat="1" applyFont="1" applyAlignment="1">
      <alignment horizontal="center"/>
    </xf>
    <xf numFmtId="0" fontId="99" fillId="0" borderId="0" xfId="0" applyFont="1" applyAlignment="1">
      <alignment horizontal="center" vertical="center"/>
    </xf>
    <xf numFmtId="0" fontId="99" fillId="36" borderId="10" xfId="0" applyFont="1" applyFill="1" applyBorder="1" applyAlignment="1">
      <alignment horizontal="center"/>
    </xf>
    <xf numFmtId="0" fontId="111" fillId="36" borderId="10" xfId="0" applyFont="1" applyFill="1" applyBorder="1" applyAlignment="1">
      <alignment horizontal="left" vertical="center"/>
    </xf>
    <xf numFmtId="0" fontId="111" fillId="36" borderId="10" xfId="44" applyFont="1" applyFill="1" applyBorder="1" applyAlignment="1">
      <alignment horizontal="left" vertical="center" wrapText="1"/>
      <protection/>
    </xf>
    <xf numFmtId="0" fontId="111" fillId="36" borderId="10" xfId="44" applyFont="1" applyFill="1" applyBorder="1" applyAlignment="1">
      <alignment horizontal="left" vertical="center"/>
      <protection/>
    </xf>
    <xf numFmtId="0" fontId="99" fillId="36" borderId="10" xfId="0" applyFont="1" applyFill="1" applyBorder="1" applyAlignment="1">
      <alignment horizontal="left"/>
    </xf>
    <xf numFmtId="0" fontId="130" fillId="36" borderId="10" xfId="0" applyFont="1" applyFill="1" applyBorder="1" applyAlignment="1">
      <alignment horizontal="left" vertical="center"/>
    </xf>
    <xf numFmtId="0" fontId="99" fillId="37" borderId="10" xfId="0" applyFont="1" applyFill="1" applyBorder="1" applyAlignment="1">
      <alignment horizontal="left" vertical="top" wrapText="1"/>
    </xf>
    <xf numFmtId="0" fontId="99" fillId="37" borderId="10" xfId="0" applyFont="1" applyFill="1" applyBorder="1" applyAlignment="1">
      <alignment horizontal="left" vertical="top"/>
    </xf>
    <xf numFmtId="2" fontId="130" fillId="38" borderId="10" xfId="0" applyNumberFormat="1" applyFont="1" applyFill="1" applyBorder="1" applyAlignment="1">
      <alignment horizontal="left" vertical="center"/>
    </xf>
    <xf numFmtId="1" fontId="99" fillId="36" borderId="10" xfId="0" applyNumberFormat="1" applyFont="1" applyFill="1" applyBorder="1" applyAlignment="1">
      <alignment horizontal="left" vertical="center"/>
    </xf>
    <xf numFmtId="2" fontId="99" fillId="36" borderId="10" xfId="0" applyNumberFormat="1" applyFont="1" applyFill="1" applyBorder="1" applyAlignment="1">
      <alignment horizontal="left" vertical="center"/>
    </xf>
    <xf numFmtId="0" fontId="140" fillId="36" borderId="10" xfId="0" applyFont="1" applyFill="1" applyBorder="1" applyAlignment="1">
      <alignment horizontal="left" wrapText="1"/>
    </xf>
    <xf numFmtId="0" fontId="141" fillId="36" borderId="10" xfId="0" applyFont="1" applyFill="1" applyBorder="1" applyAlignment="1">
      <alignment horizontal="left"/>
    </xf>
    <xf numFmtId="0" fontId="141" fillId="36" borderId="10" xfId="0" applyFont="1" applyFill="1" applyBorder="1" applyAlignment="1">
      <alignment horizontal="left" vertical="center"/>
    </xf>
    <xf numFmtId="2" fontId="111" fillId="0" borderId="10" xfId="0" applyNumberFormat="1" applyFont="1" applyBorder="1" applyAlignment="1">
      <alignment horizontal="left" vertical="center"/>
    </xf>
    <xf numFmtId="0" fontId="104" fillId="0" borderId="10" xfId="0" applyFont="1" applyFill="1" applyBorder="1" applyAlignment="1">
      <alignment horizontal="center" vertical="center" wrapText="1"/>
    </xf>
    <xf numFmtId="0" fontId="104" fillId="0" borderId="23" xfId="0" applyFont="1" applyFill="1" applyBorder="1" applyAlignment="1">
      <alignment horizontal="center" vertical="center" wrapText="1"/>
    </xf>
    <xf numFmtId="0" fontId="104" fillId="0" borderId="24" xfId="0" applyFont="1" applyFill="1" applyBorder="1" applyAlignment="1">
      <alignment horizontal="center" vertical="center" wrapText="1"/>
    </xf>
    <xf numFmtId="0" fontId="104" fillId="0" borderId="10" xfId="0" applyFont="1" applyBorder="1" applyAlignment="1">
      <alignment/>
    </xf>
    <xf numFmtId="4" fontId="139" fillId="0" borderId="10" xfId="0" applyNumberFormat="1" applyFont="1" applyFill="1" applyBorder="1" applyAlignment="1">
      <alignment horizontal="center" vertical="center" shrinkToFit="1"/>
    </xf>
    <xf numFmtId="4" fontId="139" fillId="38" borderId="10" xfId="0" applyNumberFormat="1" applyFont="1" applyFill="1" applyBorder="1" applyAlignment="1">
      <alignment horizontal="center" vertical="center" shrinkToFit="1"/>
    </xf>
    <xf numFmtId="0" fontId="100" fillId="8" borderId="10" xfId="0" applyFont="1" applyFill="1" applyBorder="1" applyAlignment="1">
      <alignment horizontal="center" vertical="center" wrapText="1"/>
    </xf>
    <xf numFmtId="0" fontId="100" fillId="34" borderId="10" xfId="0" applyFont="1" applyFill="1" applyBorder="1" applyAlignment="1">
      <alignment horizontal="center" vertical="center"/>
    </xf>
    <xf numFmtId="1" fontId="139" fillId="34" borderId="10" xfId="0" applyNumberFormat="1" applyFont="1" applyFill="1" applyBorder="1" applyAlignment="1">
      <alignment horizontal="center" vertical="center" shrinkToFit="1"/>
    </xf>
    <xf numFmtId="0" fontId="100" fillId="34" borderId="10" xfId="0" applyFont="1" applyFill="1" applyBorder="1" applyAlignment="1">
      <alignment horizontal="center" vertical="center" wrapText="1"/>
    </xf>
    <xf numFmtId="4" fontId="101" fillId="34" borderId="10" xfId="0" applyNumberFormat="1" applyFont="1" applyFill="1" applyBorder="1" applyAlignment="1">
      <alignment horizontal="center" vertical="center" shrinkToFit="1"/>
    </xf>
    <xf numFmtId="172" fontId="101" fillId="34" borderId="10" xfId="0" applyNumberFormat="1" applyFont="1" applyFill="1" applyBorder="1" applyAlignment="1">
      <alignment horizontal="center" vertical="center" shrinkToFit="1"/>
    </xf>
    <xf numFmtId="0" fontId="100" fillId="0" borderId="10" xfId="0" applyFont="1" applyBorder="1" applyAlignment="1">
      <alignment horizontal="center" vertical="center"/>
    </xf>
    <xf numFmtId="1" fontId="139" fillId="0" borderId="10" xfId="0" applyNumberFormat="1" applyFont="1" applyFill="1" applyBorder="1" applyAlignment="1">
      <alignment horizontal="center" vertical="center" shrinkToFit="1"/>
    </xf>
    <xf numFmtId="0" fontId="100" fillId="0" borderId="10" xfId="0" applyFont="1" applyFill="1" applyBorder="1" applyAlignment="1">
      <alignment horizontal="left" vertical="center" wrapText="1"/>
    </xf>
    <xf numFmtId="0" fontId="100" fillId="0" borderId="10" xfId="0" applyFont="1" applyFill="1" applyBorder="1" applyAlignment="1">
      <alignment horizontal="center" vertical="center" wrapText="1"/>
    </xf>
    <xf numFmtId="4" fontId="101" fillId="0" borderId="10" xfId="0" applyNumberFormat="1" applyFont="1" applyFill="1" applyBorder="1" applyAlignment="1">
      <alignment horizontal="center" vertical="center" shrinkToFit="1"/>
    </xf>
    <xf numFmtId="4" fontId="139" fillId="36" borderId="10" xfId="0" applyNumberFormat="1" applyFont="1" applyFill="1" applyBorder="1" applyAlignment="1">
      <alignment horizontal="center" vertical="center" shrinkToFit="1"/>
    </xf>
    <xf numFmtId="0" fontId="100" fillId="38" borderId="10" xfId="0" applyFont="1" applyFill="1" applyBorder="1" applyAlignment="1">
      <alignment horizontal="center" vertical="center"/>
    </xf>
    <xf numFmtId="4" fontId="101" fillId="38" borderId="10" xfId="0" applyNumberFormat="1" applyFont="1" applyFill="1" applyBorder="1" applyAlignment="1">
      <alignment horizontal="center" vertical="center" shrinkToFit="1"/>
    </xf>
    <xf numFmtId="1" fontId="143" fillId="0" borderId="10" xfId="0" applyNumberFormat="1" applyFont="1" applyFill="1" applyBorder="1" applyAlignment="1">
      <alignment horizontal="center" vertical="center"/>
    </xf>
    <xf numFmtId="0" fontId="104" fillId="0" borderId="10" xfId="0" applyFont="1" applyBorder="1" applyAlignment="1">
      <alignment horizontal="center"/>
    </xf>
    <xf numFmtId="0" fontId="100" fillId="0" borderId="10" xfId="0" applyFont="1" applyFill="1" applyBorder="1" applyAlignment="1">
      <alignment horizontal="left" vertical="center"/>
    </xf>
    <xf numFmtId="4" fontId="100" fillId="0" borderId="10" xfId="0" applyNumberFormat="1" applyFont="1" applyFill="1" applyBorder="1" applyAlignment="1">
      <alignment horizontal="center" vertical="center"/>
    </xf>
    <xf numFmtId="0" fontId="105" fillId="0" borderId="11" xfId="0" applyFont="1" applyBorder="1" applyAlignment="1">
      <alignment horizontal="center" vertical="center" wrapText="1"/>
    </xf>
    <xf numFmtId="0" fontId="105" fillId="0" borderId="11" xfId="0" applyFont="1" applyBorder="1" applyAlignment="1">
      <alignment horizontal="center" vertical="center"/>
    </xf>
    <xf numFmtId="0" fontId="111" fillId="0" borderId="25" xfId="0" applyFont="1" applyBorder="1" applyAlignment="1">
      <alignment horizontal="center" vertical="center"/>
    </xf>
    <xf numFmtId="2" fontId="111" fillId="0" borderId="25" xfId="0" applyNumberFormat="1" applyFont="1" applyFill="1" applyBorder="1" applyAlignment="1" applyProtection="1">
      <alignment horizontal="center" vertical="center" wrapText="1"/>
      <protection/>
    </xf>
    <xf numFmtId="0" fontId="107" fillId="39" borderId="10" xfId="0" applyFont="1" applyFill="1" applyBorder="1" applyAlignment="1">
      <alignment horizontal="center" vertical="center" wrapText="1"/>
    </xf>
    <xf numFmtId="0" fontId="111" fillId="0" borderId="11" xfId="0" applyFont="1" applyBorder="1" applyAlignment="1">
      <alignment vertical="center"/>
    </xf>
    <xf numFmtId="0" fontId="111" fillId="0" borderId="0" xfId="0" applyFont="1" applyBorder="1" applyAlignment="1">
      <alignment vertical="center"/>
    </xf>
    <xf numFmtId="0" fontId="111" fillId="0" borderId="12" xfId="0" applyFont="1" applyBorder="1" applyAlignment="1">
      <alignment vertical="center"/>
    </xf>
    <xf numFmtId="4" fontId="108" fillId="39" borderId="10" xfId="0" applyNumberFormat="1" applyFont="1" applyFill="1" applyBorder="1" applyAlignment="1">
      <alignment horizontal="center" vertical="center" wrapText="1"/>
    </xf>
    <xf numFmtId="0" fontId="6" fillId="0" borderId="10" xfId="45" applyFont="1" applyBorder="1" applyAlignment="1">
      <alignment horizontal="left" vertical="top"/>
      <protection/>
    </xf>
    <xf numFmtId="0" fontId="6" fillId="0" borderId="10" xfId="45" applyFont="1" applyBorder="1" applyAlignment="1">
      <alignment horizontal="left" vertical="top" wrapText="1"/>
      <protection/>
    </xf>
    <xf numFmtId="4" fontId="6" fillId="0" borderId="10" xfId="45" applyNumberFormat="1" applyFont="1" applyBorder="1" applyAlignment="1">
      <alignment horizontal="left" vertical="top"/>
      <protection/>
    </xf>
    <xf numFmtId="4" fontId="0" fillId="0" borderId="0" xfId="0" applyNumberFormat="1" applyAlignment="1">
      <alignment/>
    </xf>
    <xf numFmtId="0" fontId="0" fillId="0" borderId="0" xfId="0" applyFill="1" applyAlignment="1">
      <alignment/>
    </xf>
    <xf numFmtId="0" fontId="1" fillId="0" borderId="0" xfId="0" applyFont="1" applyFill="1" applyAlignment="1">
      <alignment/>
    </xf>
    <xf numFmtId="0" fontId="1" fillId="0" borderId="0" xfId="0" applyFont="1" applyAlignment="1">
      <alignment/>
    </xf>
    <xf numFmtId="0" fontId="99" fillId="0" borderId="25" xfId="0" applyFont="1" applyBorder="1" applyAlignment="1">
      <alignment horizontal="center" vertical="center"/>
    </xf>
    <xf numFmtId="0" fontId="99" fillId="0" borderId="25" xfId="0" applyFont="1" applyBorder="1" applyAlignment="1">
      <alignment vertical="center"/>
    </xf>
    <xf numFmtId="4" fontId="99" fillId="0" borderId="25" xfId="0" applyNumberFormat="1" applyFont="1" applyBorder="1" applyAlignment="1">
      <alignment horizontal="center" vertical="center"/>
    </xf>
    <xf numFmtId="2" fontId="99" fillId="0" borderId="25" xfId="0" applyNumberFormat="1" applyFont="1" applyBorder="1" applyAlignment="1">
      <alignment horizontal="center" vertical="center"/>
    </xf>
    <xf numFmtId="2" fontId="101" fillId="0" borderId="10" xfId="0" applyNumberFormat="1" applyFont="1" applyFill="1" applyBorder="1" applyAlignment="1">
      <alignment horizontal="center" vertical="center" shrinkToFit="1"/>
    </xf>
    <xf numFmtId="4" fontId="2" fillId="8" borderId="10" xfId="45" applyNumberFormat="1" applyFont="1" applyFill="1" applyBorder="1" applyAlignment="1">
      <alignment horizontal="left" vertical="top"/>
      <protection/>
    </xf>
    <xf numFmtId="0" fontId="2" fillId="0" borderId="10" xfId="45" applyFont="1" applyBorder="1" applyAlignment="1">
      <alignment horizontal="left" vertical="top" wrapText="1"/>
      <protection/>
    </xf>
    <xf numFmtId="0" fontId="2" fillId="8" borderId="10" xfId="45" applyFont="1" applyFill="1" applyBorder="1" applyAlignment="1">
      <alignment horizontal="left" vertical="top" wrapText="1"/>
      <protection/>
    </xf>
    <xf numFmtId="171" fontId="1" fillId="0" borderId="10" xfId="28" applyFont="1" applyBorder="1" applyAlignment="1">
      <alignment horizontal="center" vertical="top"/>
    </xf>
    <xf numFmtId="0" fontId="99" fillId="0" borderId="10" xfId="0" applyFont="1" applyBorder="1" applyAlignment="1">
      <alignment horizontal="center" vertical="center" wrapText="1"/>
    </xf>
    <xf numFmtId="0" fontId="99" fillId="0" borderId="0" xfId="0" applyFont="1" applyAlignment="1">
      <alignment horizontal="center" vertical="center"/>
    </xf>
    <xf numFmtId="0" fontId="108" fillId="0" borderId="21" xfId="0" applyFont="1" applyBorder="1" applyAlignment="1">
      <alignment horizontal="left" vertical="center"/>
    </xf>
    <xf numFmtId="0" fontId="108" fillId="0" borderId="22" xfId="0" applyFont="1" applyBorder="1" applyAlignment="1">
      <alignment horizontal="left" vertical="center"/>
    </xf>
    <xf numFmtId="0" fontId="142" fillId="0" borderId="0" xfId="0" applyFont="1" applyAlignment="1">
      <alignment/>
    </xf>
    <xf numFmtId="0" fontId="0" fillId="0" borderId="0" xfId="0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08" fillId="0" borderId="0" xfId="0" applyFont="1" applyAlignment="1">
      <alignment horizontal="left" vertical="center"/>
    </xf>
    <xf numFmtId="0" fontId="108" fillId="0" borderId="0" xfId="0" applyFont="1" applyAlignment="1" quotePrefix="1">
      <alignment horizontal="center" vertical="center"/>
    </xf>
    <xf numFmtId="0" fontId="108" fillId="0" borderId="0" xfId="0" applyFont="1" applyAlignment="1">
      <alignment vertical="top" wrapText="1"/>
    </xf>
    <xf numFmtId="0" fontId="108" fillId="0" borderId="0" xfId="0" applyFont="1" applyAlignment="1">
      <alignment horizontal="left"/>
    </xf>
    <xf numFmtId="0" fontId="107" fillId="0" borderId="0" xfId="0" applyFont="1" applyAlignment="1">
      <alignment vertical="center"/>
    </xf>
    <xf numFmtId="0" fontId="108" fillId="0" borderId="0" xfId="0" applyFont="1" applyAlignment="1">
      <alignment/>
    </xf>
    <xf numFmtId="181" fontId="108" fillId="0" borderId="0" xfId="0" applyNumberFormat="1" applyFont="1" applyAlignment="1">
      <alignment/>
    </xf>
    <xf numFmtId="181" fontId="108" fillId="0" borderId="0" xfId="0" applyNumberFormat="1" applyFont="1" applyAlignment="1">
      <alignment horizontal="left"/>
    </xf>
    <xf numFmtId="0" fontId="108" fillId="0" borderId="0" xfId="0" applyFont="1" applyAlignment="1">
      <alignment vertical="center"/>
    </xf>
    <xf numFmtId="0" fontId="108" fillId="0" borderId="0" xfId="0" applyFont="1" applyAlignment="1">
      <alignment vertical="top"/>
    </xf>
    <xf numFmtId="0" fontId="109" fillId="0" borderId="0" xfId="0" applyFont="1" applyAlignment="1">
      <alignment vertical="top"/>
    </xf>
    <xf numFmtId="0" fontId="109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08" fillId="40" borderId="10" xfId="0" applyFont="1" applyFill="1" applyBorder="1" applyAlignment="1">
      <alignment horizontal="center" vertical="center" wrapText="1"/>
    </xf>
    <xf numFmtId="0" fontId="108" fillId="40" borderId="10" xfId="0" applyFont="1" applyFill="1" applyBorder="1" applyAlignment="1">
      <alignment horizontal="center" vertical="center"/>
    </xf>
    <xf numFmtId="0" fontId="108" fillId="40" borderId="22" xfId="0" applyFont="1" applyFill="1" applyBorder="1" applyAlignment="1">
      <alignment horizontal="center" vertical="center"/>
    </xf>
    <xf numFmtId="0" fontId="108" fillId="40" borderId="20" xfId="0" applyFont="1" applyFill="1" applyBorder="1" applyAlignment="1">
      <alignment horizontal="center" vertical="center"/>
    </xf>
    <xf numFmtId="0" fontId="109" fillId="0" borderId="0" xfId="0" applyFont="1" applyAlignment="1">
      <alignment horizontal="left" vertical="center" wrapText="1"/>
    </xf>
    <xf numFmtId="2" fontId="109" fillId="0" borderId="0" xfId="0" applyNumberFormat="1" applyFont="1" applyAlignment="1">
      <alignment horizontal="center" vertical="center"/>
    </xf>
    <xf numFmtId="1" fontId="10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/>
    </xf>
    <xf numFmtId="0" fontId="135" fillId="0" borderId="0" xfId="0" applyFont="1" applyAlignment="1">
      <alignment/>
    </xf>
    <xf numFmtId="49" fontId="0" fillId="0" borderId="0" xfId="0" applyNumberFormat="1" applyFont="1" applyAlignment="1">
      <alignment/>
    </xf>
    <xf numFmtId="179" fontId="0" fillId="0" borderId="0" xfId="0" applyNumberFormat="1" applyAlignment="1">
      <alignment/>
    </xf>
    <xf numFmtId="14" fontId="0" fillId="0" borderId="0" xfId="0" applyNumberFormat="1" applyAlignment="1">
      <alignment/>
    </xf>
    <xf numFmtId="0" fontId="0" fillId="0" borderId="0" xfId="0" applyFont="1" applyAlignment="1">
      <alignment wrapText="1"/>
    </xf>
    <xf numFmtId="2" fontId="0" fillId="0" borderId="0" xfId="0" applyNumberFormat="1" applyAlignment="1">
      <alignment/>
    </xf>
    <xf numFmtId="0" fontId="0" fillId="0" borderId="0" xfId="45">
      <alignment/>
      <protection/>
    </xf>
    <xf numFmtId="0" fontId="2" fillId="0" borderId="0" xfId="45" applyFont="1">
      <alignment/>
      <protection/>
    </xf>
    <xf numFmtId="0" fontId="6" fillId="0" borderId="0" xfId="45" applyFont="1">
      <alignment/>
      <protection/>
    </xf>
    <xf numFmtId="0" fontId="2" fillId="0" borderId="0" xfId="45" applyFont="1" applyAlignment="1">
      <alignment vertical="center"/>
      <protection/>
    </xf>
    <xf numFmtId="171" fontId="1" fillId="8" borderId="10" xfId="45" applyNumberFormat="1" applyFont="1" applyFill="1" applyBorder="1">
      <alignment/>
      <protection/>
    </xf>
    <xf numFmtId="0" fontId="1" fillId="8" borderId="10" xfId="45" applyFont="1" applyFill="1" applyBorder="1">
      <alignment/>
      <protection/>
    </xf>
    <xf numFmtId="4" fontId="1" fillId="0" borderId="0" xfId="45" applyNumberFormat="1" applyFont="1" applyAlignment="1">
      <alignment vertical="center"/>
      <protection/>
    </xf>
    <xf numFmtId="171" fontId="1" fillId="0" borderId="10" xfId="30" applyFont="1" applyBorder="1" applyAlignment="1">
      <alignment/>
    </xf>
    <xf numFmtId="0" fontId="1" fillId="8" borderId="10" xfId="45" applyFont="1" applyFill="1" applyBorder="1" applyAlignment="1">
      <alignment vertical="top" wrapText="1"/>
      <protection/>
    </xf>
    <xf numFmtId="0" fontId="99" fillId="0" borderId="0" xfId="45" applyFont="1">
      <alignment/>
      <protection/>
    </xf>
    <xf numFmtId="0" fontId="99" fillId="0" borderId="0" xfId="45" applyFont="1" applyAlignment="1">
      <alignment vertical="center"/>
      <protection/>
    </xf>
    <xf numFmtId="2" fontId="99" fillId="0" borderId="0" xfId="45" applyNumberFormat="1" applyFont="1" applyAlignment="1">
      <alignment horizontal="center" vertical="center"/>
      <protection/>
    </xf>
    <xf numFmtId="0" fontId="111" fillId="0" borderId="0" xfId="45" applyFont="1">
      <alignment/>
      <protection/>
    </xf>
    <xf numFmtId="0" fontId="99" fillId="0" borderId="0" xfId="45" applyFont="1" applyAlignment="1">
      <alignment horizontal="left"/>
      <protection/>
    </xf>
    <xf numFmtId="2" fontId="99" fillId="0" borderId="0" xfId="45" applyNumberFormat="1" applyFont="1" applyAlignment="1">
      <alignment horizontal="center"/>
      <protection/>
    </xf>
    <xf numFmtId="2" fontId="99" fillId="36" borderId="10" xfId="45" applyNumberFormat="1" applyFont="1" applyFill="1" applyBorder="1" applyAlignment="1">
      <alignment horizontal="left" vertical="center"/>
      <protection/>
    </xf>
    <xf numFmtId="0" fontId="99" fillId="36" borderId="10" xfId="45" applyFont="1" applyFill="1" applyBorder="1" applyAlignment="1">
      <alignment horizontal="left" vertical="center"/>
      <protection/>
    </xf>
    <xf numFmtId="2" fontId="111" fillId="0" borderId="10" xfId="45" applyNumberFormat="1" applyFont="1" applyBorder="1" applyAlignment="1">
      <alignment horizontal="left" vertical="center"/>
      <protection/>
    </xf>
    <xf numFmtId="0" fontId="111" fillId="0" borderId="10" xfId="45" applyFont="1" applyBorder="1" applyAlignment="1">
      <alignment horizontal="left" vertical="center" wrapText="1"/>
      <protection/>
    </xf>
    <xf numFmtId="0" fontId="99" fillId="0" borderId="0" xfId="45" applyFont="1" applyAlignment="1">
      <alignment horizontal="center"/>
      <protection/>
    </xf>
    <xf numFmtId="0" fontId="99" fillId="0" borderId="0" xfId="45" applyFont="1" applyAlignment="1">
      <alignment horizontal="center" vertical="center"/>
      <protection/>
    </xf>
    <xf numFmtId="0" fontId="111" fillId="0" borderId="10" xfId="45" applyFont="1" applyBorder="1" applyAlignment="1">
      <alignment horizontal="left" vertical="center"/>
      <protection/>
    </xf>
    <xf numFmtId="0" fontId="111" fillId="0" borderId="10" xfId="45" applyFont="1" applyBorder="1" applyAlignment="1">
      <alignment horizontal="left" vertical="center" shrinkToFit="1"/>
      <protection/>
    </xf>
    <xf numFmtId="0" fontId="99" fillId="0" borderId="0" xfId="45" applyFont="1" applyAlignment="1">
      <alignment horizontal="left" vertical="center"/>
      <protection/>
    </xf>
    <xf numFmtId="0" fontId="99" fillId="36" borderId="0" xfId="45" applyFont="1" applyFill="1" applyAlignment="1">
      <alignment horizontal="left" vertical="center"/>
      <protection/>
    </xf>
    <xf numFmtId="0" fontId="141" fillId="36" borderId="10" xfId="45" applyFont="1" applyFill="1" applyBorder="1" applyAlignment="1">
      <alignment horizontal="left"/>
      <protection/>
    </xf>
    <xf numFmtId="0" fontId="141" fillId="36" borderId="10" xfId="45" applyFont="1" applyFill="1" applyBorder="1" applyAlignment="1">
      <alignment horizontal="left" vertical="center"/>
      <protection/>
    </xf>
    <xf numFmtId="0" fontId="99" fillId="36" borderId="10" xfId="45" applyFont="1" applyFill="1" applyBorder="1" applyAlignment="1">
      <alignment horizontal="left"/>
      <protection/>
    </xf>
    <xf numFmtId="0" fontId="99" fillId="36" borderId="10" xfId="45" applyFont="1" applyFill="1" applyBorder="1" applyAlignment="1">
      <alignment horizontal="center"/>
      <protection/>
    </xf>
    <xf numFmtId="0" fontId="99" fillId="0" borderId="10" xfId="45" applyFont="1" applyBorder="1" applyAlignment="1">
      <alignment horizontal="left"/>
      <protection/>
    </xf>
    <xf numFmtId="2" fontId="130" fillId="38" borderId="10" xfId="45" applyNumberFormat="1" applyFont="1" applyFill="1" applyBorder="1" applyAlignment="1">
      <alignment horizontal="left" vertical="center"/>
      <protection/>
    </xf>
    <xf numFmtId="0" fontId="130" fillId="0" borderId="10" xfId="45" applyFont="1" applyBorder="1" applyAlignment="1">
      <alignment horizontal="left" vertical="center"/>
      <protection/>
    </xf>
    <xf numFmtId="0" fontId="140" fillId="36" borderId="10" xfId="45" applyFont="1" applyFill="1" applyBorder="1" applyAlignment="1">
      <alignment horizontal="left" wrapText="1"/>
      <protection/>
    </xf>
    <xf numFmtId="0" fontId="111" fillId="36" borderId="10" xfId="45" applyFont="1" applyFill="1" applyBorder="1" applyAlignment="1">
      <alignment horizontal="left" vertical="center"/>
      <protection/>
    </xf>
    <xf numFmtId="1" fontId="130" fillId="38" borderId="10" xfId="45" applyNumberFormat="1" applyFont="1" applyFill="1" applyBorder="1" applyAlignment="1">
      <alignment horizontal="left" vertical="center"/>
      <protection/>
    </xf>
    <xf numFmtId="1" fontId="99" fillId="36" borderId="10" xfId="45" applyNumberFormat="1" applyFont="1" applyFill="1" applyBorder="1" applyAlignment="1">
      <alignment horizontal="left" vertical="center"/>
      <protection/>
    </xf>
    <xf numFmtId="0" fontId="130" fillId="36" borderId="10" xfId="45" applyFont="1" applyFill="1" applyBorder="1" applyAlignment="1">
      <alignment horizontal="left" vertical="center"/>
      <protection/>
    </xf>
    <xf numFmtId="0" fontId="99" fillId="36" borderId="10" xfId="45" applyFont="1" applyFill="1" applyBorder="1" applyAlignment="1">
      <alignment horizontal="center" vertical="center"/>
      <protection/>
    </xf>
    <xf numFmtId="173" fontId="130" fillId="38" borderId="10" xfId="45" applyNumberFormat="1" applyFont="1" applyFill="1" applyBorder="1" applyAlignment="1">
      <alignment horizontal="left" vertical="center"/>
      <protection/>
    </xf>
    <xf numFmtId="0" fontId="99" fillId="37" borderId="10" xfId="45" applyFont="1" applyFill="1" applyBorder="1" applyAlignment="1">
      <alignment horizontal="left" vertical="top"/>
      <protection/>
    </xf>
    <xf numFmtId="0" fontId="99" fillId="37" borderId="10" xfId="45" applyFont="1" applyFill="1" applyBorder="1" applyAlignment="1">
      <alignment horizontal="left" vertical="top" wrapText="1"/>
      <protection/>
    </xf>
    <xf numFmtId="0" fontId="111" fillId="0" borderId="0" xfId="45" applyFont="1" applyAlignment="1">
      <alignment horizontal="left"/>
      <protection/>
    </xf>
    <xf numFmtId="0" fontId="104" fillId="0" borderId="0" xfId="45" applyFont="1">
      <alignment/>
      <protection/>
    </xf>
    <xf numFmtId="0" fontId="103" fillId="0" borderId="0" xfId="45" applyFont="1">
      <alignment/>
      <protection/>
    </xf>
    <xf numFmtId="0" fontId="136" fillId="0" borderId="0" xfId="45" applyFont="1">
      <alignment/>
      <protection/>
    </xf>
    <xf numFmtId="4" fontId="136" fillId="0" borderId="0" xfId="45" applyNumberFormat="1" applyFont="1">
      <alignment/>
      <protection/>
    </xf>
    <xf numFmtId="4" fontId="139" fillId="38" borderId="10" xfId="45" applyNumberFormat="1" applyFont="1" applyFill="1" applyBorder="1" applyAlignment="1">
      <alignment horizontal="center" vertical="center" shrinkToFit="1"/>
      <protection/>
    </xf>
    <xf numFmtId="4" fontId="139" fillId="0" borderId="10" xfId="45" applyNumberFormat="1" applyFont="1" applyBorder="1" applyAlignment="1">
      <alignment horizontal="center" vertical="center" shrinkToFit="1"/>
      <protection/>
    </xf>
    <xf numFmtId="0" fontId="104" fillId="0" borderId="10" xfId="45" applyFont="1" applyBorder="1">
      <alignment/>
      <protection/>
    </xf>
    <xf numFmtId="2" fontId="101" fillId="0" borderId="10" xfId="45" applyNumberFormat="1" applyFont="1" applyBorder="1" applyAlignment="1">
      <alignment horizontal="center" vertical="center" shrinkToFit="1"/>
      <protection/>
    </xf>
    <xf numFmtId="4" fontId="139" fillId="36" borderId="10" xfId="45" applyNumberFormat="1" applyFont="1" applyFill="1" applyBorder="1" applyAlignment="1">
      <alignment horizontal="center" vertical="center" shrinkToFit="1"/>
      <protection/>
    </xf>
    <xf numFmtId="4" fontId="101" fillId="0" borderId="10" xfId="45" applyNumberFormat="1" applyFont="1" applyBorder="1" applyAlignment="1">
      <alignment horizontal="center" vertical="center" shrinkToFit="1"/>
      <protection/>
    </xf>
    <xf numFmtId="4" fontId="100" fillId="0" borderId="10" xfId="45" applyNumberFormat="1" applyFont="1" applyBorder="1" applyAlignment="1">
      <alignment horizontal="center" vertical="center"/>
      <protection/>
    </xf>
    <xf numFmtId="0" fontId="100" fillId="0" borderId="10" xfId="45" applyFont="1" applyBorder="1" applyAlignment="1">
      <alignment horizontal="center" vertical="center" wrapText="1"/>
      <protection/>
    </xf>
    <xf numFmtId="0" fontId="100" fillId="0" borderId="10" xfId="45" applyFont="1" applyBorder="1" applyAlignment="1">
      <alignment horizontal="left" vertical="center"/>
      <protection/>
    </xf>
    <xf numFmtId="0" fontId="104" fillId="0" borderId="10" xfId="45" applyFont="1" applyBorder="1" applyAlignment="1">
      <alignment horizontal="center"/>
      <protection/>
    </xf>
    <xf numFmtId="172" fontId="138" fillId="0" borderId="0" xfId="45" applyNumberFormat="1" applyFont="1" applyAlignment="1">
      <alignment horizontal="center" vertical="center" shrinkToFit="1"/>
      <protection/>
    </xf>
    <xf numFmtId="172" fontId="101" fillId="34" borderId="10" xfId="45" applyNumberFormat="1" applyFont="1" applyFill="1" applyBorder="1" applyAlignment="1">
      <alignment horizontal="center" vertical="center" shrinkToFit="1"/>
      <protection/>
    </xf>
    <xf numFmtId="4" fontId="101" fillId="34" borderId="10" xfId="45" applyNumberFormat="1" applyFont="1" applyFill="1" applyBorder="1" applyAlignment="1">
      <alignment horizontal="center" vertical="center" shrinkToFit="1"/>
      <protection/>
    </xf>
    <xf numFmtId="0" fontId="100" fillId="34" borderId="10" xfId="45" applyFont="1" applyFill="1" applyBorder="1" applyAlignment="1">
      <alignment horizontal="center" vertical="center" wrapText="1"/>
      <protection/>
    </xf>
    <xf numFmtId="0" fontId="100" fillId="34" borderId="10" xfId="45" applyFont="1" applyFill="1" applyBorder="1" applyAlignment="1">
      <alignment horizontal="left" vertical="center" wrapText="1"/>
      <protection/>
    </xf>
    <xf numFmtId="0" fontId="100" fillId="8" borderId="10" xfId="45" applyFont="1" applyFill="1" applyBorder="1" applyAlignment="1">
      <alignment horizontal="center" vertical="center" wrapText="1"/>
      <protection/>
    </xf>
    <xf numFmtId="0" fontId="104" fillId="0" borderId="24" xfId="45" applyFont="1" applyBorder="1" applyAlignment="1">
      <alignment horizontal="center" vertical="center" wrapText="1"/>
      <protection/>
    </xf>
    <xf numFmtId="0" fontId="104" fillId="0" borderId="23" xfId="45" applyFont="1" applyBorder="1" applyAlignment="1">
      <alignment horizontal="center" vertical="center" wrapText="1"/>
      <protection/>
    </xf>
    <xf numFmtId="0" fontId="104" fillId="0" borderId="10" xfId="45" applyFont="1" applyBorder="1" applyAlignment="1">
      <alignment horizontal="center" vertical="center" wrapText="1"/>
      <protection/>
    </xf>
    <xf numFmtId="0" fontId="137" fillId="0" borderId="0" xfId="45" applyFont="1">
      <alignment/>
      <protection/>
    </xf>
    <xf numFmtId="172" fontId="137" fillId="0" borderId="0" xfId="45" applyNumberFormat="1" applyFont="1">
      <alignment/>
      <protection/>
    </xf>
    <xf numFmtId="0" fontId="112" fillId="0" borderId="10" xfId="45" applyFont="1" applyBorder="1" applyAlignment="1">
      <alignment horizontal="center" vertical="center"/>
      <protection/>
    </xf>
    <xf numFmtId="0" fontId="112" fillId="0" borderId="18" xfId="45" applyFont="1" applyBorder="1">
      <alignment/>
      <protection/>
    </xf>
    <xf numFmtId="0" fontId="112" fillId="0" borderId="17" xfId="45" applyFont="1" applyBorder="1">
      <alignment/>
      <protection/>
    </xf>
    <xf numFmtId="0" fontId="112" fillId="0" borderId="16" xfId="45" applyFont="1" applyBorder="1">
      <alignment/>
      <protection/>
    </xf>
    <xf numFmtId="0" fontId="112" fillId="0" borderId="14" xfId="45" applyFont="1" applyBorder="1">
      <alignment/>
      <protection/>
    </xf>
    <xf numFmtId="0" fontId="112" fillId="0" borderId="13" xfId="45" applyFont="1" applyBorder="1">
      <alignment/>
      <protection/>
    </xf>
    <xf numFmtId="0" fontId="112" fillId="0" borderId="15" xfId="45" applyFont="1" applyBorder="1">
      <alignment/>
      <protection/>
    </xf>
    <xf numFmtId="0" fontId="105" fillId="0" borderId="11" xfId="45" applyFont="1" applyBorder="1" applyAlignment="1">
      <alignment horizontal="center" vertical="center"/>
      <protection/>
    </xf>
    <xf numFmtId="0" fontId="105" fillId="0" borderId="11" xfId="45" applyFont="1" applyBorder="1" applyAlignment="1">
      <alignment horizontal="center" vertical="center" wrapText="1"/>
      <protection/>
    </xf>
    <xf numFmtId="0" fontId="112" fillId="0" borderId="10" xfId="45" applyFont="1" applyBorder="1" applyAlignment="1">
      <alignment horizontal="center"/>
      <protection/>
    </xf>
    <xf numFmtId="4" fontId="0" fillId="0" borderId="0" xfId="45" applyNumberFormat="1">
      <alignment/>
      <protection/>
    </xf>
    <xf numFmtId="0" fontId="108" fillId="34" borderId="10" xfId="45" applyFont="1" applyFill="1" applyBorder="1" applyAlignment="1">
      <alignment horizontal="center" vertical="center"/>
      <protection/>
    </xf>
    <xf numFmtId="0" fontId="105" fillId="0" borderId="0" xfId="45" applyFont="1">
      <alignment/>
      <protection/>
    </xf>
    <xf numFmtId="0" fontId="108" fillId="0" borderId="22" xfId="45" applyFont="1" applyBorder="1" applyAlignment="1">
      <alignment horizontal="left" vertical="center"/>
      <protection/>
    </xf>
    <xf numFmtId="0" fontId="108" fillId="0" borderId="21" xfId="45" applyFont="1" applyBorder="1" applyAlignment="1">
      <alignment horizontal="left" vertical="center"/>
      <protection/>
    </xf>
    <xf numFmtId="0" fontId="137" fillId="0" borderId="12" xfId="45" applyFont="1" applyBorder="1">
      <alignment/>
      <protection/>
    </xf>
    <xf numFmtId="0" fontId="137" fillId="0" borderId="11" xfId="45" applyFont="1" applyBorder="1">
      <alignment/>
      <protection/>
    </xf>
    <xf numFmtId="0" fontId="137" fillId="0" borderId="14" xfId="45" applyFont="1" applyBorder="1">
      <alignment/>
      <protection/>
    </xf>
    <xf numFmtId="0" fontId="137" fillId="0" borderId="13" xfId="45" applyFont="1" applyBorder="1">
      <alignment/>
      <protection/>
    </xf>
    <xf numFmtId="0" fontId="137" fillId="0" borderId="15" xfId="45" applyFont="1" applyBorder="1">
      <alignment/>
      <protection/>
    </xf>
    <xf numFmtId="0" fontId="104" fillId="0" borderId="17" xfId="45" applyFont="1" applyBorder="1">
      <alignment/>
      <protection/>
    </xf>
    <xf numFmtId="0" fontId="104" fillId="0" borderId="16" xfId="45" applyFont="1" applyBorder="1">
      <alignment/>
      <protection/>
    </xf>
    <xf numFmtId="0" fontId="111" fillId="0" borderId="12" xfId="45" applyFont="1" applyBorder="1">
      <alignment/>
      <protection/>
    </xf>
    <xf numFmtId="0" fontId="104" fillId="0" borderId="11" xfId="45" applyFont="1" applyBorder="1">
      <alignment/>
      <protection/>
    </xf>
    <xf numFmtId="2" fontId="114" fillId="0" borderId="22" xfId="45" applyNumberFormat="1" applyFont="1" applyBorder="1" applyAlignment="1">
      <alignment horizontal="center" vertical="center"/>
      <protection/>
    </xf>
    <xf numFmtId="2" fontId="114" fillId="0" borderId="21" xfId="45" applyNumberFormat="1" applyFont="1" applyBorder="1" applyAlignment="1">
      <alignment horizontal="center" vertical="center"/>
      <protection/>
    </xf>
    <xf numFmtId="0" fontId="114" fillId="0" borderId="21" xfId="45" applyFont="1" applyBorder="1" applyAlignment="1">
      <alignment horizontal="left" vertical="center"/>
      <protection/>
    </xf>
    <xf numFmtId="0" fontId="114" fillId="0" borderId="21" xfId="45" applyFont="1" applyBorder="1" applyAlignment="1">
      <alignment vertical="center" wrapText="1"/>
      <protection/>
    </xf>
    <xf numFmtId="0" fontId="114" fillId="0" borderId="21" xfId="45" applyFont="1" applyBorder="1" applyAlignment="1">
      <alignment horizontal="left" vertical="center" wrapText="1"/>
      <protection/>
    </xf>
    <xf numFmtId="0" fontId="114" fillId="0" borderId="20" xfId="45" applyFont="1" applyBorder="1" applyAlignment="1">
      <alignment horizontal="left" vertical="center" wrapText="1"/>
      <protection/>
    </xf>
    <xf numFmtId="4" fontId="108" fillId="39" borderId="10" xfId="45" applyNumberFormat="1" applyFont="1" applyFill="1" applyBorder="1" applyAlignment="1">
      <alignment horizontal="center" vertical="center" wrapText="1"/>
      <protection/>
    </xf>
    <xf numFmtId="0" fontId="107" fillId="39" borderId="10" xfId="45" applyFont="1" applyFill="1" applyBorder="1" applyAlignment="1">
      <alignment horizontal="center" vertical="center" wrapText="1"/>
      <protection/>
    </xf>
    <xf numFmtId="4" fontId="99" fillId="0" borderId="25" xfId="45" applyNumberFormat="1" applyFont="1" applyBorder="1" applyAlignment="1">
      <alignment horizontal="center" vertical="center"/>
      <protection/>
    </xf>
    <xf numFmtId="2" fontId="99" fillId="0" borderId="25" xfId="45" applyNumberFormat="1" applyFont="1" applyBorder="1" applyAlignment="1">
      <alignment horizontal="center" vertical="center"/>
      <protection/>
    </xf>
    <xf numFmtId="0" fontId="99" fillId="0" borderId="25" xfId="45" applyFont="1" applyBorder="1" applyAlignment="1">
      <alignment horizontal="center" vertical="center"/>
      <protection/>
    </xf>
    <xf numFmtId="2" fontId="99" fillId="0" borderId="25" xfId="45" applyNumberFormat="1" applyFont="1" applyBorder="1" applyAlignment="1">
      <alignment horizontal="center" vertical="center" wrapText="1"/>
      <protection/>
    </xf>
    <xf numFmtId="0" fontId="104" fillId="0" borderId="19" xfId="45" applyFont="1" applyBorder="1" applyAlignment="1">
      <alignment vertical="center"/>
      <protection/>
    </xf>
    <xf numFmtId="0" fontId="104" fillId="0" borderId="19" xfId="45" applyFont="1" applyBorder="1" applyAlignment="1">
      <alignment horizontal="center" vertical="center"/>
      <protection/>
    </xf>
    <xf numFmtId="0" fontId="136" fillId="0" borderId="12" xfId="45" applyFont="1" applyBorder="1">
      <alignment/>
      <protection/>
    </xf>
    <xf numFmtId="0" fontId="136" fillId="0" borderId="11" xfId="45" applyFont="1" applyBorder="1">
      <alignment/>
      <protection/>
    </xf>
    <xf numFmtId="0" fontId="111" fillId="0" borderId="12" xfId="45" applyFont="1" applyBorder="1" applyAlignment="1">
      <alignment vertical="center"/>
      <protection/>
    </xf>
    <xf numFmtId="0" fontId="111" fillId="0" borderId="0" xfId="45" applyFont="1" applyAlignment="1">
      <alignment vertical="center"/>
      <protection/>
    </xf>
    <xf numFmtId="0" fontId="111" fillId="0" borderId="11" xfId="45" applyFont="1" applyBorder="1" applyAlignment="1">
      <alignment vertical="center"/>
      <protection/>
    </xf>
    <xf numFmtId="0" fontId="5" fillId="0" borderId="0" xfId="45" applyFont="1">
      <alignment/>
      <protection/>
    </xf>
    <xf numFmtId="0" fontId="135" fillId="0" borderId="18" xfId="45" applyFont="1" applyBorder="1">
      <alignment/>
      <protection/>
    </xf>
    <xf numFmtId="0" fontId="135" fillId="0" borderId="17" xfId="45" applyFont="1" applyBorder="1">
      <alignment/>
      <protection/>
    </xf>
    <xf numFmtId="0" fontId="135" fillId="0" borderId="16" xfId="45" applyFont="1" applyBorder="1">
      <alignment/>
      <protection/>
    </xf>
    <xf numFmtId="0" fontId="0" fillId="0" borderId="12" xfId="45" applyBorder="1" applyAlignment="1">
      <alignment wrapText="1"/>
      <protection/>
    </xf>
    <xf numFmtId="0" fontId="0" fillId="0" borderId="0" xfId="45" applyAlignment="1">
      <alignment wrapText="1"/>
      <protection/>
    </xf>
    <xf numFmtId="0" fontId="0" fillId="0" borderId="11" xfId="45" applyBorder="1" applyAlignment="1">
      <alignment wrapText="1"/>
      <protection/>
    </xf>
    <xf numFmtId="0" fontId="0" fillId="0" borderId="12" xfId="45" applyBorder="1">
      <alignment/>
      <protection/>
    </xf>
    <xf numFmtId="0" fontId="0" fillId="0" borderId="11" xfId="45" applyBorder="1">
      <alignment/>
      <protection/>
    </xf>
    <xf numFmtId="0" fontId="0" fillId="0" borderId="14" xfId="45" applyBorder="1">
      <alignment/>
      <protection/>
    </xf>
    <xf numFmtId="0" fontId="0" fillId="0" borderId="13" xfId="45" applyBorder="1">
      <alignment/>
      <protection/>
    </xf>
    <xf numFmtId="0" fontId="0" fillId="0" borderId="15" xfId="45" applyBorder="1">
      <alignment/>
      <protection/>
    </xf>
    <xf numFmtId="0" fontId="99" fillId="0" borderId="10" xfId="45" applyFont="1" applyBorder="1" applyAlignment="1">
      <alignment horizontal="center" vertical="center" wrapText="1"/>
      <protection/>
    </xf>
    <xf numFmtId="0" fontId="134" fillId="0" borderId="0" xfId="0" applyFont="1" applyAlignment="1">
      <alignment/>
    </xf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21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vertical="top"/>
    </xf>
    <xf numFmtId="0" fontId="107" fillId="0" borderId="0" xfId="0" applyFont="1" applyAlignment="1">
      <alignment vertical="top"/>
    </xf>
    <xf numFmtId="0" fontId="119" fillId="0" borderId="0" xfId="0" applyFont="1" applyAlignment="1">
      <alignment vertical="center"/>
    </xf>
    <xf numFmtId="4" fontId="108" fillId="0" borderId="0" xfId="0" applyNumberFormat="1" applyFont="1" applyAlignment="1">
      <alignment vertical="center"/>
    </xf>
    <xf numFmtId="181" fontId="1" fillId="0" borderId="0" xfId="0" applyNumberFormat="1" applyFont="1" applyAlignment="1">
      <alignment horizontal="left"/>
    </xf>
    <xf numFmtId="0" fontId="12" fillId="0" borderId="0" xfId="0" applyFont="1" applyAlignment="1">
      <alignment wrapText="1"/>
    </xf>
    <xf numFmtId="0" fontId="11" fillId="0" borderId="0" xfId="0" applyFont="1" applyAlignment="1">
      <alignment vertical="top" wrapText="1"/>
    </xf>
    <xf numFmtId="181" fontId="0" fillId="0" borderId="0" xfId="0" applyNumberFormat="1" applyAlignment="1">
      <alignment horizontal="left" vertical="top" wrapText="1"/>
    </xf>
    <xf numFmtId="0" fontId="119" fillId="0" borderId="0" xfId="0" applyFont="1" applyAlignment="1">
      <alignment/>
    </xf>
    <xf numFmtId="0" fontId="133" fillId="0" borderId="0" xfId="0" applyFont="1" applyAlignment="1">
      <alignment/>
    </xf>
    <xf numFmtId="178" fontId="133" fillId="0" borderId="0" xfId="0" applyNumberFormat="1" applyFont="1" applyAlignment="1">
      <alignment/>
    </xf>
    <xf numFmtId="0" fontId="107" fillId="0" borderId="0" xfId="0" applyFont="1" applyAlignment="1">
      <alignment/>
    </xf>
    <xf numFmtId="0" fontId="27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132" fillId="0" borderId="0" xfId="40" applyAlignment="1">
      <alignment/>
    </xf>
    <xf numFmtId="0" fontId="131" fillId="0" borderId="0" xfId="0" applyFont="1" applyAlignment="1">
      <alignment/>
    </xf>
    <xf numFmtId="0" fontId="28" fillId="0" borderId="0" xfId="0" applyFont="1" applyAlignment="1">
      <alignment/>
    </xf>
    <xf numFmtId="0" fontId="107" fillId="0" borderId="20" xfId="0" applyFont="1" applyBorder="1" applyAlignment="1">
      <alignment horizontal="left" vertical="center"/>
    </xf>
    <xf numFmtId="0" fontId="107" fillId="0" borderId="21" xfId="0" applyFont="1" applyBorder="1" applyAlignment="1">
      <alignment horizontal="left" vertical="center"/>
    </xf>
    <xf numFmtId="0" fontId="107" fillId="0" borderId="20" xfId="45" applyFont="1" applyBorder="1" applyAlignment="1">
      <alignment horizontal="left" vertical="center"/>
      <protection/>
    </xf>
    <xf numFmtId="0" fontId="107" fillId="0" borderId="21" xfId="45" applyFont="1" applyBorder="1" applyAlignment="1">
      <alignment horizontal="left" vertical="center"/>
      <protection/>
    </xf>
    <xf numFmtId="2" fontId="0" fillId="0" borderId="0" xfId="45" applyNumberFormat="1">
      <alignment/>
      <protection/>
    </xf>
    <xf numFmtId="15" fontId="0" fillId="0" borderId="0" xfId="0" applyNumberFormat="1" applyAlignment="1">
      <alignment/>
    </xf>
    <xf numFmtId="0" fontId="0" fillId="0" borderId="0" xfId="0" applyFont="1" applyAlignment="1" quotePrefix="1">
      <alignment/>
    </xf>
    <xf numFmtId="0" fontId="100" fillId="0" borderId="10" xfId="0" applyFont="1" applyFill="1" applyBorder="1" applyAlignment="1">
      <alignment horizontal="center" vertical="center" wrapText="1"/>
    </xf>
    <xf numFmtId="0" fontId="0" fillId="36" borderId="0" xfId="0" applyFont="1" applyFill="1" applyAlignment="1">
      <alignment/>
    </xf>
    <xf numFmtId="49" fontId="0" fillId="36" borderId="0" xfId="0" applyNumberFormat="1" applyFont="1" applyFill="1" applyAlignment="1">
      <alignment/>
    </xf>
    <xf numFmtId="179" fontId="0" fillId="36" borderId="0" xfId="0" applyNumberFormat="1" applyFill="1" applyAlignment="1">
      <alignment/>
    </xf>
    <xf numFmtId="0" fontId="0" fillId="36" borderId="0" xfId="0" applyFill="1" applyAlignment="1">
      <alignment/>
    </xf>
    <xf numFmtId="14" fontId="0" fillId="36" borderId="0" xfId="0" applyNumberFormat="1" applyFill="1" applyAlignment="1">
      <alignment/>
    </xf>
    <xf numFmtId="0" fontId="114" fillId="40" borderId="10" xfId="0" applyFont="1" applyFill="1" applyBorder="1" applyAlignment="1">
      <alignment horizontal="center" vertical="center" wrapText="1"/>
    </xf>
    <xf numFmtId="0" fontId="108" fillId="0" borderId="0" xfId="0" applyFont="1" applyAlignment="1">
      <alignment horizontal="left" vertical="top" wrapText="1"/>
    </xf>
    <xf numFmtId="0" fontId="114" fillId="40" borderId="10" xfId="0" applyFont="1" applyFill="1" applyBorder="1" applyAlignment="1">
      <alignment horizontal="center" vertical="center" textRotation="90" wrapText="1"/>
    </xf>
    <xf numFmtId="0" fontId="108" fillId="0" borderId="0" xfId="0" applyFont="1" applyAlignment="1">
      <alignment horizontal="left" vertical="top"/>
    </xf>
    <xf numFmtId="0" fontId="109" fillId="0" borderId="0" xfId="0" applyFont="1" applyAlignment="1">
      <alignment horizontal="center" vertical="center" wrapText="1"/>
    </xf>
    <xf numFmtId="0" fontId="109" fillId="0" borderId="0" xfId="0" applyFont="1" applyAlignment="1">
      <alignment horizontal="center" vertical="center"/>
    </xf>
    <xf numFmtId="0" fontId="99" fillId="0" borderId="25" xfId="45" applyFont="1" applyBorder="1" applyAlignment="1">
      <alignment horizontal="center" vertical="center"/>
      <protection/>
    </xf>
    <xf numFmtId="0" fontId="99" fillId="0" borderId="25" xfId="45" applyFont="1" applyBorder="1" applyAlignment="1">
      <alignment horizontal="center" vertical="center" wrapText="1"/>
      <protection/>
    </xf>
    <xf numFmtId="0" fontId="99" fillId="0" borderId="10" xfId="45" applyFont="1" applyBorder="1" applyAlignment="1">
      <alignment horizontal="center" vertical="center" wrapText="1"/>
      <protection/>
    </xf>
    <xf numFmtId="4" fontId="108" fillId="0" borderId="0" xfId="0" applyNumberFormat="1" applyFont="1" applyAlignment="1">
      <alignment horizontal="right" vertical="center"/>
    </xf>
    <xf numFmtId="3" fontId="0" fillId="0" borderId="0" xfId="0" applyNumberFormat="1" applyAlignment="1">
      <alignment/>
    </xf>
    <xf numFmtId="0" fontId="2" fillId="0" borderId="10" xfId="45" applyFont="1" applyBorder="1" applyAlignment="1">
      <alignment horizontal="left" vertical="center" wrapText="1"/>
      <protection/>
    </xf>
    <xf numFmtId="177" fontId="1" fillId="8" borderId="10" xfId="0" applyNumberFormat="1" applyFont="1" applyFill="1" applyBorder="1" applyAlignment="1">
      <alignment horizontal="center" vertical="top"/>
    </xf>
    <xf numFmtId="173" fontId="130" fillId="0" borderId="10" xfId="0" applyNumberFormat="1" applyFont="1" applyBorder="1" applyAlignment="1">
      <alignment horizontal="left" vertical="center"/>
    </xf>
    <xf numFmtId="173" fontId="99" fillId="36" borderId="10" xfId="0" applyNumberFormat="1" applyFont="1" applyFill="1" applyBorder="1" applyAlignment="1">
      <alignment horizontal="left" vertical="center"/>
    </xf>
    <xf numFmtId="4" fontId="0" fillId="0" borderId="0" xfId="0" applyNumberFormat="1" applyFont="1" applyAlignment="1" quotePrefix="1">
      <alignment/>
    </xf>
    <xf numFmtId="0" fontId="99" fillId="0" borderId="10" xfId="0" applyFont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171" fontId="0" fillId="0" borderId="0" xfId="28" applyFont="1" applyAlignment="1">
      <alignment/>
    </xf>
    <xf numFmtId="0" fontId="99" fillId="0" borderId="25" xfId="0" applyFont="1" applyBorder="1" applyAlignment="1">
      <alignment horizontal="center" vertical="center"/>
    </xf>
    <xf numFmtId="0" fontId="99" fillId="0" borderId="25" xfId="45" applyFont="1" applyBorder="1" applyAlignment="1">
      <alignment horizontal="center" vertical="center"/>
      <protection/>
    </xf>
    <xf numFmtId="0" fontId="99" fillId="0" borderId="25" xfId="0" applyFont="1" applyBorder="1" applyAlignment="1">
      <alignment horizontal="center" vertical="center"/>
    </xf>
    <xf numFmtId="0" fontId="99" fillId="0" borderId="10" xfId="45" applyFont="1" applyBorder="1" applyAlignment="1">
      <alignment horizontal="center" vertical="center" wrapText="1"/>
      <protection/>
    </xf>
    <xf numFmtId="0" fontId="129" fillId="40" borderId="26" xfId="0" applyFont="1" applyFill="1" applyBorder="1" applyAlignment="1">
      <alignment horizontal="center" vertical="center"/>
    </xf>
    <xf numFmtId="0" fontId="129" fillId="40" borderId="27" xfId="0" applyFont="1" applyFill="1" applyBorder="1" applyAlignment="1">
      <alignment horizontal="center" vertical="center"/>
    </xf>
    <xf numFmtId="2" fontId="129" fillId="40" borderId="28" xfId="0" applyNumberFormat="1" applyFont="1" applyFill="1" applyBorder="1" applyAlignment="1">
      <alignment horizontal="center" vertical="center"/>
    </xf>
    <xf numFmtId="1" fontId="129" fillId="40" borderId="28" xfId="0" applyNumberFormat="1" applyFont="1" applyFill="1" applyBorder="1" applyAlignment="1">
      <alignment horizontal="center" vertical="center"/>
    </xf>
    <xf numFmtId="0" fontId="129" fillId="40" borderId="28" xfId="0" applyFont="1" applyFill="1" applyBorder="1" applyAlignment="1">
      <alignment horizontal="center" vertical="center"/>
    </xf>
    <xf numFmtId="0" fontId="124" fillId="0" borderId="10" xfId="0" applyFont="1" applyBorder="1" applyAlignment="1">
      <alignment horizontal="center" vertical="center"/>
    </xf>
    <xf numFmtId="49" fontId="128" fillId="41" borderId="10" xfId="45" applyNumberFormat="1" applyFont="1" applyFill="1" applyBorder="1" applyAlignment="1" applyProtection="1">
      <alignment vertical="center" wrapText="1"/>
      <protection locked="0"/>
    </xf>
    <xf numFmtId="2" fontId="30" fillId="41" borderId="10" xfId="46" applyNumberFormat="1" applyFont="1" applyFill="1" applyBorder="1">
      <alignment vertical="center" wrapText="1"/>
      <protection/>
    </xf>
    <xf numFmtId="1" fontId="124" fillId="0" borderId="10" xfId="0" applyNumberFormat="1" applyFont="1" applyBorder="1" applyAlignment="1">
      <alignment horizontal="center" vertical="center"/>
    </xf>
    <xf numFmtId="0" fontId="127" fillId="0" borderId="10" xfId="0" applyFont="1" applyBorder="1" applyAlignment="1">
      <alignment horizontal="center" vertical="center"/>
    </xf>
    <xf numFmtId="173" fontId="124" fillId="0" borderId="10" xfId="0" applyNumberFormat="1" applyFont="1" applyBorder="1" applyAlignment="1">
      <alignment horizontal="center" vertical="center"/>
    </xf>
    <xf numFmtId="1" fontId="126" fillId="0" borderId="10" xfId="0" applyNumberFormat="1" applyFont="1" applyBorder="1" applyAlignment="1">
      <alignment horizontal="center" vertical="center"/>
    </xf>
    <xf numFmtId="1" fontId="125" fillId="0" borderId="10" xfId="0" applyNumberFormat="1" applyFont="1" applyBorder="1" applyAlignment="1">
      <alignment horizontal="center" vertical="center"/>
    </xf>
    <xf numFmtId="49" fontId="124" fillId="0" borderId="10" xfId="0" applyNumberFormat="1" applyFont="1" applyBorder="1" applyAlignment="1">
      <alignment horizontal="center" vertical="center" wrapText="1"/>
    </xf>
    <xf numFmtId="49" fontId="124" fillId="0" borderId="10" xfId="0" applyNumberFormat="1" applyFont="1" applyBorder="1" applyAlignment="1">
      <alignment horizontal="center" vertical="center"/>
    </xf>
    <xf numFmtId="1" fontId="124" fillId="0" borderId="0" xfId="0" applyNumberFormat="1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18" fillId="0" borderId="15" xfId="0" applyFont="1" applyBorder="1" applyAlignment="1">
      <alignment horizontal="center" vertical="center"/>
    </xf>
    <xf numFmtId="0" fontId="118" fillId="0" borderId="13" xfId="0" applyFont="1" applyBorder="1" applyAlignment="1">
      <alignment horizontal="center" vertical="center"/>
    </xf>
    <xf numFmtId="0" fontId="118" fillId="0" borderId="14" xfId="0" applyFont="1" applyBorder="1" applyAlignment="1">
      <alignment horizontal="center" vertical="center"/>
    </xf>
    <xf numFmtId="0" fontId="118" fillId="0" borderId="11" xfId="0" applyFont="1" applyBorder="1" applyAlignment="1">
      <alignment horizontal="center" vertical="center"/>
    </xf>
    <xf numFmtId="0" fontId="118" fillId="0" borderId="0" xfId="0" applyFont="1" applyBorder="1" applyAlignment="1">
      <alignment horizontal="center" vertical="center"/>
    </xf>
    <xf numFmtId="0" fontId="118" fillId="0" borderId="12" xfId="0" applyFont="1" applyBorder="1" applyAlignment="1">
      <alignment horizontal="center" vertical="center"/>
    </xf>
    <xf numFmtId="0" fontId="118" fillId="0" borderId="16" xfId="0" applyFont="1" applyBorder="1" applyAlignment="1">
      <alignment horizontal="center" vertical="center"/>
    </xf>
    <xf numFmtId="0" fontId="118" fillId="0" borderId="17" xfId="0" applyFont="1" applyBorder="1" applyAlignment="1">
      <alignment horizontal="center" vertical="center"/>
    </xf>
    <xf numFmtId="0" fontId="118" fillId="0" borderId="18" xfId="0" applyFont="1" applyBorder="1" applyAlignment="1">
      <alignment horizontal="center" vertical="center"/>
    </xf>
    <xf numFmtId="0" fontId="117" fillId="0" borderId="10" xfId="0" applyFont="1" applyBorder="1" applyAlignment="1">
      <alignment horizontal="left" indent="1"/>
    </xf>
    <xf numFmtId="0" fontId="117" fillId="0" borderId="19" xfId="0" applyFont="1" applyBorder="1" applyAlignment="1">
      <alignment horizontal="left" indent="1"/>
    </xf>
    <xf numFmtId="0" fontId="107" fillId="0" borderId="15" xfId="0" applyFont="1" applyBorder="1" applyAlignment="1">
      <alignment horizontal="left" vertical="center"/>
    </xf>
    <xf numFmtId="0" fontId="107" fillId="0" borderId="14" xfId="0" applyFont="1" applyBorder="1" applyAlignment="1">
      <alignment horizontal="left" vertical="center"/>
    </xf>
    <xf numFmtId="0" fontId="99" fillId="0" borderId="15" xfId="0" applyFont="1" applyFill="1" applyBorder="1" applyAlignment="1">
      <alignment horizontal="left" vertical="center"/>
    </xf>
    <xf numFmtId="0" fontId="99" fillId="0" borderId="13" xfId="0" applyFont="1" applyFill="1" applyBorder="1" applyAlignment="1">
      <alignment horizontal="left" vertical="center"/>
    </xf>
    <xf numFmtId="0" fontId="99" fillId="0" borderId="14" xfId="0" applyFont="1" applyFill="1" applyBorder="1" applyAlignment="1">
      <alignment horizontal="left" vertical="center"/>
    </xf>
    <xf numFmtId="0" fontId="107" fillId="0" borderId="13" xfId="0" applyFont="1" applyBorder="1" applyAlignment="1">
      <alignment horizontal="left" vertical="center"/>
    </xf>
    <xf numFmtId="179" fontId="108" fillId="0" borderId="13" xfId="0" applyNumberFormat="1" applyFont="1" applyFill="1" applyBorder="1" applyAlignment="1">
      <alignment horizontal="left" vertical="center"/>
    </xf>
    <xf numFmtId="179" fontId="108" fillId="0" borderId="14" xfId="0" applyNumberFormat="1" applyFont="1" applyFill="1" applyBorder="1" applyAlignment="1">
      <alignment horizontal="left" vertical="center"/>
    </xf>
    <xf numFmtId="0" fontId="107" fillId="0" borderId="11" xfId="0" applyFont="1" applyBorder="1" applyAlignment="1">
      <alignment horizontal="left" vertical="center"/>
    </xf>
    <xf numFmtId="0" fontId="107" fillId="0" borderId="12" xfId="0" applyFont="1" applyBorder="1" applyAlignment="1">
      <alignment horizontal="left" vertical="center"/>
    </xf>
    <xf numFmtId="0" fontId="107" fillId="0" borderId="11" xfId="0" applyFont="1" applyFill="1" applyBorder="1" applyAlignment="1">
      <alignment horizontal="left" vertical="center"/>
    </xf>
    <xf numFmtId="0" fontId="107" fillId="0" borderId="0" xfId="0" applyFont="1" applyFill="1" applyBorder="1" applyAlignment="1">
      <alignment horizontal="left" vertical="center"/>
    </xf>
    <xf numFmtId="0" fontId="107" fillId="0" borderId="12" xfId="0" applyFont="1" applyFill="1" applyBorder="1" applyAlignment="1">
      <alignment horizontal="left" vertical="center"/>
    </xf>
    <xf numFmtId="0" fontId="107" fillId="0" borderId="0" xfId="0" applyFont="1" applyBorder="1" applyAlignment="1">
      <alignment horizontal="left" vertical="center"/>
    </xf>
    <xf numFmtId="49" fontId="107" fillId="0" borderId="0" xfId="0" applyNumberFormat="1" applyFont="1" applyFill="1" applyBorder="1" applyAlignment="1">
      <alignment horizontal="left" vertical="center"/>
    </xf>
    <xf numFmtId="49" fontId="107" fillId="0" borderId="12" xfId="0" applyNumberFormat="1" applyFont="1" applyFill="1" applyBorder="1" applyAlignment="1">
      <alignment horizontal="left" vertical="center"/>
    </xf>
    <xf numFmtId="0" fontId="108" fillId="0" borderId="11" xfId="0" applyFont="1" applyFill="1" applyBorder="1" applyAlignment="1">
      <alignment horizontal="left" vertical="center"/>
    </xf>
    <xf numFmtId="0" fontId="108" fillId="0" borderId="0" xfId="0" applyFont="1" applyFill="1" applyBorder="1" applyAlignment="1">
      <alignment horizontal="left" vertical="center"/>
    </xf>
    <xf numFmtId="0" fontId="108" fillId="0" borderId="12" xfId="0" applyFont="1" applyFill="1" applyBorder="1" applyAlignment="1">
      <alignment horizontal="left" vertical="center"/>
    </xf>
    <xf numFmtId="0" fontId="107" fillId="0" borderId="16" xfId="0" applyFont="1" applyBorder="1" applyAlignment="1">
      <alignment horizontal="left" vertical="center"/>
    </xf>
    <xf numFmtId="0" fontId="107" fillId="0" borderId="18" xfId="0" applyFont="1" applyBorder="1" applyAlignment="1">
      <alignment horizontal="left" vertical="center"/>
    </xf>
    <xf numFmtId="0" fontId="107" fillId="0" borderId="17" xfId="0" applyFont="1" applyBorder="1" applyAlignment="1">
      <alignment horizontal="left" vertical="center"/>
    </xf>
    <xf numFmtId="0" fontId="107" fillId="0" borderId="17" xfId="0" applyFont="1" applyFill="1" applyBorder="1" applyAlignment="1">
      <alignment horizontal="left" vertical="center"/>
    </xf>
    <xf numFmtId="0" fontId="107" fillId="0" borderId="18" xfId="0" applyFont="1" applyFill="1" applyBorder="1" applyAlignment="1">
      <alignment horizontal="left" vertical="center"/>
    </xf>
    <xf numFmtId="0" fontId="116" fillId="0" borderId="20" xfId="0" applyFont="1" applyBorder="1" applyAlignment="1">
      <alignment horizontal="left" vertical="center"/>
    </xf>
    <xf numFmtId="0" fontId="108" fillId="0" borderId="21" xfId="0" applyFont="1" applyBorder="1" applyAlignment="1">
      <alignment horizontal="left" vertical="center"/>
    </xf>
    <xf numFmtId="0" fontId="116" fillId="0" borderId="21" xfId="0" applyFont="1" applyBorder="1" applyAlignment="1">
      <alignment horizontal="left" vertical="center"/>
    </xf>
    <xf numFmtId="0" fontId="108" fillId="0" borderId="22" xfId="0" applyFont="1" applyBorder="1" applyAlignment="1">
      <alignment horizontal="left" vertical="center"/>
    </xf>
    <xf numFmtId="0" fontId="108" fillId="0" borderId="15" xfId="0" applyFont="1" applyBorder="1" applyAlignment="1">
      <alignment horizontal="left" vertical="center"/>
    </xf>
    <xf numFmtId="0" fontId="108" fillId="0" borderId="13" xfId="0" applyFont="1" applyBorder="1" applyAlignment="1">
      <alignment horizontal="left" vertical="center"/>
    </xf>
    <xf numFmtId="0" fontId="108" fillId="0" borderId="14" xfId="0" applyFont="1" applyBorder="1" applyAlignment="1">
      <alignment horizontal="left" vertical="center"/>
    </xf>
    <xf numFmtId="0" fontId="111" fillId="0" borderId="11" xfId="0" applyFont="1" applyFill="1" applyBorder="1" applyAlignment="1">
      <alignment horizontal="left" vertical="center"/>
    </xf>
    <xf numFmtId="0" fontId="111" fillId="0" borderId="0" xfId="0" applyFont="1" applyFill="1" applyBorder="1" applyAlignment="1">
      <alignment horizontal="left" vertical="center"/>
    </xf>
    <xf numFmtId="0" fontId="111" fillId="0" borderId="12" xfId="0" applyFont="1" applyFill="1" applyBorder="1" applyAlignment="1">
      <alignment horizontal="left" vertical="center"/>
    </xf>
    <xf numFmtId="0" fontId="111" fillId="0" borderId="11" xfId="0" applyFont="1" applyBorder="1" applyAlignment="1">
      <alignment horizontal="left" vertical="center"/>
    </xf>
    <xf numFmtId="0" fontId="111" fillId="0" borderId="0" xfId="0" applyFont="1" applyBorder="1" applyAlignment="1">
      <alignment horizontal="left" vertical="center"/>
    </xf>
    <xf numFmtId="0" fontId="111" fillId="0" borderId="12" xfId="0" applyFont="1" applyBorder="1" applyAlignment="1">
      <alignment horizontal="left" vertical="center"/>
    </xf>
    <xf numFmtId="0" fontId="108" fillId="0" borderId="11" xfId="0" applyFont="1" applyFill="1" applyBorder="1" applyAlignment="1">
      <alignment horizontal="left" vertical="center" wrapText="1"/>
    </xf>
    <xf numFmtId="0" fontId="108" fillId="0" borderId="0" xfId="0" applyFont="1" applyFill="1" applyBorder="1" applyAlignment="1">
      <alignment horizontal="left" vertical="center" wrapText="1"/>
    </xf>
    <xf numFmtId="0" fontId="108" fillId="0" borderId="12" xfId="0" applyFont="1" applyFill="1" applyBorder="1" applyAlignment="1">
      <alignment horizontal="left" vertical="center" wrapText="1"/>
    </xf>
    <xf numFmtId="49" fontId="111" fillId="0" borderId="16" xfId="0" applyNumberFormat="1" applyFont="1" applyFill="1" applyBorder="1" applyAlignment="1" quotePrefix="1">
      <alignment horizontal="left" vertical="center"/>
    </xf>
    <xf numFmtId="49" fontId="111" fillId="0" borderId="17" xfId="0" applyNumberFormat="1" applyFont="1" applyFill="1" applyBorder="1" applyAlignment="1" quotePrefix="1">
      <alignment horizontal="left" vertical="center"/>
    </xf>
    <xf numFmtId="49" fontId="111" fillId="0" borderId="18" xfId="0" applyNumberFormat="1" applyFont="1" applyFill="1" applyBorder="1" applyAlignment="1" quotePrefix="1">
      <alignment horizontal="left" vertical="center"/>
    </xf>
    <xf numFmtId="49" fontId="111" fillId="0" borderId="16" xfId="0" applyNumberFormat="1" applyFont="1" applyBorder="1" applyAlignment="1">
      <alignment horizontal="left" vertical="center"/>
    </xf>
    <xf numFmtId="49" fontId="111" fillId="0" borderId="17" xfId="0" applyNumberFormat="1" applyFont="1" applyBorder="1" applyAlignment="1">
      <alignment horizontal="left" vertical="center"/>
    </xf>
    <xf numFmtId="49" fontId="111" fillId="0" borderId="18" xfId="0" applyNumberFormat="1" applyFont="1" applyBorder="1" applyAlignment="1">
      <alignment horizontal="left" vertical="center"/>
    </xf>
    <xf numFmtId="0" fontId="108" fillId="0" borderId="20" xfId="0" applyFont="1" applyFill="1" applyBorder="1" applyAlignment="1">
      <alignment horizontal="left" vertical="center" wrapText="1"/>
    </xf>
    <xf numFmtId="0" fontId="108" fillId="0" borderId="21" xfId="0" applyFont="1" applyFill="1" applyBorder="1" applyAlignment="1">
      <alignment horizontal="left" vertical="center" wrapText="1"/>
    </xf>
    <xf numFmtId="0" fontId="108" fillId="0" borderId="22" xfId="0" applyFont="1" applyFill="1" applyBorder="1" applyAlignment="1">
      <alignment horizontal="left" vertical="center" wrapText="1"/>
    </xf>
    <xf numFmtId="0" fontId="107" fillId="39" borderId="20" xfId="0" applyFont="1" applyFill="1" applyBorder="1" applyAlignment="1">
      <alignment horizontal="center" vertical="center" wrapText="1"/>
    </xf>
    <xf numFmtId="0" fontId="107" fillId="39" borderId="21" xfId="0" applyFont="1" applyFill="1" applyBorder="1" applyAlignment="1">
      <alignment horizontal="center" vertical="center" wrapText="1"/>
    </xf>
    <xf numFmtId="0" fontId="107" fillId="39" borderId="22" xfId="0" applyFont="1" applyFill="1" applyBorder="1" applyAlignment="1">
      <alignment horizontal="center" vertical="center" wrapText="1"/>
    </xf>
    <xf numFmtId="4" fontId="108" fillId="0" borderId="19" xfId="0" applyNumberFormat="1" applyFont="1" applyBorder="1" applyAlignment="1">
      <alignment horizontal="center" vertical="center"/>
    </xf>
    <xf numFmtId="0" fontId="110" fillId="0" borderId="20" xfId="0" applyFont="1" applyFill="1" applyBorder="1" applyAlignment="1">
      <alignment horizontal="center" vertical="center" wrapText="1"/>
    </xf>
    <xf numFmtId="0" fontId="110" fillId="0" borderId="21" xfId="0" applyFont="1" applyFill="1" applyBorder="1" applyAlignment="1">
      <alignment horizontal="center" vertical="center" wrapText="1"/>
    </xf>
    <xf numFmtId="0" fontId="110" fillId="0" borderId="22" xfId="0" applyFont="1" applyFill="1" applyBorder="1" applyAlignment="1">
      <alignment horizontal="center" vertical="center" wrapText="1"/>
    </xf>
    <xf numFmtId="4" fontId="108" fillId="0" borderId="20" xfId="0" applyNumberFormat="1" applyFont="1" applyBorder="1" applyAlignment="1">
      <alignment horizontal="center" vertical="center"/>
    </xf>
    <xf numFmtId="4" fontId="108" fillId="0" borderId="21" xfId="0" applyNumberFormat="1" applyFont="1" applyBorder="1" applyAlignment="1">
      <alignment horizontal="center" vertical="center"/>
    </xf>
    <xf numFmtId="4" fontId="108" fillId="0" borderId="22" xfId="0" applyNumberFormat="1" applyFont="1" applyBorder="1" applyAlignment="1">
      <alignment horizontal="center" vertical="center"/>
    </xf>
    <xf numFmtId="0" fontId="113" fillId="0" borderId="15" xfId="0" applyFont="1" applyFill="1" applyBorder="1" applyAlignment="1">
      <alignment horizontal="left" vertical="center" wrapText="1"/>
    </xf>
    <xf numFmtId="0" fontId="113" fillId="0" borderId="13" xfId="0" applyFont="1" applyFill="1" applyBorder="1" applyAlignment="1">
      <alignment horizontal="left" vertical="center" wrapText="1"/>
    </xf>
    <xf numFmtId="0" fontId="113" fillId="0" borderId="14" xfId="0" applyFont="1" applyFill="1" applyBorder="1" applyAlignment="1">
      <alignment horizontal="left" vertical="center" wrapText="1"/>
    </xf>
    <xf numFmtId="0" fontId="108" fillId="0" borderId="16" xfId="0" applyFont="1" applyFill="1" applyBorder="1" applyAlignment="1">
      <alignment horizontal="left" vertical="center" wrapText="1"/>
    </xf>
    <xf numFmtId="0" fontId="108" fillId="0" borderId="17" xfId="0" applyFont="1" applyFill="1" applyBorder="1" applyAlignment="1">
      <alignment horizontal="left" vertical="center" wrapText="1"/>
    </xf>
    <xf numFmtId="0" fontId="108" fillId="0" borderId="18" xfId="0" applyFont="1" applyFill="1" applyBorder="1" applyAlignment="1">
      <alignment horizontal="left" vertical="center" wrapText="1"/>
    </xf>
    <xf numFmtId="0" fontId="108" fillId="39" borderId="20" xfId="0" applyFont="1" applyFill="1" applyBorder="1" applyAlignment="1">
      <alignment horizontal="left" vertical="center" wrapText="1"/>
    </xf>
    <xf numFmtId="0" fontId="108" fillId="39" borderId="21" xfId="0" applyFont="1" applyFill="1" applyBorder="1" applyAlignment="1">
      <alignment horizontal="left" vertical="center" wrapText="1"/>
    </xf>
    <xf numFmtId="0" fontId="108" fillId="39" borderId="22" xfId="0" applyFont="1" applyFill="1" applyBorder="1" applyAlignment="1">
      <alignment horizontal="left" vertical="center" wrapText="1"/>
    </xf>
    <xf numFmtId="0" fontId="107" fillId="0" borderId="10" xfId="0" applyFont="1" applyFill="1" applyBorder="1" applyAlignment="1">
      <alignment horizontal="left" vertical="center"/>
    </xf>
    <xf numFmtId="0" fontId="108" fillId="0" borderId="20" xfId="0" applyFont="1" applyBorder="1" applyAlignment="1">
      <alignment horizontal="left" vertical="center"/>
    </xf>
    <xf numFmtId="0" fontId="115" fillId="0" borderId="0" xfId="0" applyFont="1" applyFill="1" applyBorder="1" applyAlignment="1">
      <alignment horizontal="left" vertical="center"/>
    </xf>
    <xf numFmtId="0" fontId="114" fillId="0" borderId="0" xfId="0" applyFont="1" applyBorder="1" applyAlignment="1">
      <alignment horizontal="left" vertical="center"/>
    </xf>
    <xf numFmtId="2" fontId="106" fillId="0" borderId="0" xfId="0" applyNumberFormat="1" applyFont="1" applyBorder="1" applyAlignment="1">
      <alignment horizontal="center" vertical="center"/>
    </xf>
    <xf numFmtId="0" fontId="108" fillId="0" borderId="10" xfId="0" applyFont="1" applyBorder="1" applyAlignment="1">
      <alignment horizontal="left" vertical="center"/>
    </xf>
    <xf numFmtId="4" fontId="108" fillId="0" borderId="10" xfId="0" applyNumberFormat="1" applyFont="1" applyBorder="1" applyAlignment="1">
      <alignment horizontal="center" vertical="center"/>
    </xf>
    <xf numFmtId="0" fontId="107" fillId="0" borderId="10" xfId="0" applyFont="1" applyFill="1" applyBorder="1" applyAlignment="1">
      <alignment horizontal="left" vertical="center" wrapText="1"/>
    </xf>
    <xf numFmtId="0" fontId="111" fillId="0" borderId="15" xfId="0" applyFont="1" applyBorder="1" applyAlignment="1">
      <alignment horizontal="left" vertical="center"/>
    </xf>
    <xf numFmtId="0" fontId="111" fillId="0" borderId="13" xfId="0" applyFont="1" applyBorder="1" applyAlignment="1">
      <alignment horizontal="left" vertical="center"/>
    </xf>
    <xf numFmtId="0" fontId="111" fillId="0" borderId="14" xfId="0" applyFont="1" applyBorder="1" applyAlignment="1">
      <alignment horizontal="left" vertical="center"/>
    </xf>
    <xf numFmtId="0" fontId="111" fillId="0" borderId="0" xfId="0" applyFont="1" applyBorder="1" applyAlignment="1">
      <alignment horizontal="center" vertical="center"/>
    </xf>
    <xf numFmtId="0" fontId="111" fillId="0" borderId="12" xfId="0" applyFont="1" applyBorder="1" applyAlignment="1">
      <alignment horizontal="center" vertical="center"/>
    </xf>
    <xf numFmtId="0" fontId="111" fillId="0" borderId="17" xfId="0" applyFont="1" applyBorder="1" applyAlignment="1">
      <alignment horizontal="center" vertical="center"/>
    </xf>
    <xf numFmtId="0" fontId="111" fillId="0" borderId="1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5" fillId="0" borderId="20" xfId="0" applyFont="1" applyFill="1" applyBorder="1" applyAlignment="1">
      <alignment horizontal="center" vertical="center" wrapText="1"/>
    </xf>
    <xf numFmtId="0" fontId="105" fillId="0" borderId="21" xfId="0" applyFont="1" applyFill="1" applyBorder="1" applyAlignment="1">
      <alignment horizontal="center" vertical="center" wrapText="1"/>
    </xf>
    <xf numFmtId="0" fontId="105" fillId="0" borderId="22" xfId="0" applyFont="1" applyFill="1" applyBorder="1" applyAlignment="1">
      <alignment horizontal="center" vertical="center" wrapText="1"/>
    </xf>
    <xf numFmtId="0" fontId="107" fillId="0" borderId="20" xfId="0" applyFont="1" applyBorder="1" applyAlignment="1">
      <alignment horizontal="left" wrapText="1"/>
    </xf>
    <xf numFmtId="0" fontId="107" fillId="0" borderId="21" xfId="0" applyFont="1" applyBorder="1" applyAlignment="1">
      <alignment horizontal="left"/>
    </xf>
    <xf numFmtId="0" fontId="107" fillId="0" borderId="22" xfId="0" applyFont="1" applyBorder="1" applyAlignment="1">
      <alignment horizontal="left"/>
    </xf>
    <xf numFmtId="0" fontId="106" fillId="0" borderId="20" xfId="0" applyFont="1" applyBorder="1" applyAlignment="1">
      <alignment horizontal="center" vertical="center"/>
    </xf>
    <xf numFmtId="0" fontId="106" fillId="0" borderId="21" xfId="0" applyFont="1" applyBorder="1" applyAlignment="1">
      <alignment horizontal="center" vertical="center"/>
    </xf>
    <xf numFmtId="0" fontId="106" fillId="0" borderId="22" xfId="0" applyFont="1" applyBorder="1" applyAlignment="1">
      <alignment horizontal="center" vertical="center"/>
    </xf>
    <xf numFmtId="0" fontId="107" fillId="0" borderId="10" xfId="0" applyFont="1" applyBorder="1" applyAlignment="1">
      <alignment horizontal="left"/>
    </xf>
    <xf numFmtId="0" fontId="112" fillId="0" borderId="20" xfId="0" applyFont="1" applyBorder="1" applyAlignment="1">
      <alignment horizontal="center" vertical="center"/>
    </xf>
    <xf numFmtId="0" fontId="112" fillId="0" borderId="21" xfId="0" applyFont="1" applyBorder="1" applyAlignment="1">
      <alignment horizontal="center" vertical="center"/>
    </xf>
    <xf numFmtId="0" fontId="112" fillId="0" borderId="22" xfId="0" applyFont="1" applyBorder="1" applyAlignment="1">
      <alignment horizontal="center" vertical="center"/>
    </xf>
    <xf numFmtId="0" fontId="107" fillId="0" borderId="20" xfId="0" applyFont="1" applyBorder="1" applyAlignment="1">
      <alignment horizontal="left"/>
    </xf>
    <xf numFmtId="0" fontId="105" fillId="0" borderId="0" xfId="0" applyFont="1" applyBorder="1" applyAlignment="1">
      <alignment horizontal="left" vertical="center"/>
    </xf>
    <xf numFmtId="0" fontId="105" fillId="0" borderId="12" xfId="0" applyFont="1" applyBorder="1" applyAlignment="1">
      <alignment horizontal="left" vertical="center"/>
    </xf>
    <xf numFmtId="0" fontId="107" fillId="0" borderId="21" xfId="0" applyFont="1" applyBorder="1" applyAlignment="1">
      <alignment horizontal="left" wrapText="1"/>
    </xf>
    <xf numFmtId="0" fontId="107" fillId="0" borderId="22" xfId="0" applyFont="1" applyBorder="1" applyAlignment="1">
      <alignment horizontal="left" wrapText="1"/>
    </xf>
    <xf numFmtId="0" fontId="106" fillId="34" borderId="15" xfId="0" applyFont="1" applyFill="1" applyBorder="1" applyAlignment="1">
      <alignment horizontal="center" vertical="center" wrapText="1"/>
    </xf>
    <xf numFmtId="0" fontId="106" fillId="34" borderId="13" xfId="0" applyFont="1" applyFill="1" applyBorder="1" applyAlignment="1">
      <alignment horizontal="center" vertical="center" wrapText="1"/>
    </xf>
    <xf numFmtId="0" fontId="106" fillId="34" borderId="14" xfId="0" applyFont="1" applyFill="1" applyBorder="1" applyAlignment="1">
      <alignment horizontal="center" vertical="center" wrapText="1"/>
    </xf>
    <xf numFmtId="0" fontId="105" fillId="0" borderId="0" xfId="0" applyFont="1" applyBorder="1" applyAlignment="1">
      <alignment horizontal="left" vertical="center" wrapText="1"/>
    </xf>
    <xf numFmtId="0" fontId="105" fillId="0" borderId="12" xfId="0" applyFont="1" applyBorder="1" applyAlignment="1">
      <alignment horizontal="left" vertical="center" wrapText="1"/>
    </xf>
    <xf numFmtId="0" fontId="107" fillId="0" borderId="10" xfId="0" applyFont="1" applyBorder="1" applyAlignment="1">
      <alignment horizontal="left" wrapText="1"/>
    </xf>
    <xf numFmtId="0" fontId="108" fillId="34" borderId="20" xfId="0" applyFont="1" applyFill="1" applyBorder="1" applyAlignment="1">
      <alignment horizontal="right" vertical="center" wrapText="1"/>
    </xf>
    <xf numFmtId="0" fontId="108" fillId="34" borderId="22" xfId="0" applyFont="1" applyFill="1" applyBorder="1" applyAlignment="1">
      <alignment horizontal="right" vertical="center" wrapText="1"/>
    </xf>
    <xf numFmtId="0" fontId="108" fillId="34" borderId="20" xfId="0" applyFont="1" applyFill="1" applyBorder="1" applyAlignment="1">
      <alignment horizontal="right" vertical="center"/>
    </xf>
    <xf numFmtId="0" fontId="108" fillId="34" borderId="22" xfId="0" applyFont="1" applyFill="1" applyBorder="1" applyAlignment="1">
      <alignment horizontal="right" vertical="center"/>
    </xf>
    <xf numFmtId="4" fontId="107" fillId="0" borderId="20" xfId="28" applyNumberFormat="1" applyFont="1" applyBorder="1" applyAlignment="1">
      <alignment horizontal="right"/>
    </xf>
    <xf numFmtId="4" fontId="107" fillId="0" borderId="22" xfId="28" applyNumberFormat="1" applyFont="1" applyBorder="1" applyAlignment="1">
      <alignment horizontal="right"/>
    </xf>
    <xf numFmtId="0" fontId="107" fillId="0" borderId="10" xfId="0" applyFont="1" applyBorder="1" applyAlignment="1">
      <alignment horizontal="left" vertical="center"/>
    </xf>
    <xf numFmtId="0" fontId="111" fillId="0" borderId="10" xfId="0" applyFont="1" applyFill="1" applyBorder="1" applyAlignment="1">
      <alignment horizontal="left" vertical="center"/>
    </xf>
    <xf numFmtId="0" fontId="110" fillId="0" borderId="10" xfId="0" applyFont="1" applyBorder="1" applyAlignment="1">
      <alignment horizontal="center" vertical="center"/>
    </xf>
    <xf numFmtId="0" fontId="109" fillId="0" borderId="20" xfId="0" applyFont="1" applyBorder="1" applyAlignment="1">
      <alignment horizontal="left" vertical="center"/>
    </xf>
    <xf numFmtId="0" fontId="109" fillId="0" borderId="21" xfId="0" applyFont="1" applyBorder="1" applyAlignment="1">
      <alignment horizontal="left" vertical="center"/>
    </xf>
    <xf numFmtId="0" fontId="109" fillId="0" borderId="22" xfId="0" applyFont="1" applyBorder="1" applyAlignment="1">
      <alignment horizontal="left" vertical="center"/>
    </xf>
    <xf numFmtId="180" fontId="107" fillId="0" borderId="20" xfId="0" applyNumberFormat="1" applyFont="1" applyBorder="1" applyAlignment="1">
      <alignment horizontal="center" vertical="center"/>
    </xf>
    <xf numFmtId="180" fontId="107" fillId="0" borderId="21" xfId="0" applyNumberFormat="1" applyFont="1" applyBorder="1" applyAlignment="1">
      <alignment horizontal="center" vertical="center"/>
    </xf>
    <xf numFmtId="180" fontId="107" fillId="0" borderId="22" xfId="0" applyNumberFormat="1" applyFont="1" applyBorder="1" applyAlignment="1">
      <alignment horizontal="center" vertical="center"/>
    </xf>
    <xf numFmtId="0" fontId="106" fillId="0" borderId="20" xfId="0" applyFont="1" applyFill="1" applyBorder="1" applyAlignment="1">
      <alignment horizontal="center" vertical="center"/>
    </xf>
    <xf numFmtId="0" fontId="106" fillId="0" borderId="21" xfId="0" applyFont="1" applyFill="1" applyBorder="1" applyAlignment="1">
      <alignment horizontal="center" vertical="center"/>
    </xf>
    <xf numFmtId="0" fontId="106" fillId="0" borderId="22" xfId="0" applyFont="1" applyFill="1" applyBorder="1" applyAlignment="1">
      <alignment horizontal="center" vertical="center"/>
    </xf>
    <xf numFmtId="0" fontId="112" fillId="0" borderId="20" xfId="0" applyFont="1" applyFill="1" applyBorder="1" applyAlignment="1">
      <alignment horizontal="center" vertical="center"/>
    </xf>
    <xf numFmtId="0" fontId="112" fillId="0" borderId="21" xfId="0" applyFont="1" applyFill="1" applyBorder="1" applyAlignment="1">
      <alignment horizontal="center" vertical="center"/>
    </xf>
    <xf numFmtId="0" fontId="112" fillId="0" borderId="22" xfId="0" applyFont="1" applyFill="1" applyBorder="1" applyAlignment="1">
      <alignment horizontal="center" vertical="center"/>
    </xf>
    <xf numFmtId="0" fontId="109" fillId="0" borderId="10" xfId="0" applyFont="1" applyBorder="1" applyAlignment="1">
      <alignment horizontal="center" vertical="center"/>
    </xf>
    <xf numFmtId="0" fontId="108" fillId="34" borderId="20" xfId="0" applyFont="1" applyFill="1" applyBorder="1" applyAlignment="1">
      <alignment horizontal="left" vertical="center"/>
    </xf>
    <xf numFmtId="0" fontId="108" fillId="34" borderId="21" xfId="0" applyFont="1" applyFill="1" applyBorder="1" applyAlignment="1">
      <alignment horizontal="left" vertical="center"/>
    </xf>
    <xf numFmtId="0" fontId="108" fillId="34" borderId="22" xfId="0" applyFont="1" applyFill="1" applyBorder="1" applyAlignment="1">
      <alignment horizontal="left" vertical="center"/>
    </xf>
    <xf numFmtId="4" fontId="108" fillId="0" borderId="20" xfId="28" applyNumberFormat="1" applyFont="1" applyBorder="1" applyAlignment="1">
      <alignment horizontal="right"/>
    </xf>
    <xf numFmtId="4" fontId="108" fillId="0" borderId="22" xfId="28" applyNumberFormat="1" applyFont="1" applyBorder="1" applyAlignment="1">
      <alignment horizontal="right"/>
    </xf>
    <xf numFmtId="0" fontId="104" fillId="0" borderId="10" xfId="0" applyFont="1" applyFill="1" applyBorder="1" applyAlignment="1">
      <alignment horizontal="left" vertical="center" wrapText="1"/>
    </xf>
    <xf numFmtId="1" fontId="101" fillId="0" borderId="29" xfId="0" applyNumberFormat="1" applyFont="1" applyFill="1" applyBorder="1" applyAlignment="1" quotePrefix="1">
      <alignment horizontal="left" vertical="center" shrinkToFit="1"/>
    </xf>
    <xf numFmtId="1" fontId="101" fillId="0" borderId="30" xfId="0" applyNumberFormat="1" applyFont="1" applyFill="1" applyBorder="1" applyAlignment="1">
      <alignment horizontal="left" vertical="center" shrinkToFit="1"/>
    </xf>
    <xf numFmtId="1" fontId="101" fillId="0" borderId="31" xfId="0" applyNumberFormat="1" applyFont="1" applyFill="1" applyBorder="1" applyAlignment="1">
      <alignment horizontal="left" vertical="center" shrinkToFit="1"/>
    </xf>
    <xf numFmtId="0" fontId="100" fillId="8" borderId="20" xfId="0" applyFont="1" applyFill="1" applyBorder="1" applyAlignment="1">
      <alignment horizontal="center" vertical="center" wrapText="1"/>
    </xf>
    <xf numFmtId="0" fontId="100" fillId="8" borderId="21" xfId="0" applyFont="1" applyFill="1" applyBorder="1" applyAlignment="1">
      <alignment horizontal="center" vertical="center" wrapText="1"/>
    </xf>
    <xf numFmtId="0" fontId="100" fillId="8" borderId="22" xfId="0" applyFont="1" applyFill="1" applyBorder="1" applyAlignment="1">
      <alignment horizontal="center" vertical="center" wrapText="1"/>
    </xf>
    <xf numFmtId="0" fontId="104" fillId="0" borderId="10" xfId="0" applyFont="1" applyFill="1" applyBorder="1" applyAlignment="1">
      <alignment horizontal="center" vertical="center" wrapText="1"/>
    </xf>
    <xf numFmtId="0" fontId="100" fillId="0" borderId="10" xfId="0" applyFont="1" applyFill="1" applyBorder="1" applyAlignment="1">
      <alignment horizontal="center" vertical="center" wrapText="1"/>
    </xf>
    <xf numFmtId="0" fontId="102" fillId="0" borderId="15" xfId="0" applyFont="1" applyFill="1" applyBorder="1" applyAlignment="1">
      <alignment horizontal="center" vertical="top" wrapText="1"/>
    </xf>
    <xf numFmtId="0" fontId="99" fillId="0" borderId="13" xfId="0" applyFont="1" applyFill="1" applyBorder="1" applyAlignment="1">
      <alignment horizontal="center" vertical="top" wrapText="1"/>
    </xf>
    <xf numFmtId="0" fontId="99" fillId="0" borderId="14" xfId="0" applyFont="1" applyFill="1" applyBorder="1" applyAlignment="1">
      <alignment horizontal="center" vertical="top" wrapText="1"/>
    </xf>
    <xf numFmtId="178" fontId="101" fillId="0" borderId="29" xfId="0" applyNumberFormat="1" applyFont="1" applyFill="1" applyBorder="1" applyAlignment="1">
      <alignment horizontal="left" vertical="center" shrinkToFit="1"/>
    </xf>
    <xf numFmtId="178" fontId="101" fillId="0" borderId="30" xfId="0" applyNumberFormat="1" applyFont="1" applyFill="1" applyBorder="1" applyAlignment="1">
      <alignment horizontal="left" vertical="center" shrinkToFit="1"/>
    </xf>
    <xf numFmtId="178" fontId="101" fillId="0" borderId="31" xfId="0" applyNumberFormat="1" applyFont="1" applyFill="1" applyBorder="1" applyAlignment="1">
      <alignment horizontal="left" vertical="center" shrinkToFit="1"/>
    </xf>
    <xf numFmtId="0" fontId="104" fillId="0" borderId="29" xfId="0" applyFont="1" applyFill="1" applyBorder="1" applyAlignment="1">
      <alignment horizontal="left" vertical="center" wrapText="1"/>
    </xf>
    <xf numFmtId="0" fontId="104" fillId="0" borderId="30" xfId="0" applyFont="1" applyFill="1" applyBorder="1" applyAlignment="1">
      <alignment horizontal="left" vertical="center" wrapText="1"/>
    </xf>
    <xf numFmtId="0" fontId="104" fillId="0" borderId="31" xfId="0" applyFont="1" applyFill="1" applyBorder="1" applyAlignment="1">
      <alignment horizontal="left" vertical="center" wrapText="1"/>
    </xf>
    <xf numFmtId="0" fontId="103" fillId="0" borderId="0" xfId="0" applyFont="1" applyAlignment="1">
      <alignment horizontal="center"/>
    </xf>
    <xf numFmtId="0" fontId="100" fillId="8" borderId="19" xfId="0" applyFont="1" applyFill="1" applyBorder="1" applyAlignment="1">
      <alignment horizontal="center" vertical="center" wrapText="1"/>
    </xf>
    <xf numFmtId="0" fontId="100" fillId="8" borderId="32" xfId="0" applyFont="1" applyFill="1" applyBorder="1" applyAlignment="1">
      <alignment horizontal="center" vertical="center" wrapText="1"/>
    </xf>
    <xf numFmtId="0" fontId="100" fillId="36" borderId="20" xfId="0" applyFont="1" applyFill="1" applyBorder="1" applyAlignment="1">
      <alignment horizontal="center"/>
    </xf>
    <xf numFmtId="0" fontId="100" fillId="36" borderId="21" xfId="0" applyFont="1" applyFill="1" applyBorder="1" applyAlignment="1">
      <alignment horizontal="center"/>
    </xf>
    <xf numFmtId="0" fontId="100" fillId="36" borderId="22" xfId="0" applyFont="1" applyFill="1" applyBorder="1" applyAlignment="1">
      <alignment horizontal="center"/>
    </xf>
    <xf numFmtId="0" fontId="100" fillId="8" borderId="10" xfId="0" applyFont="1" applyFill="1" applyBorder="1" applyAlignment="1">
      <alignment horizontal="center" vertical="center" wrapText="1"/>
    </xf>
    <xf numFmtId="0" fontId="100" fillId="34" borderId="10" xfId="0" applyFont="1" applyFill="1" applyBorder="1" applyAlignment="1">
      <alignment horizontal="center" vertical="center" wrapText="1"/>
    </xf>
    <xf numFmtId="179" fontId="101" fillId="0" borderId="33" xfId="0" applyNumberFormat="1" applyFont="1" applyFill="1" applyBorder="1" applyAlignment="1">
      <alignment horizontal="left" vertical="center" shrinkToFit="1"/>
    </xf>
    <xf numFmtId="179" fontId="101" fillId="0" borderId="34" xfId="0" applyNumberFormat="1" applyFont="1" applyFill="1" applyBorder="1" applyAlignment="1">
      <alignment horizontal="left" vertical="center" shrinkToFit="1"/>
    </xf>
    <xf numFmtId="179" fontId="101" fillId="0" borderId="35" xfId="0" applyNumberFormat="1" applyFont="1" applyFill="1" applyBorder="1" applyAlignment="1">
      <alignment horizontal="left" vertical="center" shrinkToFit="1"/>
    </xf>
    <xf numFmtId="0" fontId="104" fillId="0" borderId="16" xfId="0" applyFont="1" applyFill="1" applyBorder="1" applyAlignment="1">
      <alignment horizontal="left" vertical="center" wrapText="1"/>
    </xf>
    <xf numFmtId="0" fontId="104" fillId="0" borderId="17" xfId="0" applyFont="1" applyFill="1" applyBorder="1" applyAlignment="1">
      <alignment horizontal="left" vertical="center" wrapText="1"/>
    </xf>
    <xf numFmtId="0" fontId="104" fillId="0" borderId="18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2" fillId="0" borderId="10" xfId="0" applyFont="1" applyBorder="1" applyAlignment="1">
      <alignment horizontal="center"/>
    </xf>
    <xf numFmtId="171" fontId="1" fillId="34" borderId="10" xfId="28" applyFont="1" applyFill="1" applyBorder="1" applyAlignment="1">
      <alignment horizontal="center" vertical="center" wrapText="1"/>
    </xf>
    <xf numFmtId="0" fontId="99" fillId="0" borderId="10" xfId="0" applyFont="1" applyBorder="1" applyAlignment="1">
      <alignment horizontal="center" vertical="center"/>
    </xf>
    <xf numFmtId="0" fontId="99" fillId="0" borderId="19" xfId="0" applyFont="1" applyBorder="1" applyAlignment="1">
      <alignment horizontal="center" vertical="center" wrapText="1"/>
    </xf>
    <xf numFmtId="0" fontId="99" fillId="0" borderId="25" xfId="0" applyFont="1" applyBorder="1" applyAlignment="1">
      <alignment horizontal="center" vertical="center" wrapText="1"/>
    </xf>
    <xf numFmtId="0" fontId="99" fillId="0" borderId="32" xfId="0" applyFont="1" applyBorder="1" applyAlignment="1">
      <alignment horizontal="center" vertical="center" wrapText="1"/>
    </xf>
    <xf numFmtId="0" fontId="99" fillId="0" borderId="0" xfId="0" applyFont="1" applyAlignment="1">
      <alignment horizontal="center" vertical="center"/>
    </xf>
    <xf numFmtId="0" fontId="99" fillId="0" borderId="10" xfId="0" applyFont="1" applyBorder="1" applyAlignment="1">
      <alignment horizontal="center" vertical="center" wrapText="1"/>
    </xf>
    <xf numFmtId="0" fontId="99" fillId="0" borderId="25" xfId="0" applyFont="1" applyBorder="1" applyAlignment="1">
      <alignment horizontal="center" vertical="center"/>
    </xf>
    <xf numFmtId="0" fontId="99" fillId="0" borderId="32" xfId="0" applyFont="1" applyBorder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17" xfId="45" applyFont="1" applyBorder="1" applyAlignment="1">
      <alignment horizontal="center" vertical="center"/>
      <protection/>
    </xf>
    <xf numFmtId="0" fontId="2" fillId="8" borderId="20" xfId="45" applyFont="1" applyFill="1" applyBorder="1" applyAlignment="1">
      <alignment horizontal="center" vertical="top"/>
      <protection/>
    </xf>
    <xf numFmtId="0" fontId="2" fillId="8" borderId="21" xfId="45" applyFont="1" applyFill="1" applyBorder="1" applyAlignment="1">
      <alignment horizontal="center" vertical="top"/>
      <protection/>
    </xf>
    <xf numFmtId="0" fontId="2" fillId="8" borderId="22" xfId="45" applyFont="1" applyFill="1" applyBorder="1" applyAlignment="1">
      <alignment horizontal="center" vertical="top"/>
      <protection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14" fillId="40" borderId="19" xfId="0" applyFont="1" applyFill="1" applyBorder="1" applyAlignment="1">
      <alignment horizontal="center" vertical="center" wrapText="1"/>
    </xf>
    <xf numFmtId="0" fontId="114" fillId="40" borderId="32" xfId="0" applyFont="1" applyFill="1" applyBorder="1" applyAlignment="1">
      <alignment horizontal="center" vertical="center" wrapText="1"/>
    </xf>
    <xf numFmtId="0" fontId="114" fillId="40" borderId="10" xfId="0" applyFont="1" applyFill="1" applyBorder="1" applyAlignment="1">
      <alignment horizontal="center" vertical="center" wrapText="1"/>
    </xf>
    <xf numFmtId="0" fontId="108" fillId="0" borderId="10" xfId="0" applyFont="1" applyBorder="1" applyAlignment="1">
      <alignment horizontal="center" vertical="center"/>
    </xf>
    <xf numFmtId="2" fontId="108" fillId="0" borderId="10" xfId="0" applyNumberFormat="1" applyFont="1" applyBorder="1" applyAlignment="1">
      <alignment horizontal="center" vertical="center"/>
    </xf>
    <xf numFmtId="0" fontId="108" fillId="0" borderId="10" xfId="0" applyFont="1" applyBorder="1" applyAlignment="1" quotePrefix="1">
      <alignment horizontal="center" vertical="center"/>
    </xf>
    <xf numFmtId="0" fontId="108" fillId="0" borderId="0" xfId="0" applyFont="1" applyAlignment="1">
      <alignment horizontal="left" vertical="top" wrapText="1"/>
    </xf>
    <xf numFmtId="0" fontId="108" fillId="40" borderId="10" xfId="0" applyFont="1" applyFill="1" applyBorder="1" applyAlignment="1">
      <alignment horizontal="center"/>
    </xf>
    <xf numFmtId="0" fontId="114" fillId="40" borderId="19" xfId="0" applyFont="1" applyFill="1" applyBorder="1" applyAlignment="1">
      <alignment horizontal="center" vertical="center" textRotation="90" wrapText="1"/>
    </xf>
    <xf numFmtId="0" fontId="114" fillId="40" borderId="32" xfId="0" applyFont="1" applyFill="1" applyBorder="1" applyAlignment="1">
      <alignment horizontal="center" vertical="center" textRotation="90" wrapText="1"/>
    </xf>
    <xf numFmtId="0" fontId="114" fillId="40" borderId="10" xfId="0" applyFont="1" applyFill="1" applyBorder="1" applyAlignment="1">
      <alignment horizontal="center" vertical="center" textRotation="90" wrapText="1"/>
    </xf>
    <xf numFmtId="0" fontId="108" fillId="0" borderId="0" xfId="0" applyFont="1" applyAlignment="1">
      <alignment horizontal="left" vertical="top"/>
    </xf>
    <xf numFmtId="0" fontId="108" fillId="0" borderId="0" xfId="0" applyFont="1" applyAlignment="1">
      <alignment horizontal="center" vertical="top"/>
    </xf>
    <xf numFmtId="0" fontId="108" fillId="0" borderId="0" xfId="0" applyFont="1" applyAlignment="1" quotePrefix="1">
      <alignment horizontal="center" vertical="top"/>
    </xf>
    <xf numFmtId="2" fontId="108" fillId="0" borderId="15" xfId="0" applyNumberFormat="1" applyFont="1" applyBorder="1" applyAlignment="1" quotePrefix="1">
      <alignment horizontal="center" vertical="center"/>
    </xf>
    <xf numFmtId="2" fontId="108" fillId="0" borderId="13" xfId="0" applyNumberFormat="1" applyFont="1" applyBorder="1" applyAlignment="1" quotePrefix="1">
      <alignment horizontal="center" vertical="center"/>
    </xf>
    <xf numFmtId="2" fontId="108" fillId="0" borderId="16" xfId="0" applyNumberFormat="1" applyFont="1" applyBorder="1" applyAlignment="1" quotePrefix="1">
      <alignment horizontal="center" vertical="center"/>
    </xf>
    <xf numFmtId="2" fontId="108" fillId="0" borderId="17" xfId="0" applyNumberFormat="1" applyFont="1" applyBorder="1" applyAlignment="1" quotePrefix="1">
      <alignment horizontal="center" vertical="center"/>
    </xf>
    <xf numFmtId="2" fontId="108" fillId="0" borderId="14" xfId="0" applyNumberFormat="1" applyFont="1" applyBorder="1" applyAlignment="1" quotePrefix="1">
      <alignment horizontal="center" vertical="center"/>
    </xf>
    <xf numFmtId="2" fontId="108" fillId="0" borderId="18" xfId="0" applyNumberFormat="1" applyFont="1" applyBorder="1" applyAlignment="1" quotePrefix="1">
      <alignment horizontal="center" vertical="center"/>
    </xf>
    <xf numFmtId="0" fontId="108" fillId="0" borderId="20" xfId="0" applyFont="1" applyBorder="1" applyAlignment="1" quotePrefix="1">
      <alignment horizontal="center" vertical="center"/>
    </xf>
    <xf numFmtId="0" fontId="108" fillId="0" borderId="21" xfId="0" applyFont="1" applyBorder="1" applyAlignment="1" quotePrefix="1">
      <alignment horizontal="center" vertical="center"/>
    </xf>
    <xf numFmtId="0" fontId="108" fillId="0" borderId="22" xfId="0" applyFont="1" applyBorder="1" applyAlignment="1" quotePrefix="1">
      <alignment horizontal="center" vertical="center"/>
    </xf>
    <xf numFmtId="0" fontId="108" fillId="0" borderId="20" xfId="0" applyFont="1" applyBorder="1" applyAlignment="1">
      <alignment horizontal="center" vertical="center"/>
    </xf>
    <xf numFmtId="0" fontId="108" fillId="0" borderId="21" xfId="0" applyFont="1" applyBorder="1" applyAlignment="1">
      <alignment horizontal="center" vertical="center"/>
    </xf>
    <xf numFmtId="0" fontId="108" fillId="0" borderId="22" xfId="0" applyFont="1" applyBorder="1" applyAlignment="1">
      <alignment horizontal="center" vertical="center"/>
    </xf>
    <xf numFmtId="0" fontId="109" fillId="0" borderId="0" xfId="0" applyFont="1" applyAlignment="1">
      <alignment horizontal="center" vertical="center" wrapText="1"/>
    </xf>
    <xf numFmtId="0" fontId="109" fillId="0" borderId="0" xfId="0" applyFont="1" applyAlignment="1">
      <alignment horizontal="center" vertical="center"/>
    </xf>
    <xf numFmtId="179" fontId="0" fillId="0" borderId="0" xfId="0" applyNumberFormat="1" applyAlignment="1">
      <alignment horizontal="center"/>
    </xf>
    <xf numFmtId="0" fontId="122" fillId="0" borderId="0" xfId="0" applyFont="1" applyAlignment="1">
      <alignment horizontal="center" vertical="center"/>
    </xf>
    <xf numFmtId="0" fontId="12" fillId="36" borderId="10" xfId="0" applyFont="1" applyFill="1" applyBorder="1" applyAlignment="1">
      <alignment horizontal="center" vertical="top" wrapText="1"/>
    </xf>
    <xf numFmtId="182" fontId="121" fillId="36" borderId="20" xfId="0" applyNumberFormat="1" applyFont="1" applyFill="1" applyBorder="1" applyAlignment="1">
      <alignment horizontal="center" vertical="top" shrinkToFit="1"/>
    </xf>
    <xf numFmtId="182" fontId="121" fillId="36" borderId="21" xfId="0" applyNumberFormat="1" applyFont="1" applyFill="1" applyBorder="1" applyAlignment="1">
      <alignment horizontal="center" vertical="top" shrinkToFit="1"/>
    </xf>
    <xf numFmtId="182" fontId="121" fillId="36" borderId="22" xfId="0" applyNumberFormat="1" applyFont="1" applyFill="1" applyBorder="1" applyAlignment="1">
      <alignment horizontal="center" vertical="top" shrinkToFit="1"/>
    </xf>
    <xf numFmtId="182" fontId="121" fillId="36" borderId="10" xfId="0" applyNumberFormat="1" applyFont="1" applyFill="1" applyBorder="1" applyAlignment="1">
      <alignment horizontal="center" vertical="top" shrinkToFit="1"/>
    </xf>
    <xf numFmtId="0" fontId="1" fillId="0" borderId="0" xfId="0" applyFont="1" applyAlignment="1">
      <alignment horizontal="left" vertical="top" wrapText="1"/>
    </xf>
    <xf numFmtId="0" fontId="11" fillId="0" borderId="15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center" vertical="top" wrapText="1"/>
    </xf>
    <xf numFmtId="0" fontId="11" fillId="0" borderId="14" xfId="0" applyFont="1" applyBorder="1" applyAlignment="1">
      <alignment horizontal="center" vertical="top" wrapText="1"/>
    </xf>
    <xf numFmtId="182" fontId="120" fillId="38" borderId="15" xfId="0" applyNumberFormat="1" applyFont="1" applyFill="1" applyBorder="1" applyAlignment="1">
      <alignment horizontal="center" vertical="top" shrinkToFit="1"/>
    </xf>
    <xf numFmtId="182" fontId="120" fillId="38" borderId="13" xfId="0" applyNumberFormat="1" applyFont="1" applyFill="1" applyBorder="1" applyAlignment="1">
      <alignment horizontal="center" vertical="top" shrinkToFit="1"/>
    </xf>
    <xf numFmtId="182" fontId="120" fillId="38" borderId="14" xfId="0" applyNumberFormat="1" applyFont="1" applyFill="1" applyBorder="1" applyAlignment="1">
      <alignment horizontal="center" vertical="top" shrinkToFit="1"/>
    </xf>
    <xf numFmtId="0" fontId="11" fillId="0" borderId="10" xfId="0" applyFont="1" applyBorder="1" applyAlignment="1">
      <alignment horizontal="center" vertical="top" wrapText="1"/>
    </xf>
    <xf numFmtId="0" fontId="111" fillId="0" borderId="10" xfId="0" applyFont="1" applyBorder="1" applyAlignment="1">
      <alignment horizontal="center" vertical="center" wrapText="1"/>
    </xf>
    <xf numFmtId="182" fontId="120" fillId="0" borderId="20" xfId="0" applyNumberFormat="1" applyFont="1" applyBorder="1" applyAlignment="1">
      <alignment horizontal="center" vertical="top" shrinkToFit="1"/>
    </xf>
    <xf numFmtId="182" fontId="120" fillId="0" borderId="21" xfId="0" applyNumberFormat="1" applyFont="1" applyBorder="1" applyAlignment="1">
      <alignment horizontal="center" vertical="top" shrinkToFit="1"/>
    </xf>
    <xf numFmtId="182" fontId="120" fillId="0" borderId="22" xfId="0" applyNumberFormat="1" applyFont="1" applyBorder="1" applyAlignment="1">
      <alignment horizontal="center" vertical="top" shrinkToFit="1"/>
    </xf>
    <xf numFmtId="0" fontId="111" fillId="0" borderId="15" xfId="0" applyFont="1" applyBorder="1" applyAlignment="1">
      <alignment horizontal="center" vertical="center" wrapText="1"/>
    </xf>
    <xf numFmtId="0" fontId="111" fillId="0" borderId="13" xfId="0" applyFont="1" applyBorder="1" applyAlignment="1">
      <alignment horizontal="center" vertical="center" wrapText="1"/>
    </xf>
    <xf numFmtId="0" fontId="111" fillId="0" borderId="1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0" fillId="36" borderId="0" xfId="0" applyFont="1" applyFill="1" applyAlignment="1">
      <alignment horizontal="center" vertical="top" wrapText="1"/>
    </xf>
    <xf numFmtId="0" fontId="119" fillId="0" borderId="0" xfId="0" applyFont="1" applyAlignment="1">
      <alignment horizontal="left" vertical="center"/>
    </xf>
    <xf numFmtId="0" fontId="9" fillId="36" borderId="20" xfId="0" applyFont="1" applyFill="1" applyBorder="1" applyAlignment="1">
      <alignment horizontal="center" vertical="top"/>
    </xf>
    <xf numFmtId="0" fontId="9" fillId="36" borderId="21" xfId="0" applyFont="1" applyFill="1" applyBorder="1" applyAlignment="1">
      <alignment horizontal="center" vertical="top"/>
    </xf>
    <xf numFmtId="0" fontId="9" fillId="36" borderId="22" xfId="0" applyFont="1" applyFill="1" applyBorder="1" applyAlignment="1">
      <alignment horizontal="center" vertical="top"/>
    </xf>
    <xf numFmtId="0" fontId="9" fillId="36" borderId="10" xfId="0" applyFont="1" applyFill="1" applyBorder="1" applyAlignment="1">
      <alignment horizontal="center" vertical="top"/>
    </xf>
    <xf numFmtId="0" fontId="118" fillId="0" borderId="15" xfId="45" applyFont="1" applyBorder="1" applyAlignment="1">
      <alignment horizontal="center" vertical="center"/>
      <protection/>
    </xf>
    <xf numFmtId="0" fontId="118" fillId="0" borderId="13" xfId="45" applyFont="1" applyBorder="1" applyAlignment="1">
      <alignment horizontal="center" vertical="center"/>
      <protection/>
    </xf>
    <xf numFmtId="0" fontId="118" fillId="0" borderId="14" xfId="45" applyFont="1" applyBorder="1" applyAlignment="1">
      <alignment horizontal="center" vertical="center"/>
      <protection/>
    </xf>
    <xf numFmtId="0" fontId="118" fillId="0" borderId="11" xfId="45" applyFont="1" applyBorder="1" applyAlignment="1">
      <alignment horizontal="center" vertical="center"/>
      <protection/>
    </xf>
    <xf numFmtId="0" fontId="118" fillId="0" borderId="0" xfId="45" applyFont="1" applyAlignment="1">
      <alignment horizontal="center" vertical="center"/>
      <protection/>
    </xf>
    <xf numFmtId="0" fontId="118" fillId="0" borderId="12" xfId="45" applyFont="1" applyBorder="1" applyAlignment="1">
      <alignment horizontal="center" vertical="center"/>
      <protection/>
    </xf>
    <xf numFmtId="0" fontId="118" fillId="0" borderId="16" xfId="45" applyFont="1" applyBorder="1" applyAlignment="1">
      <alignment horizontal="center" vertical="center"/>
      <protection/>
    </xf>
    <xf numFmtId="0" fontId="118" fillId="0" borderId="17" xfId="45" applyFont="1" applyBorder="1" applyAlignment="1">
      <alignment horizontal="center" vertical="center"/>
      <protection/>
    </xf>
    <xf numFmtId="0" fontId="118" fillId="0" borderId="18" xfId="45" applyFont="1" applyBorder="1" applyAlignment="1">
      <alignment horizontal="center" vertical="center"/>
      <protection/>
    </xf>
    <xf numFmtId="0" fontId="117" fillId="0" borderId="10" xfId="45" applyFont="1" applyBorder="1" applyAlignment="1">
      <alignment horizontal="left" indent="1"/>
      <protection/>
    </xf>
    <xf numFmtId="0" fontId="117" fillId="0" borderId="19" xfId="45" applyFont="1" applyBorder="1" applyAlignment="1">
      <alignment horizontal="left" indent="1"/>
      <protection/>
    </xf>
    <xf numFmtId="0" fontId="107" fillId="0" borderId="15" xfId="45" applyFont="1" applyBorder="1" applyAlignment="1">
      <alignment horizontal="left" vertical="center"/>
      <protection/>
    </xf>
    <xf numFmtId="0" fontId="107" fillId="0" borderId="14" xfId="45" applyFont="1" applyBorder="1" applyAlignment="1">
      <alignment horizontal="left" vertical="center"/>
      <protection/>
    </xf>
    <xf numFmtId="179" fontId="108" fillId="0" borderId="13" xfId="45" applyNumberFormat="1" applyFont="1" applyBorder="1" applyAlignment="1">
      <alignment horizontal="left" vertical="center"/>
      <protection/>
    </xf>
    <xf numFmtId="179" fontId="108" fillId="0" borderId="14" xfId="45" applyNumberFormat="1" applyFont="1" applyBorder="1" applyAlignment="1">
      <alignment horizontal="left" vertical="center"/>
      <protection/>
    </xf>
    <xf numFmtId="0" fontId="107" fillId="0" borderId="11" xfId="45" applyFont="1" applyBorder="1" applyAlignment="1">
      <alignment horizontal="left" vertical="center"/>
      <protection/>
    </xf>
    <xf numFmtId="0" fontId="107" fillId="0" borderId="12" xfId="45" applyFont="1" applyBorder="1" applyAlignment="1">
      <alignment horizontal="left" vertical="center"/>
      <protection/>
    </xf>
    <xf numFmtId="49" fontId="107" fillId="0" borderId="0" xfId="45" applyNumberFormat="1" applyFont="1" applyAlignment="1">
      <alignment horizontal="left" vertical="center"/>
      <protection/>
    </xf>
    <xf numFmtId="49" fontId="107" fillId="0" borderId="12" xfId="45" applyNumberFormat="1" applyFont="1" applyBorder="1" applyAlignment="1">
      <alignment horizontal="left" vertical="center"/>
      <protection/>
    </xf>
    <xf numFmtId="0" fontId="107" fillId="0" borderId="13" xfId="45" applyFont="1" applyBorder="1" applyAlignment="1">
      <alignment horizontal="left" vertical="center"/>
      <protection/>
    </xf>
    <xf numFmtId="0" fontId="107" fillId="0" borderId="0" xfId="45" applyFont="1" applyAlignment="1">
      <alignment horizontal="left" vertical="center"/>
      <protection/>
    </xf>
    <xf numFmtId="0" fontId="99" fillId="0" borderId="15" xfId="45" applyFont="1" applyFill="1" applyBorder="1" applyAlignment="1">
      <alignment horizontal="left" vertical="center"/>
      <protection/>
    </xf>
    <xf numFmtId="0" fontId="99" fillId="0" borderId="13" xfId="45" applyFont="1" applyFill="1" applyBorder="1" applyAlignment="1">
      <alignment horizontal="left" vertical="center"/>
      <protection/>
    </xf>
    <xf numFmtId="0" fontId="99" fillId="0" borderId="14" xfId="45" applyFont="1" applyFill="1" applyBorder="1" applyAlignment="1">
      <alignment horizontal="left" vertical="center"/>
      <protection/>
    </xf>
    <xf numFmtId="0" fontId="107" fillId="0" borderId="16" xfId="45" applyFont="1" applyBorder="1" applyAlignment="1">
      <alignment horizontal="left" vertical="center"/>
      <protection/>
    </xf>
    <xf numFmtId="0" fontId="107" fillId="0" borderId="18" xfId="45" applyFont="1" applyBorder="1" applyAlignment="1">
      <alignment horizontal="left" vertical="center"/>
      <protection/>
    </xf>
    <xf numFmtId="0" fontId="107" fillId="0" borderId="17" xfId="45" applyFont="1" applyBorder="1" applyAlignment="1">
      <alignment horizontal="left" vertical="center"/>
      <protection/>
    </xf>
    <xf numFmtId="0" fontId="108" fillId="0" borderId="11" xfId="45" applyFont="1" applyBorder="1" applyAlignment="1">
      <alignment horizontal="left" vertical="center"/>
      <protection/>
    </xf>
    <xf numFmtId="0" fontId="108" fillId="0" borderId="0" xfId="45" applyFont="1" applyAlignment="1">
      <alignment horizontal="left" vertical="center"/>
      <protection/>
    </xf>
    <xf numFmtId="0" fontId="108" fillId="0" borderId="12" xfId="45" applyFont="1" applyBorder="1" applyAlignment="1">
      <alignment horizontal="left" vertical="center"/>
      <protection/>
    </xf>
    <xf numFmtId="0" fontId="116" fillId="0" borderId="20" xfId="45" applyFont="1" applyBorder="1" applyAlignment="1">
      <alignment horizontal="left" vertical="center"/>
      <protection/>
    </xf>
    <xf numFmtId="0" fontId="108" fillId="0" borderId="21" xfId="45" applyFont="1" applyBorder="1" applyAlignment="1">
      <alignment horizontal="left" vertical="center"/>
      <protection/>
    </xf>
    <xf numFmtId="0" fontId="116" fillId="0" borderId="21" xfId="45" applyFont="1" applyBorder="1" applyAlignment="1">
      <alignment horizontal="left" vertical="center"/>
      <protection/>
    </xf>
    <xf numFmtId="0" fontId="108" fillId="0" borderId="22" xfId="45" applyFont="1" applyBorder="1" applyAlignment="1">
      <alignment horizontal="left" vertical="center"/>
      <protection/>
    </xf>
    <xf numFmtId="0" fontId="108" fillId="0" borderId="15" xfId="45" applyFont="1" applyBorder="1" applyAlignment="1">
      <alignment horizontal="left" vertical="center"/>
      <protection/>
    </xf>
    <xf numFmtId="0" fontId="108" fillId="0" borderId="13" xfId="45" applyFont="1" applyBorder="1" applyAlignment="1">
      <alignment horizontal="left" vertical="center"/>
      <protection/>
    </xf>
    <xf numFmtId="0" fontId="108" fillId="0" borderId="14" xfId="45" applyFont="1" applyBorder="1" applyAlignment="1">
      <alignment horizontal="left" vertical="center"/>
      <protection/>
    </xf>
    <xf numFmtId="0" fontId="111" fillId="0" borderId="11" xfId="45" applyFont="1" applyBorder="1" applyAlignment="1">
      <alignment horizontal="left" vertical="center"/>
      <protection/>
    </xf>
    <xf numFmtId="0" fontId="111" fillId="0" borderId="0" xfId="45" applyFont="1" applyAlignment="1">
      <alignment horizontal="left" vertical="center"/>
      <protection/>
    </xf>
    <xf numFmtId="0" fontId="111" fillId="0" borderId="12" xfId="45" applyFont="1" applyBorder="1" applyAlignment="1">
      <alignment horizontal="left" vertical="center"/>
      <protection/>
    </xf>
    <xf numFmtId="49" fontId="111" fillId="0" borderId="16" xfId="45" applyNumberFormat="1" applyFont="1" applyBorder="1" applyAlignment="1">
      <alignment horizontal="left" vertical="center"/>
      <protection/>
    </xf>
    <xf numFmtId="49" fontId="111" fillId="0" borderId="17" xfId="45" applyNumberFormat="1" applyFont="1" applyBorder="1" applyAlignment="1">
      <alignment horizontal="left" vertical="center"/>
      <protection/>
    </xf>
    <xf numFmtId="49" fontId="111" fillId="0" borderId="18" xfId="45" applyNumberFormat="1" applyFont="1" applyBorder="1" applyAlignment="1">
      <alignment horizontal="left" vertical="center"/>
      <protection/>
    </xf>
    <xf numFmtId="49" fontId="111" fillId="0" borderId="16" xfId="45" applyNumberFormat="1" applyFont="1" applyBorder="1" applyAlignment="1" quotePrefix="1">
      <alignment horizontal="left" vertical="center"/>
      <protection/>
    </xf>
    <xf numFmtId="49" fontId="111" fillId="0" borderId="17" xfId="45" applyNumberFormat="1" applyFont="1" applyBorder="1" applyAlignment="1" quotePrefix="1">
      <alignment horizontal="left" vertical="center"/>
      <protection/>
    </xf>
    <xf numFmtId="49" fontId="111" fillId="0" borderId="18" xfId="45" applyNumberFormat="1" applyFont="1" applyBorder="1" applyAlignment="1" quotePrefix="1">
      <alignment horizontal="left" vertical="center"/>
      <protection/>
    </xf>
    <xf numFmtId="0" fontId="105" fillId="0" borderId="20" xfId="45" applyFont="1" applyBorder="1" applyAlignment="1">
      <alignment horizontal="center" vertical="center" wrapText="1"/>
      <protection/>
    </xf>
    <xf numFmtId="0" fontId="105" fillId="0" borderId="21" xfId="45" applyFont="1" applyBorder="1" applyAlignment="1">
      <alignment horizontal="center" vertical="center" wrapText="1"/>
      <protection/>
    </xf>
    <xf numFmtId="0" fontId="105" fillId="0" borderId="22" xfId="45" applyFont="1" applyBorder="1" applyAlignment="1">
      <alignment horizontal="center" vertical="center" wrapText="1"/>
      <protection/>
    </xf>
    <xf numFmtId="0" fontId="108" fillId="0" borderId="10" xfId="45" applyFont="1" applyBorder="1" applyAlignment="1">
      <alignment horizontal="left" vertical="center"/>
      <protection/>
    </xf>
    <xf numFmtId="4" fontId="108" fillId="0" borderId="10" xfId="45" applyNumberFormat="1" applyFont="1" applyBorder="1" applyAlignment="1">
      <alignment horizontal="center" vertical="center"/>
      <protection/>
    </xf>
    <xf numFmtId="0" fontId="108" fillId="0" borderId="20" xfId="45" applyFont="1" applyBorder="1" applyAlignment="1">
      <alignment horizontal="left" vertical="center"/>
      <protection/>
    </xf>
    <xf numFmtId="4" fontId="108" fillId="0" borderId="20" xfId="45" applyNumberFormat="1" applyFont="1" applyBorder="1" applyAlignment="1">
      <alignment horizontal="center" vertical="center"/>
      <protection/>
    </xf>
    <xf numFmtId="4" fontId="108" fillId="0" borderId="21" xfId="45" applyNumberFormat="1" applyFont="1" applyBorder="1" applyAlignment="1">
      <alignment horizontal="center" vertical="center"/>
      <protection/>
    </xf>
    <xf numFmtId="4" fontId="108" fillId="0" borderId="22" xfId="45" applyNumberFormat="1" applyFont="1" applyBorder="1" applyAlignment="1">
      <alignment horizontal="center" vertical="center"/>
      <protection/>
    </xf>
    <xf numFmtId="0" fontId="107" fillId="0" borderId="10" xfId="45" applyFont="1" applyBorder="1" applyAlignment="1">
      <alignment horizontal="left" vertical="center"/>
      <protection/>
    </xf>
    <xf numFmtId="0" fontId="111" fillId="0" borderId="0" xfId="45" applyFont="1" applyAlignment="1">
      <alignment horizontal="center" vertical="center"/>
      <protection/>
    </xf>
    <xf numFmtId="0" fontId="111" fillId="0" borderId="12" xfId="45" applyFont="1" applyBorder="1" applyAlignment="1">
      <alignment horizontal="center" vertical="center"/>
      <protection/>
    </xf>
    <xf numFmtId="0" fontId="111" fillId="0" borderId="17" xfId="45" applyFont="1" applyBorder="1" applyAlignment="1">
      <alignment horizontal="center" vertical="center"/>
      <protection/>
    </xf>
    <xf numFmtId="0" fontId="111" fillId="0" borderId="18" xfId="45" applyFont="1" applyBorder="1" applyAlignment="1">
      <alignment horizontal="center" vertical="center"/>
      <protection/>
    </xf>
    <xf numFmtId="0" fontId="3" fillId="0" borderId="11" xfId="45" applyFont="1" applyBorder="1" applyAlignment="1">
      <alignment horizontal="center"/>
      <protection/>
    </xf>
    <xf numFmtId="0" fontId="3" fillId="0" borderId="0" xfId="45" applyFont="1" applyAlignment="1">
      <alignment horizontal="center"/>
      <protection/>
    </xf>
    <xf numFmtId="0" fontId="3" fillId="0" borderId="12" xfId="45" applyFont="1" applyBorder="1" applyAlignment="1">
      <alignment horizontal="center"/>
      <protection/>
    </xf>
    <xf numFmtId="0" fontId="3" fillId="0" borderId="16" xfId="45" applyFont="1" applyBorder="1" applyAlignment="1">
      <alignment horizontal="center"/>
      <protection/>
    </xf>
    <xf numFmtId="0" fontId="3" fillId="0" borderId="17" xfId="45" applyFont="1" applyBorder="1" applyAlignment="1">
      <alignment horizontal="center"/>
      <protection/>
    </xf>
    <xf numFmtId="0" fontId="3" fillId="0" borderId="18" xfId="45" applyFont="1" applyBorder="1" applyAlignment="1">
      <alignment horizontal="center"/>
      <protection/>
    </xf>
    <xf numFmtId="0" fontId="115" fillId="0" borderId="0" xfId="45" applyFont="1" applyAlignment="1">
      <alignment horizontal="left" vertical="center"/>
      <protection/>
    </xf>
    <xf numFmtId="0" fontId="114" fillId="0" borderId="0" xfId="45" applyFont="1" applyAlignment="1">
      <alignment horizontal="left" vertical="center"/>
      <protection/>
    </xf>
    <xf numFmtId="2" fontId="106" fillId="0" borderId="0" xfId="45" applyNumberFormat="1" applyFont="1" applyAlignment="1">
      <alignment horizontal="center" vertical="center"/>
      <protection/>
    </xf>
    <xf numFmtId="0" fontId="108" fillId="0" borderId="11" xfId="45" applyFont="1" applyBorder="1" applyAlignment="1">
      <alignment horizontal="left" vertical="center" wrapText="1"/>
      <protection/>
    </xf>
    <xf numFmtId="0" fontId="108" fillId="0" borderId="0" xfId="45" applyFont="1" applyAlignment="1">
      <alignment horizontal="left" vertical="center" wrapText="1"/>
      <protection/>
    </xf>
    <xf numFmtId="0" fontId="108" fillId="0" borderId="12" xfId="45" applyFont="1" applyBorder="1" applyAlignment="1">
      <alignment horizontal="left" vertical="center" wrapText="1"/>
      <protection/>
    </xf>
    <xf numFmtId="0" fontId="111" fillId="0" borderId="15" xfId="45" applyFont="1" applyBorder="1" applyAlignment="1">
      <alignment horizontal="left" vertical="center"/>
      <protection/>
    </xf>
    <xf numFmtId="0" fontId="111" fillId="0" borderId="13" xfId="45" applyFont="1" applyBorder="1" applyAlignment="1">
      <alignment horizontal="left" vertical="center"/>
      <protection/>
    </xf>
    <xf numFmtId="0" fontId="111" fillId="0" borderId="14" xfId="45" applyFont="1" applyBorder="1" applyAlignment="1">
      <alignment horizontal="left" vertical="center"/>
      <protection/>
    </xf>
    <xf numFmtId="4" fontId="108" fillId="0" borderId="19" xfId="45" applyNumberFormat="1" applyFont="1" applyBorder="1" applyAlignment="1">
      <alignment horizontal="center" vertical="center"/>
      <protection/>
    </xf>
    <xf numFmtId="0" fontId="109" fillId="0" borderId="20" xfId="45" applyFont="1" applyBorder="1" applyAlignment="1">
      <alignment horizontal="center" vertical="center" wrapText="1"/>
      <protection/>
    </xf>
    <xf numFmtId="0" fontId="109" fillId="0" borderId="21" xfId="45" applyFont="1" applyBorder="1" applyAlignment="1">
      <alignment horizontal="center" vertical="center" wrapText="1"/>
      <protection/>
    </xf>
    <xf numFmtId="0" fontId="109" fillId="0" borderId="22" xfId="45" applyFont="1" applyBorder="1" applyAlignment="1">
      <alignment horizontal="center" vertical="center" wrapText="1"/>
      <protection/>
    </xf>
    <xf numFmtId="0" fontId="107" fillId="0" borderId="10" xfId="45" applyFont="1" applyBorder="1" applyAlignment="1">
      <alignment horizontal="left" vertical="center" wrapText="1"/>
      <protection/>
    </xf>
    <xf numFmtId="0" fontId="108" fillId="39" borderId="20" xfId="45" applyFont="1" applyFill="1" applyBorder="1" applyAlignment="1">
      <alignment horizontal="left" vertical="center" wrapText="1"/>
      <protection/>
    </xf>
    <xf numFmtId="0" fontId="108" fillId="39" borderId="21" xfId="45" applyFont="1" applyFill="1" applyBorder="1" applyAlignment="1">
      <alignment horizontal="left" vertical="center" wrapText="1"/>
      <protection/>
    </xf>
    <xf numFmtId="0" fontId="108" fillId="39" borderId="22" xfId="45" applyFont="1" applyFill="1" applyBorder="1" applyAlignment="1">
      <alignment horizontal="left" vertical="center" wrapText="1"/>
      <protection/>
    </xf>
    <xf numFmtId="0" fontId="108" fillId="0" borderId="20" xfId="45" applyFont="1" applyBorder="1" applyAlignment="1">
      <alignment horizontal="left" vertical="center" wrapText="1"/>
      <protection/>
    </xf>
    <xf numFmtId="0" fontId="108" fillId="0" borderId="21" xfId="45" applyFont="1" applyBorder="1" applyAlignment="1">
      <alignment horizontal="left" vertical="center" wrapText="1"/>
      <protection/>
    </xf>
    <xf numFmtId="0" fontId="108" fillId="0" borderId="22" xfId="45" applyFont="1" applyBorder="1" applyAlignment="1">
      <alignment horizontal="left" vertical="center" wrapText="1"/>
      <protection/>
    </xf>
    <xf numFmtId="0" fontId="107" fillId="39" borderId="20" xfId="45" applyFont="1" applyFill="1" applyBorder="1" applyAlignment="1">
      <alignment horizontal="center" vertical="center" wrapText="1"/>
      <protection/>
    </xf>
    <xf numFmtId="0" fontId="107" fillId="39" borderId="21" xfId="45" applyFont="1" applyFill="1" applyBorder="1" applyAlignment="1">
      <alignment horizontal="center" vertical="center" wrapText="1"/>
      <protection/>
    </xf>
    <xf numFmtId="0" fontId="107" fillId="39" borderId="22" xfId="45" applyFont="1" applyFill="1" applyBorder="1" applyAlignment="1">
      <alignment horizontal="center" vertical="center" wrapText="1"/>
      <protection/>
    </xf>
    <xf numFmtId="0" fontId="113" fillId="0" borderId="15" xfId="45" applyFont="1" applyBorder="1" applyAlignment="1">
      <alignment horizontal="left" vertical="center" wrapText="1"/>
      <protection/>
    </xf>
    <xf numFmtId="0" fontId="113" fillId="0" borderId="13" xfId="45" applyFont="1" applyBorder="1" applyAlignment="1">
      <alignment horizontal="left" vertical="center" wrapText="1"/>
      <protection/>
    </xf>
    <xf numFmtId="0" fontId="113" fillId="0" borderId="14" xfId="45" applyFont="1" applyBorder="1" applyAlignment="1">
      <alignment horizontal="left" vertical="center" wrapText="1"/>
      <protection/>
    </xf>
    <xf numFmtId="4" fontId="108" fillId="0" borderId="20" xfId="30" applyNumberFormat="1" applyFont="1" applyBorder="1" applyAlignment="1">
      <alignment horizontal="right"/>
    </xf>
    <xf numFmtId="4" fontId="108" fillId="0" borderId="22" xfId="30" applyNumberFormat="1" applyFont="1" applyBorder="1" applyAlignment="1">
      <alignment horizontal="right"/>
    </xf>
    <xf numFmtId="4" fontId="107" fillId="0" borderId="20" xfId="30" applyNumberFormat="1" applyFont="1" applyBorder="1" applyAlignment="1">
      <alignment horizontal="right"/>
    </xf>
    <xf numFmtId="4" fontId="107" fillId="0" borderId="22" xfId="30" applyNumberFormat="1" applyFont="1" applyBorder="1" applyAlignment="1">
      <alignment horizontal="right"/>
    </xf>
    <xf numFmtId="180" fontId="107" fillId="0" borderId="20" xfId="45" applyNumberFormat="1" applyFont="1" applyBorder="1" applyAlignment="1">
      <alignment horizontal="center" vertical="center"/>
      <protection/>
    </xf>
    <xf numFmtId="180" fontId="107" fillId="0" borderId="21" xfId="45" applyNumberFormat="1" applyFont="1" applyBorder="1" applyAlignment="1">
      <alignment horizontal="center" vertical="center"/>
      <protection/>
    </xf>
    <xf numFmtId="180" fontId="107" fillId="0" borderId="22" xfId="45" applyNumberFormat="1" applyFont="1" applyBorder="1" applyAlignment="1">
      <alignment horizontal="center" vertical="center"/>
      <protection/>
    </xf>
    <xf numFmtId="0" fontId="112" fillId="0" borderId="20" xfId="45" applyFont="1" applyBorder="1" applyAlignment="1">
      <alignment horizontal="center" vertical="center"/>
      <protection/>
    </xf>
    <xf numFmtId="0" fontId="112" fillId="0" borderId="21" xfId="45" applyFont="1" applyBorder="1" applyAlignment="1">
      <alignment horizontal="center" vertical="center"/>
      <protection/>
    </xf>
    <xf numFmtId="0" fontId="112" fillId="0" borderId="22" xfId="45" applyFont="1" applyBorder="1" applyAlignment="1">
      <alignment horizontal="center" vertical="center"/>
      <protection/>
    </xf>
    <xf numFmtId="0" fontId="106" fillId="0" borderId="20" xfId="45" applyFont="1" applyBorder="1" applyAlignment="1">
      <alignment horizontal="center" vertical="center"/>
      <protection/>
    </xf>
    <xf numFmtId="0" fontId="106" fillId="0" borderId="21" xfId="45" applyFont="1" applyBorder="1" applyAlignment="1">
      <alignment horizontal="center" vertical="center"/>
      <protection/>
    </xf>
    <xf numFmtId="0" fontId="106" fillId="0" borderId="22" xfId="45" applyFont="1" applyBorder="1" applyAlignment="1">
      <alignment horizontal="center" vertical="center"/>
      <protection/>
    </xf>
    <xf numFmtId="0" fontId="109" fillId="0" borderId="10" xfId="45" applyFont="1" applyBorder="1" applyAlignment="1">
      <alignment horizontal="center" vertical="center"/>
      <protection/>
    </xf>
    <xf numFmtId="0" fontId="111" fillId="0" borderId="10" xfId="45" applyFont="1" applyBorder="1" applyAlignment="1">
      <alignment horizontal="left" vertical="center"/>
      <protection/>
    </xf>
    <xf numFmtId="0" fontId="108" fillId="34" borderId="20" xfId="45" applyFont="1" applyFill="1" applyBorder="1" applyAlignment="1">
      <alignment horizontal="left" vertical="center"/>
      <protection/>
    </xf>
    <xf numFmtId="0" fontId="108" fillId="34" borderId="21" xfId="45" applyFont="1" applyFill="1" applyBorder="1" applyAlignment="1">
      <alignment horizontal="left" vertical="center"/>
      <protection/>
    </xf>
    <xf numFmtId="0" fontId="108" fillId="34" borderId="22" xfId="45" applyFont="1" applyFill="1" applyBorder="1" applyAlignment="1">
      <alignment horizontal="left" vertical="center"/>
      <protection/>
    </xf>
    <xf numFmtId="0" fontId="110" fillId="0" borderId="10" xfId="45" applyFont="1" applyBorder="1" applyAlignment="1">
      <alignment horizontal="center" vertical="center"/>
      <protection/>
    </xf>
    <xf numFmtId="0" fontId="109" fillId="0" borderId="20" xfId="45" applyFont="1" applyBorder="1" applyAlignment="1">
      <alignment horizontal="left" vertical="center"/>
      <protection/>
    </xf>
    <xf numFmtId="0" fontId="109" fillId="0" borderId="21" xfId="45" applyFont="1" applyBorder="1" applyAlignment="1">
      <alignment horizontal="left" vertical="center"/>
      <protection/>
    </xf>
    <xf numFmtId="0" fontId="109" fillId="0" borderId="22" xfId="45" applyFont="1" applyBorder="1" applyAlignment="1">
      <alignment horizontal="left" vertical="center"/>
      <protection/>
    </xf>
    <xf numFmtId="0" fontId="105" fillId="0" borderId="0" xfId="45" applyFont="1" applyAlignment="1">
      <alignment horizontal="left" vertical="center"/>
      <protection/>
    </xf>
    <xf numFmtId="0" fontId="105" fillId="0" borderId="12" xfId="45" applyFont="1" applyBorder="1" applyAlignment="1">
      <alignment horizontal="left" vertical="center"/>
      <protection/>
    </xf>
    <xf numFmtId="0" fontId="107" fillId="0" borderId="20" xfId="45" applyFont="1" applyBorder="1" applyAlignment="1">
      <alignment horizontal="left" wrapText="1"/>
      <protection/>
    </xf>
    <xf numFmtId="0" fontId="107" fillId="0" borderId="21" xfId="45" applyFont="1" applyBorder="1" applyAlignment="1">
      <alignment horizontal="left" wrapText="1"/>
      <protection/>
    </xf>
    <xf numFmtId="0" fontId="107" fillId="0" borderId="22" xfId="45" applyFont="1" applyBorder="1" applyAlignment="1">
      <alignment horizontal="left" wrapText="1"/>
      <protection/>
    </xf>
    <xf numFmtId="0" fontId="107" fillId="0" borderId="10" xfId="45" applyFont="1" applyBorder="1" applyAlignment="1">
      <alignment horizontal="left" wrapText="1"/>
      <protection/>
    </xf>
    <xf numFmtId="0" fontId="108" fillId="34" borderId="20" xfId="45" applyFont="1" applyFill="1" applyBorder="1" applyAlignment="1">
      <alignment horizontal="right" vertical="center" wrapText="1"/>
      <protection/>
    </xf>
    <xf numFmtId="0" fontId="108" fillId="34" borderId="22" xfId="45" applyFont="1" applyFill="1" applyBorder="1" applyAlignment="1">
      <alignment horizontal="right" vertical="center" wrapText="1"/>
      <protection/>
    </xf>
    <xf numFmtId="0" fontId="108" fillId="34" borderId="20" xfId="45" applyFont="1" applyFill="1" applyBorder="1" applyAlignment="1">
      <alignment horizontal="right" vertical="center"/>
      <protection/>
    </xf>
    <xf numFmtId="0" fontId="108" fillId="34" borderId="22" xfId="45" applyFont="1" applyFill="1" applyBorder="1" applyAlignment="1">
      <alignment horizontal="right" vertical="center"/>
      <protection/>
    </xf>
    <xf numFmtId="0" fontId="107" fillId="0" borderId="21" xfId="45" applyFont="1" applyBorder="1" applyAlignment="1">
      <alignment horizontal="left"/>
      <protection/>
    </xf>
    <xf numFmtId="0" fontId="107" fillId="0" borderId="22" xfId="45" applyFont="1" applyBorder="1" applyAlignment="1">
      <alignment horizontal="left"/>
      <protection/>
    </xf>
    <xf numFmtId="0" fontId="107" fillId="0" borderId="10" xfId="45" applyFont="1" applyBorder="1" applyAlignment="1">
      <alignment horizontal="left"/>
      <protection/>
    </xf>
    <xf numFmtId="0" fontId="107" fillId="0" borderId="20" xfId="45" applyFont="1" applyBorder="1" applyAlignment="1">
      <alignment horizontal="left"/>
      <protection/>
    </xf>
    <xf numFmtId="0" fontId="106" fillId="34" borderId="15" xfId="45" applyFont="1" applyFill="1" applyBorder="1" applyAlignment="1">
      <alignment horizontal="center" vertical="center" wrapText="1"/>
      <protection/>
    </xf>
    <xf numFmtId="0" fontId="106" fillId="34" borderId="13" xfId="45" applyFont="1" applyFill="1" applyBorder="1" applyAlignment="1">
      <alignment horizontal="center" vertical="center" wrapText="1"/>
      <protection/>
    </xf>
    <xf numFmtId="0" fontId="106" fillId="34" borderId="14" xfId="45" applyFont="1" applyFill="1" applyBorder="1" applyAlignment="1">
      <alignment horizontal="center" vertical="center" wrapText="1"/>
      <protection/>
    </xf>
    <xf numFmtId="0" fontId="105" fillId="0" borderId="0" xfId="45" applyFont="1" applyAlignment="1">
      <alignment horizontal="left" vertical="center" wrapText="1"/>
      <protection/>
    </xf>
    <xf numFmtId="0" fontId="105" fillId="0" borderId="12" xfId="45" applyFont="1" applyBorder="1" applyAlignment="1">
      <alignment horizontal="left" vertical="center" wrapText="1"/>
      <protection/>
    </xf>
    <xf numFmtId="0" fontId="100" fillId="0" borderId="10" xfId="45" applyFont="1" applyBorder="1" applyAlignment="1">
      <alignment horizontal="center" vertical="center" wrapText="1"/>
      <protection/>
    </xf>
    <xf numFmtId="0" fontId="104" fillId="0" borderId="10" xfId="45" applyFont="1" applyBorder="1" applyAlignment="1">
      <alignment horizontal="center" vertical="center" wrapText="1"/>
      <protection/>
    </xf>
    <xf numFmtId="0" fontId="104" fillId="0" borderId="10" xfId="45" applyFont="1" applyFill="1" applyBorder="1" applyAlignment="1">
      <alignment horizontal="left" vertical="center" wrapText="1"/>
      <protection/>
    </xf>
    <xf numFmtId="179" fontId="101" fillId="0" borderId="33" xfId="45" applyNumberFormat="1" applyFont="1" applyBorder="1" applyAlignment="1">
      <alignment horizontal="left" vertical="center" shrinkToFit="1"/>
      <protection/>
    </xf>
    <xf numFmtId="179" fontId="101" fillId="0" borderId="34" xfId="45" applyNumberFormat="1" applyFont="1" applyBorder="1" applyAlignment="1">
      <alignment horizontal="left" vertical="center" shrinkToFit="1"/>
      <protection/>
    </xf>
    <xf numFmtId="179" fontId="101" fillId="0" borderId="35" xfId="45" applyNumberFormat="1" applyFont="1" applyBorder="1" applyAlignment="1">
      <alignment horizontal="left" vertical="center" shrinkToFit="1"/>
      <protection/>
    </xf>
    <xf numFmtId="0" fontId="104" fillId="0" borderId="10" xfId="45" applyFont="1" applyBorder="1" applyAlignment="1">
      <alignment horizontal="left" vertical="center" wrapText="1"/>
      <protection/>
    </xf>
    <xf numFmtId="0" fontId="104" fillId="0" borderId="29" xfId="45" applyFont="1" applyBorder="1" applyAlignment="1">
      <alignment horizontal="left" vertical="center" wrapText="1"/>
      <protection/>
    </xf>
    <xf numFmtId="0" fontId="104" fillId="0" borderId="30" xfId="45" applyFont="1" applyBorder="1" applyAlignment="1">
      <alignment horizontal="left" vertical="center" wrapText="1"/>
      <protection/>
    </xf>
    <xf numFmtId="0" fontId="104" fillId="0" borderId="31" xfId="45" applyFont="1" applyBorder="1" applyAlignment="1">
      <alignment horizontal="left" vertical="center" wrapText="1"/>
      <protection/>
    </xf>
    <xf numFmtId="0" fontId="104" fillId="0" borderId="16" xfId="45" applyFont="1" applyBorder="1" applyAlignment="1">
      <alignment horizontal="left" vertical="center" wrapText="1"/>
      <protection/>
    </xf>
    <xf numFmtId="0" fontId="104" fillId="0" borderId="17" xfId="45" applyFont="1" applyBorder="1" applyAlignment="1">
      <alignment horizontal="left" vertical="center" wrapText="1"/>
      <protection/>
    </xf>
    <xf numFmtId="0" fontId="104" fillId="0" borderId="18" xfId="45" applyFont="1" applyBorder="1" applyAlignment="1">
      <alignment horizontal="left" vertical="center" wrapText="1"/>
      <protection/>
    </xf>
    <xf numFmtId="0" fontId="100" fillId="8" borderId="10" xfId="45" applyFont="1" applyFill="1" applyBorder="1" applyAlignment="1">
      <alignment horizontal="center" vertical="center" wrapText="1"/>
      <protection/>
    </xf>
    <xf numFmtId="0" fontId="103" fillId="0" borderId="0" xfId="45" applyFont="1" applyAlignment="1">
      <alignment horizontal="center"/>
      <protection/>
    </xf>
    <xf numFmtId="0" fontId="100" fillId="8" borderId="19" xfId="45" applyFont="1" applyFill="1" applyBorder="1" applyAlignment="1">
      <alignment horizontal="center" vertical="center" wrapText="1"/>
      <protection/>
    </xf>
    <xf numFmtId="0" fontId="100" fillId="8" borderId="32" xfId="45" applyFont="1" applyFill="1" applyBorder="1" applyAlignment="1">
      <alignment horizontal="center" vertical="center" wrapText="1"/>
      <protection/>
    </xf>
    <xf numFmtId="0" fontId="100" fillId="36" borderId="20" xfId="45" applyFont="1" applyFill="1" applyBorder="1" applyAlignment="1">
      <alignment horizontal="center"/>
      <protection/>
    </xf>
    <xf numFmtId="0" fontId="100" fillId="36" borderId="21" xfId="45" applyFont="1" applyFill="1" applyBorder="1" applyAlignment="1">
      <alignment horizontal="center"/>
      <protection/>
    </xf>
    <xf numFmtId="0" fontId="100" fillId="36" borderId="22" xfId="45" applyFont="1" applyFill="1" applyBorder="1" applyAlignment="1">
      <alignment horizontal="center"/>
      <protection/>
    </xf>
    <xf numFmtId="0" fontId="100" fillId="34" borderId="10" xfId="45" applyFont="1" applyFill="1" applyBorder="1" applyAlignment="1">
      <alignment horizontal="center" vertical="center" wrapText="1"/>
      <protection/>
    </xf>
    <xf numFmtId="0" fontId="102" fillId="0" borderId="15" xfId="45" applyFont="1" applyBorder="1" applyAlignment="1">
      <alignment horizontal="center" vertical="top" wrapText="1"/>
      <protection/>
    </xf>
    <xf numFmtId="0" fontId="99" fillId="0" borderId="13" xfId="45" applyFont="1" applyBorder="1" applyAlignment="1">
      <alignment horizontal="center" vertical="top" wrapText="1"/>
      <protection/>
    </xf>
    <xf numFmtId="0" fontId="99" fillId="0" borderId="14" xfId="45" applyFont="1" applyBorder="1" applyAlignment="1">
      <alignment horizontal="center" vertical="top" wrapText="1"/>
      <protection/>
    </xf>
    <xf numFmtId="178" fontId="101" fillId="0" borderId="29" xfId="45" applyNumberFormat="1" applyFont="1" applyBorder="1" applyAlignment="1">
      <alignment horizontal="left" vertical="center" shrinkToFit="1"/>
      <protection/>
    </xf>
    <xf numFmtId="178" fontId="101" fillId="0" borderId="30" xfId="45" applyNumberFormat="1" applyFont="1" applyBorder="1" applyAlignment="1">
      <alignment horizontal="left" vertical="center" shrinkToFit="1"/>
      <protection/>
    </xf>
    <xf numFmtId="178" fontId="101" fillId="0" borderId="31" xfId="45" applyNumberFormat="1" applyFont="1" applyBorder="1" applyAlignment="1">
      <alignment horizontal="left" vertical="center" shrinkToFit="1"/>
      <protection/>
    </xf>
    <xf numFmtId="1" fontId="101" fillId="0" borderId="29" xfId="45" applyNumberFormat="1" applyFont="1" applyBorder="1" applyAlignment="1" quotePrefix="1">
      <alignment horizontal="left" vertical="center" shrinkToFit="1"/>
      <protection/>
    </xf>
    <xf numFmtId="1" fontId="101" fillId="0" borderId="30" xfId="45" applyNumberFormat="1" applyFont="1" applyBorder="1" applyAlignment="1">
      <alignment horizontal="left" vertical="center" shrinkToFit="1"/>
      <protection/>
    </xf>
    <xf numFmtId="1" fontId="101" fillId="0" borderId="31" xfId="45" applyNumberFormat="1" applyFont="1" applyBorder="1" applyAlignment="1">
      <alignment horizontal="left" vertical="center" shrinkToFit="1"/>
      <protection/>
    </xf>
    <xf numFmtId="0" fontId="100" fillId="8" borderId="20" xfId="45" applyFont="1" applyFill="1" applyBorder="1" applyAlignment="1">
      <alignment horizontal="center" vertical="center" wrapText="1"/>
      <protection/>
    </xf>
    <xf numFmtId="0" fontId="100" fillId="8" borderId="21" xfId="45" applyFont="1" applyFill="1" applyBorder="1" applyAlignment="1">
      <alignment horizontal="center" vertical="center" wrapText="1"/>
      <protection/>
    </xf>
    <xf numFmtId="0" fontId="100" fillId="8" borderId="22" xfId="45" applyFont="1" applyFill="1" applyBorder="1" applyAlignment="1">
      <alignment horizontal="center" vertical="center" wrapText="1"/>
      <protection/>
    </xf>
    <xf numFmtId="0" fontId="99" fillId="0" borderId="25" xfId="45" applyFont="1" applyBorder="1" applyAlignment="1">
      <alignment horizontal="center" vertical="center"/>
      <protection/>
    </xf>
    <xf numFmtId="0" fontId="99" fillId="0" borderId="32" xfId="45" applyFont="1" applyBorder="1" applyAlignment="1">
      <alignment horizontal="center" vertical="center"/>
      <protection/>
    </xf>
    <xf numFmtId="0" fontId="99" fillId="0" borderId="25" xfId="45" applyFont="1" applyBorder="1" applyAlignment="1">
      <alignment horizontal="center" vertical="center" wrapText="1"/>
      <protection/>
    </xf>
    <xf numFmtId="0" fontId="99" fillId="0" borderId="32" xfId="45" applyFont="1" applyBorder="1" applyAlignment="1">
      <alignment horizontal="center" vertical="center" wrapText="1"/>
      <protection/>
    </xf>
    <xf numFmtId="0" fontId="99" fillId="0" borderId="10" xfId="45" applyFont="1" applyBorder="1" applyAlignment="1">
      <alignment horizontal="center" vertical="center"/>
      <protection/>
    </xf>
    <xf numFmtId="0" fontId="99" fillId="0" borderId="10" xfId="45" applyFont="1" applyBorder="1" applyAlignment="1">
      <alignment horizontal="center" vertical="center" wrapText="1"/>
      <protection/>
    </xf>
    <xf numFmtId="0" fontId="99" fillId="0" borderId="0" xfId="45" applyFont="1" applyAlignment="1">
      <alignment horizontal="center" vertical="center"/>
      <protection/>
    </xf>
    <xf numFmtId="0" fontId="98" fillId="0" borderId="0" xfId="45" applyFont="1" applyAlignment="1">
      <alignment horizontal="center" vertical="center"/>
      <protection/>
    </xf>
    <xf numFmtId="0" fontId="97" fillId="0" borderId="0" xfId="45" applyFont="1" applyAlignment="1">
      <alignment horizontal="center" vertical="center"/>
      <protection/>
    </xf>
    <xf numFmtId="0" fontId="2" fillId="0" borderId="0" xfId="45" applyFont="1" applyAlignment="1">
      <alignment horizontal="center" vertical="center"/>
      <protection/>
    </xf>
    <xf numFmtId="0" fontId="2" fillId="0" borderId="0" xfId="45" applyFont="1" applyAlignment="1">
      <alignment horizontal="center"/>
      <protection/>
    </xf>
    <xf numFmtId="0" fontId="7" fillId="0" borderId="0" xfId="45" applyFont="1" applyAlignment="1">
      <alignment horizontal="center" vertical="center"/>
      <protection/>
    </xf>
  </cellXfs>
  <cellStyles count="53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omma 2" xfId="30"/>
    <cellStyle name="Currency" xfId="31" builtinId="4"/>
    <cellStyle name="Currency [0]" xfId="32" builtinId="7"/>
    <cellStyle name="Explanatory Text" xfId="33"/>
    <cellStyle name="Followed Hyperlink" xfId="34" builtinId="9"/>
    <cellStyle name="Good" xfId="35"/>
    <cellStyle name="Heading 1" xfId="36"/>
    <cellStyle name="Heading 2" xfId="37"/>
    <cellStyle name="Heading 3" xfId="38"/>
    <cellStyle name="Heading 4" xfId="39"/>
    <cellStyle name="Hyperlink" xfId="40" builtinId="8"/>
    <cellStyle name="Input" xfId="41"/>
    <cellStyle name="Linked Cell" xfId="42"/>
    <cellStyle name="Neutral" xfId="43"/>
    <cellStyle name="Normal 2" xfId="44"/>
    <cellStyle name="Normal 3" xfId="45"/>
    <cellStyle name="Normal 5" xfId="46"/>
    <cellStyle name="Note" xfId="47"/>
    <cellStyle name="Output" xfId="48"/>
    <cellStyle name="Percent" xfId="49" builtinId="5"/>
    <cellStyle name="Title" xfId="50"/>
    <cellStyle name="Total" xfId="51"/>
    <cellStyle name="Warning Text" xfId="52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6" Type="http://schemas.openxmlformats.org/officeDocument/2006/relationships/worksheet" Target="worksheets/sheet13.xml" /><Relationship Id="rId6" Type="http://schemas.openxmlformats.org/officeDocument/2006/relationships/worksheet" Target="worksheets/sheet3.xml" /><Relationship Id="rId7" Type="http://schemas.openxmlformats.org/officeDocument/2006/relationships/worksheet" Target="worksheets/sheet4.xml" /><Relationship Id="rId5" Type="http://schemas.openxmlformats.org/officeDocument/2006/relationships/worksheet" Target="worksheets/sheet2.xml" /><Relationship Id="rId22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12" Type="http://schemas.openxmlformats.org/officeDocument/2006/relationships/worksheet" Target="worksheets/sheet9.xml" /><Relationship Id="rId23" Type="http://schemas.openxmlformats.org/officeDocument/2006/relationships/calcChain" Target="calcChain.xml" /><Relationship Id="rId2" Type="http://schemas.microsoft.com/office/2006/relationships/vbaProject" Target="vbaProject.bin" /><Relationship Id="rId4" Type="http://schemas.openxmlformats.org/officeDocument/2006/relationships/worksheet" Target="worksheets/sheet1.xml" /><Relationship Id="rId19" Type="http://schemas.openxmlformats.org/officeDocument/2006/relationships/worksheet" Target="worksheets/sheet16.xml" /><Relationship Id="rId3" Type="http://schemas.openxmlformats.org/officeDocument/2006/relationships/styles" Target="styles.xml" /><Relationship Id="rId20" Type="http://schemas.openxmlformats.org/officeDocument/2006/relationships/worksheet" Target="worksheets/sheet17.xml" /><Relationship Id="rId10" Type="http://schemas.openxmlformats.org/officeDocument/2006/relationships/worksheet" Target="worksheets/sheet7.xml" /><Relationship Id="rId13" Type="http://schemas.openxmlformats.org/officeDocument/2006/relationships/worksheet" Target="worksheets/sheet10.xml" /><Relationship Id="rId21" Type="http://schemas.openxmlformats.org/officeDocument/2006/relationships/sharedStrings" Target="sharedStrings.xml" /><Relationship Id="rId8" Type="http://schemas.openxmlformats.org/officeDocument/2006/relationships/worksheet" Target="worksheets/sheet5.xml" /><Relationship Id="rId14" Type="http://schemas.openxmlformats.org/officeDocument/2006/relationships/worksheet" Target="worksheets/sheet11.xml" /><Relationship Id="rId15" Type="http://schemas.openxmlformats.org/officeDocument/2006/relationships/worksheet" Target="worksheets/sheet12.xml" /><Relationship Id="rId9" Type="http://schemas.openxmlformats.org/officeDocument/2006/relationships/worksheet" Target="worksheets/sheet6.xml" /><Relationship Id="rId11" Type="http://schemas.openxmlformats.org/officeDocument/2006/relationships/worksheet" Target="worksheets/sheet8.xml" /><Relationship Id="rId17" Type="http://schemas.openxmlformats.org/officeDocument/2006/relationships/worksheet" Target="worksheets/sheet14.xml" /><Relationship Id="rId18" Type="http://schemas.openxmlformats.org/officeDocument/2006/relationships/worksheet" Target="worksheets/sheet15.xml" /></Relationships>
</file>

<file path=xl/ctrProps/ctrProp1.xml><?xml version="1.0" encoding="utf-8"?>
<formControlPr xmlns="http://schemas.microsoft.com/office/spreadsheetml/2009/9/main" objectType="Button" lockText="1"/>
</file>

<file path=xl/ctrProps/ctr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 /><Relationship Id="rId1" Type="http://schemas.openxmlformats.org/officeDocument/2006/relationships/image" Target="../media/image1.jpeg" /><Relationship Id="rId3" Type="http://schemas.openxmlformats.org/officeDocument/2006/relationships/image" Target="../media/image2.png" 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Relationship Id="rId2" Type="http://schemas.openxmlformats.org/officeDocument/2006/relationships/image" Target="../media/image2.png" 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3.png" /><Relationship Id="rId2" Type="http://schemas.openxmlformats.org/officeDocument/2006/relationships/image" Target="../media/image1.png" /></Relationships>
</file>

<file path=xl/drawings/_rels/drawing5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 /><Relationship Id="rId1" Type="http://schemas.openxmlformats.org/officeDocument/2006/relationships/image" Target="../media/image1.jpeg" /><Relationship Id="rId3" Type="http://schemas.openxmlformats.org/officeDocument/2006/relationships/image" Target="../media/image2.png" /></Relationships>
</file>

<file path=xl/drawings/_rels/drawing6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Relationship Id="rId2" Type="http://schemas.openxmlformats.org/officeDocument/2006/relationships/image" Target="../media/image2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37830</xdr:colOff>
      <xdr:row>53</xdr:row>
      <xdr:rowOff>9823</xdr:rowOff>
    </xdr:from>
    <xdr:to>
      <xdr:col>11</xdr:col>
      <xdr:colOff>867184</xdr:colOff>
      <xdr:row>56</xdr:row>
      <xdr:rowOff>218777</xdr:rowOff>
    </xdr:to>
    <xdr:pic>
      <xdr:nvPicPr>
        <xdr:cNvPr id="1240" name="Picture 4">
          <a:extLst>
            <a:ext uri="{FF2B5EF4-FFF2-40B4-BE49-F238E27FC236}">
              <a16:creationId xmlns:a16="http://schemas.microsoft.com/office/drawing/2014/main" id="{d0478e10-de53-4808-889a-b90aeea22a22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8100" y="13296900"/>
          <a:ext cx="9963150" cy="895350"/>
        </a:xfrm>
        <a:prstGeom prst="rect"/>
      </xdr:spPr>
    </xdr:pic>
    <xdr:clientData/>
  </xdr:twoCellAnchor>
  <xdr:oneCellAnchor>
    <xdr:from>
      <xdr:col>12</xdr:col>
      <xdr:colOff>285750</xdr:colOff>
      <xdr:row>2</xdr:row>
      <xdr:rowOff>95250</xdr:rowOff>
    </xdr:from>
    <xdr:ext cx="180975" cy="266700"/>
    <xdr:sp>
      <xdr:nvSpPr>
        <xdr:cNvPr id="1241" name="TextBox 2">
          <a:extLst>
            <a:ext uri="{FF2B5EF4-FFF2-40B4-BE49-F238E27FC236}">
              <a16:creationId xmlns:a16="http://schemas.microsoft.com/office/drawing/2014/main" id="{a68a076f-98e3-47b4-8fe8-ab68b6416ca1}"/>
            </a:ext>
          </a:extLst>
        </xdr:cNvPr>
        <xdr:cNvSpPr txBox="1"/>
      </xdr:nvSpPr>
      <xdr:spPr>
        <a:xfrm>
          <a:off x="10391775" y="5524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11</xdr:col>
      <xdr:colOff>733425</xdr:colOff>
      <xdr:row>10</xdr:row>
      <xdr:rowOff>38100</xdr:rowOff>
    </xdr:from>
    <xdr:ext cx="257175" cy="266700"/>
    <xdr:sp>
      <xdr:nvSpPr>
        <xdr:cNvPr id="1242" name="TextBox 3">
          <a:extLst>
            <a:ext uri="{FF2B5EF4-FFF2-40B4-BE49-F238E27FC236}">
              <a16:creationId xmlns:a16="http://schemas.microsoft.com/office/drawing/2014/main" id="{43729f07-cc74-4a6d-8c78-7bd4f0876196}"/>
            </a:ext>
          </a:extLst>
        </xdr:cNvPr>
        <xdr:cNvSpPr txBox="1"/>
      </xdr:nvSpPr>
      <xdr:spPr>
        <a:xfrm>
          <a:off x="9867900" y="2324100"/>
          <a:ext cx="2571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29750" cy="266700"/>
    <xdr:sp>
      <xdr:nvSpPr>
        <xdr:cNvPr id="1243" name="TextBox 4">
          <a:extLst>
            <a:ext uri="{FF2B5EF4-FFF2-40B4-BE49-F238E27FC236}">
              <a16:creationId xmlns:a16="http://schemas.microsoft.com/office/drawing/2014/main" id="{a7f9986b-962c-4e8f-b9fd-2023df5d9c77}"/>
            </a:ext>
          </a:extLst>
        </xdr:cNvPr>
        <xdr:cNvSpPr txBox="1"/>
      </xdr:nvSpPr>
      <xdr:spPr>
        <a:xfrm>
          <a:off x="28575" y="0"/>
          <a:ext cx="942975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940502</xdr:colOff>
      <xdr:row>9</xdr:row>
      <xdr:rowOff>190517</xdr:rowOff>
    </xdr:to>
    <xdr:sp>
      <xdr:nvSpPr>
        <xdr:cNvPr id="1244" name="Text Box 9">
          <a:extLst>
            <a:ext uri="{FF2B5EF4-FFF2-40B4-BE49-F238E27FC236}">
              <a16:creationId xmlns:a16="http://schemas.microsoft.com/office/drawing/2014/main" id="{00561dcd-5fe9-4c2f-a9a2-f65c69d64cf1}"/>
            </a:ext>
          </a:extLst>
        </xdr:cNvPr>
        <xdr:cNvSpPr txBox="1"/>
      </xdr:nvSpPr>
      <xdr:spPr>
        <a:xfrm>
          <a:off x="28575" y="38100"/>
          <a:ext cx="10048875" cy="22098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               </a:t>
          </a:r>
          <a:r>
            <a:rPr lang="en-US" sz="30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 </a:t>
          </a:r>
          <a:r>
            <a:rPr lang="en-US" sz="20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(An Integrated Facilities Management Company)</a:t>
          </a:r>
          <a:endParaRPr lang="en-US" sz="20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3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        </a:t>
          </a: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257091</xdr:colOff>
      <xdr:row>3</xdr:row>
      <xdr:rowOff>28575</xdr:rowOff>
    </xdr:from>
    <xdr:to>
      <xdr:col>1</xdr:col>
      <xdr:colOff>581351</xdr:colOff>
      <xdr:row>8</xdr:row>
      <xdr:rowOff>28575</xdr:rowOff>
    </xdr:to>
    <xdr:pic>
      <xdr:nvPicPr>
        <xdr:cNvPr id="1245" name="image1.png">
          <a:extLst>
            <a:ext uri="{FF2B5EF4-FFF2-40B4-BE49-F238E27FC236}">
              <a16:creationId xmlns:a16="http://schemas.microsoft.com/office/drawing/2014/main" id="{ad659160-138b-419d-97ab-fea6fecf9c53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57175" y="714375"/>
          <a:ext cx="1114425" cy="1143000"/>
        </a:xfrm>
        <a:prstGeom prst="rect"/>
      </xdr:spPr>
    </xdr:pic>
    <xdr:clientData/>
  </xdr:twoCellAnchor>
  <xdr:twoCellAnchor editAs="oneCell">
    <xdr:from>
      <xdr:col>5</xdr:col>
      <xdr:colOff>781069</xdr:colOff>
      <xdr:row>0</xdr:row>
      <xdr:rowOff>0</xdr:rowOff>
    </xdr:from>
    <xdr:to>
      <xdr:col>6</xdr:col>
      <xdr:colOff>419416</xdr:colOff>
      <xdr:row>2</xdr:row>
      <xdr:rowOff>218777</xdr:rowOff>
    </xdr:to>
    <xdr:pic>
      <xdr:nvPicPr>
        <xdr:cNvPr id="1246" name="Picture 11">
          <a:extLst>
            <a:ext uri="{FF2B5EF4-FFF2-40B4-BE49-F238E27FC236}">
              <a16:creationId xmlns:a16="http://schemas.microsoft.com/office/drawing/2014/main" id="{087bd4c4-a101-4565-ac4a-3fc91057488a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686300" y="0"/>
          <a:ext cx="495300" cy="676275"/>
        </a:xfrm>
        <a:prstGeom prst="rect"/>
      </xdr:spPr>
    </xdr:pic>
    <xdr:clientData/>
  </xdr:twoCellAnchor>
  <xdr:oneCellAnchor>
    <xdr:from>
      <xdr:col>0</xdr:col>
      <xdr:colOff>0</xdr:colOff>
      <xdr:row>0</xdr:row>
      <xdr:rowOff>0</xdr:rowOff>
    </xdr:from>
    <xdr:ext cx="2247900" cy="457200"/>
    <xdr:sp>
      <xdr:nvSpPr>
        <xdr:cNvPr id="1247" name="TextBox 8">
          <a:extLst>
            <a:ext uri="{FF2B5EF4-FFF2-40B4-BE49-F238E27FC236}">
              <a16:creationId xmlns:a16="http://schemas.microsoft.com/office/drawing/2014/main" id="{37ffc6bf-00b4-42bc-ac63-e594e178a177}"/>
            </a:ext>
          </a:extLst>
        </xdr:cNvPr>
        <xdr:cNvSpPr txBox="1"/>
      </xdr:nvSpPr>
      <xdr:spPr>
        <a:xfrm>
          <a:off x="0" y="0"/>
          <a:ext cx="2247900" cy="4572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pPr/>
          <a:r>
            <a:rPr lang="en-US" sz="1200" b="1">
              <a:solidFill>
                <a:schemeClr val="tx1"/>
              </a:solidFill>
              <a:latin typeface="+mj-lt"/>
            </a:rPr>
            <a:t>EMAIL : snsitech@gmail.com</a:t>
          </a:r>
        </a:p>
        <a:p>
          <a:r>
            <a:rPr lang="en-US" sz="1200" b="1">
              <a:solidFill>
                <a:schemeClr val="tx1"/>
              </a:solidFill>
              <a:latin typeface="+mj-lt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j-lt"/>
            </a:rPr>
            <a:t>  : +91-8979987689</a:t>
          </a:r>
          <a:endParaRPr lang="en-US" sz="1200" b="1">
            <a:latin typeface="+mj-lt"/>
          </a:endParaRPr>
        </a:p>
      </xdr:txBody>
    </xdr:sp>
    <xdr:clientData/>
  </xdr:oneCellAnchor>
  <xdr:oneCellAnchor>
    <xdr:from>
      <xdr:col>9</xdr:col>
      <xdr:colOff>114300</xdr:colOff>
      <xdr:row>0</xdr:row>
      <xdr:rowOff>38100</xdr:rowOff>
    </xdr:from>
    <xdr:ext cx="2590800" cy="409575"/>
    <xdr:sp>
      <xdr:nvSpPr>
        <xdr:cNvPr id="1248" name="TextBox 9">
          <a:extLst>
            <a:ext uri="{FF2B5EF4-FFF2-40B4-BE49-F238E27FC236}">
              <a16:creationId xmlns:a16="http://schemas.microsoft.com/office/drawing/2014/main" id="{d6a1d1a1-f1d7-4009-a78d-a952bde002dd}"/>
            </a:ext>
          </a:extLst>
        </xdr:cNvPr>
        <xdr:cNvSpPr txBox="1"/>
      </xdr:nvSpPr>
      <xdr:spPr>
        <a:xfrm>
          <a:off x="7486650" y="38100"/>
          <a:ext cx="2590800" cy="4095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100"/>
            </a:lnSpc>
          </a:pPr>
          <a:r>
            <a:rPr lang="en-US" sz="12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2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solidFill>
              <a:srgbClr val="000000"/>
            </a:solidFill>
            <a:effectLst/>
            <a:latin typeface="+mj-lt"/>
          </a:endParaRPr>
        </a:p>
        <a:p>
          <a:pPr>
            <a:lnSpc>
              <a:spcPts val="1000"/>
            </a:lnSpc>
          </a:pPr>
          <a:endParaRPr lang="en-US" sz="1100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13</xdr:col>
      <xdr:colOff>295275</xdr:colOff>
      <xdr:row>1</xdr:row>
      <xdr:rowOff>228600</xdr:rowOff>
    </xdr:from>
    <xdr:ext cx="180975" cy="266700"/>
    <xdr:sp>
      <xdr:nvSpPr>
        <xdr:cNvPr id="1216" name="TextBox 3">
          <a:extLst>
            <a:ext uri="{FF2B5EF4-FFF2-40B4-BE49-F238E27FC236}">
              <a16:creationId xmlns:a16="http://schemas.microsoft.com/office/drawing/2014/main" id="{1e97bafd-788d-4e5f-aca0-1b8116d2c049}"/>
            </a:ext>
          </a:extLst>
        </xdr:cNvPr>
        <xdr:cNvSpPr txBox="1"/>
      </xdr:nvSpPr>
      <xdr:spPr>
        <a:xfrm>
          <a:off x="10477500" y="542925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13</xdr:col>
      <xdr:colOff>400050</xdr:colOff>
      <xdr:row>7</xdr:row>
      <xdr:rowOff>0</xdr:rowOff>
    </xdr:from>
    <xdr:ext cx="180975" cy="266700"/>
    <xdr:sp>
      <xdr:nvSpPr>
        <xdr:cNvPr id="1217" name="TextBox 4">
          <a:extLst>
            <a:ext uri="{FF2B5EF4-FFF2-40B4-BE49-F238E27FC236}">
              <a16:creationId xmlns:a16="http://schemas.microsoft.com/office/drawing/2014/main" id="{9c81c611-eda0-4773-af7c-89a14d2a991a}"/>
            </a:ext>
          </a:extLst>
        </xdr:cNvPr>
        <xdr:cNvSpPr txBox="1"/>
      </xdr:nvSpPr>
      <xdr:spPr>
        <a:xfrm>
          <a:off x="10582275" y="2200275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5350" cy="266700"/>
    <xdr:sp>
      <xdr:nvSpPr>
        <xdr:cNvPr id="1218" name="TextBox 5">
          <a:extLst>
            <a:ext uri="{FF2B5EF4-FFF2-40B4-BE49-F238E27FC236}">
              <a16:creationId xmlns:a16="http://schemas.microsoft.com/office/drawing/2014/main" id="{5f5b860a-ba59-4dd6-b0ba-e47a3da976f5}"/>
            </a:ext>
          </a:extLst>
        </xdr:cNvPr>
        <xdr:cNvSpPr txBox="1"/>
      </xdr:nvSpPr>
      <xdr:spPr>
        <a:xfrm>
          <a:off x="9525" y="0"/>
          <a:ext cx="851535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twoCellAnchor>
    <xdr:from>
      <xdr:col>0</xdr:col>
      <xdr:colOff>57150</xdr:colOff>
      <xdr:row>0</xdr:row>
      <xdr:rowOff>41275</xdr:rowOff>
    </xdr:from>
    <xdr:to>
      <xdr:col>10</xdr:col>
      <xdr:colOff>843307</xdr:colOff>
      <xdr:row>7</xdr:row>
      <xdr:rowOff>1757</xdr:rowOff>
    </xdr:to>
    <xdr:sp>
      <xdr:nvSpPr>
        <xdr:cNvPr id="1219" name="Text Box 9">
          <a:extLst>
            <a:ext uri="{FF2B5EF4-FFF2-40B4-BE49-F238E27FC236}">
              <a16:creationId xmlns:a16="http://schemas.microsoft.com/office/drawing/2014/main" id="{df015cd7-1a95-4fdf-8a8c-3a393810043b}"/>
            </a:ext>
          </a:extLst>
        </xdr:cNvPr>
        <xdr:cNvSpPr txBox="1"/>
      </xdr:nvSpPr>
      <xdr:spPr>
        <a:xfrm>
          <a:off x="57150" y="38100"/>
          <a:ext cx="8829675" cy="2162175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1000" b="1">
            <a:solidFill>
              <a:srgbClr val="000000"/>
            </a:solidFill>
            <a:effectLst/>
            <a:latin typeface="Gauge Heavy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32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</a:t>
          </a:r>
          <a:r>
            <a:rPr lang="en-US" sz="2800" b="1">
              <a:solidFill>
                <a:schemeClr val="tx1"/>
              </a:solidFill>
              <a:effectLst/>
              <a:latin typeface="+mn-lt"/>
              <a:ea typeface="Calibri"/>
              <a:cs typeface="Times New Roman"/>
            </a:rPr>
            <a:t>Singh and Sons InfoTech Private Limited</a:t>
          </a:r>
        </a:p>
        <a:p>
          <a:pPr algn="ctr" marL="0" marR="0">
            <a:lnSpc>
              <a:spcPts val="24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2000" b="1">
              <a:solidFill>
                <a:srgbClr val="FF0000"/>
              </a:solidFill>
              <a:effectLst/>
              <a:latin typeface="+mn-lt"/>
              <a:ea typeface="Calibri"/>
              <a:cs typeface="Times New Roman"/>
            </a:rPr>
            <a:t>(An Integrated Facilities Management Company)</a:t>
          </a:r>
          <a:endParaRPr lang="en-US" sz="2000" b="0">
            <a:solidFill>
              <a:schemeClr val="tx1"/>
            </a:solidFill>
            <a:effectLst/>
            <a:latin typeface="+mn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Calibri"/>
              <a:cs typeface="Calibri"/>
            </a:rPr>
            <a:t>(An ISO 9001:2015 Certified Company)</a:t>
          </a:r>
          <a:endParaRPr lang="en-US" sz="14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12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162055</xdr:colOff>
      <xdr:row>2</xdr:row>
      <xdr:rowOff>217326</xdr:rowOff>
    </xdr:from>
    <xdr:to>
      <xdr:col>1</xdr:col>
      <xdr:colOff>599880</xdr:colOff>
      <xdr:row>6</xdr:row>
      <xdr:rowOff>38063</xdr:rowOff>
    </xdr:to>
    <xdr:pic>
      <xdr:nvPicPr>
        <xdr:cNvPr id="1220" name="image1.png">
          <a:extLst>
            <a:ext uri="{FF2B5EF4-FFF2-40B4-BE49-F238E27FC236}">
              <a16:creationId xmlns:a16="http://schemas.microsoft.com/office/drawing/2014/main" id="{5c1582ba-bb5e-493d-b77b-0e2221efdce4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1925" y="847725"/>
          <a:ext cx="1028700" cy="1076325"/>
        </a:xfrm>
        <a:prstGeom prst="rect"/>
      </xdr:spPr>
    </xdr:pic>
    <xdr:clientData/>
  </xdr:twoCellAnchor>
  <xdr:twoCellAnchor editAs="oneCell">
    <xdr:from>
      <xdr:col>5</xdr:col>
      <xdr:colOff>390116</xdr:colOff>
      <xdr:row>0</xdr:row>
      <xdr:rowOff>38063</xdr:rowOff>
    </xdr:from>
    <xdr:to>
      <xdr:col>6</xdr:col>
      <xdr:colOff>66973</xdr:colOff>
      <xdr:row>2</xdr:row>
      <xdr:rowOff>104366</xdr:rowOff>
    </xdr:to>
    <xdr:pic>
      <xdr:nvPicPr>
        <xdr:cNvPr id="1221" name="Picture 8">
          <a:extLst>
            <a:ext uri="{FF2B5EF4-FFF2-40B4-BE49-F238E27FC236}">
              <a16:creationId xmlns:a16="http://schemas.microsoft.com/office/drawing/2014/main" id="{a976780a-28e8-4326-98fd-3b042e43a3e5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143375" y="38100"/>
          <a:ext cx="533400" cy="695325"/>
        </a:xfrm>
        <a:prstGeom prst="rect"/>
      </xdr:spPr>
    </xdr:pic>
    <xdr:clientData/>
  </xdr:twoCellAnchor>
  <xdr:oneCellAnchor>
    <xdr:from>
      <xdr:col>0</xdr:col>
      <xdr:colOff>0</xdr:colOff>
      <xdr:row>0</xdr:row>
      <xdr:rowOff>38100</xdr:rowOff>
    </xdr:from>
    <xdr:ext cx="1876425" cy="438150"/>
    <xdr:sp>
      <xdr:nvSpPr>
        <xdr:cNvPr id="1222" name="TextBox 9">
          <a:extLst>
            <a:ext uri="{FF2B5EF4-FFF2-40B4-BE49-F238E27FC236}">
              <a16:creationId xmlns:a16="http://schemas.microsoft.com/office/drawing/2014/main" id="{9460c1b1-1ee4-48ec-8c52-55bbedf3d36a}"/>
            </a:ext>
          </a:extLst>
        </xdr:cNvPr>
        <xdr:cNvSpPr txBox="1"/>
      </xdr:nvSpPr>
      <xdr:spPr>
        <a:xfrm>
          <a:off x="0" y="38100"/>
          <a:ext cx="1876425" cy="4381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pPr/>
          <a:r>
            <a:rPr lang="en-US" sz="11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r>
            <a:rPr lang="en-US" sz="1100" b="1">
              <a:solidFill>
                <a:schemeClr val="tx1"/>
              </a:solidFill>
              <a:latin typeface="+mn-lt"/>
            </a:rPr>
            <a:t>MOB</a:t>
          </a:r>
          <a:r>
            <a:rPr lang="en-US" sz="11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100" b="1">
            <a:latin typeface="+mn-lt"/>
          </a:endParaRPr>
        </a:p>
      </xdr:txBody>
    </xdr:sp>
    <xdr:clientData/>
  </xdr:oneCellAnchor>
  <xdr:oneCellAnchor>
    <xdr:from>
      <xdr:col>8</xdr:col>
      <xdr:colOff>352425</xdr:colOff>
      <xdr:row>0</xdr:row>
      <xdr:rowOff>19050</xdr:rowOff>
    </xdr:from>
    <xdr:ext cx="2200275" cy="447675"/>
    <xdr:sp>
      <xdr:nvSpPr>
        <xdr:cNvPr id="1223" name="TextBox 10">
          <a:extLst>
            <a:ext uri="{FF2B5EF4-FFF2-40B4-BE49-F238E27FC236}">
              <a16:creationId xmlns:a16="http://schemas.microsoft.com/office/drawing/2014/main" id="{09560061-798c-4dcf-a8c4-6207c0d8644a}"/>
            </a:ext>
          </a:extLst>
        </xdr:cNvPr>
        <xdr:cNvSpPr txBox="1"/>
      </xdr:nvSpPr>
      <xdr:spPr>
        <a:xfrm>
          <a:off x="6677025" y="19050"/>
          <a:ext cx="2200275" cy="4476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1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142949</xdr:rowOff>
        </xdr:from>
        <xdr:to>
          <xdr:col>11</xdr:col>
          <xdr:colOff>114300</xdr:colOff>
          <xdr:row>10</xdr:row>
          <xdr:rowOff>114486</xdr:rowOff>
        </xdr:to>
        <xdr:sp macro="[0]!BBSR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701f604b-a3c4-4d82-8fea-030b3b544825}"/>
                </a:ext>
              </a:extLst>
            </xdr:cNvPr>
            <xdr:cNvSpPr>
              <a:spLocks noRot="1"/>
            </xdr:cNvSpPr>
          </xdr:nvSpPr>
          <xdr:spPr>
            <a:xfrm>
              <a:off x="8677275" y="142875"/>
              <a:ext cx="2943225" cy="15906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FOR BBSR
PRESS - MOP &amp; AOC BUTTON FIRST 
AND THEN COPY PASTE FORM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11</xdr:row>
          <xdr:rowOff>95510</xdr:rowOff>
        </xdr:from>
        <xdr:to>
          <xdr:col>11</xdr:col>
          <xdr:colOff>123825</xdr:colOff>
          <xdr:row>21</xdr:row>
          <xdr:rowOff>66415</xdr:rowOff>
        </xdr:to>
        <xdr:sp macro="[0]!CTCK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b8ee09ea-ddba-4952-8afc-78561d610248}"/>
                </a:ext>
              </a:extLst>
            </xdr:cNvPr>
            <xdr:cNvSpPr>
              <a:spLocks noRot="1"/>
            </xdr:cNvSpPr>
          </xdr:nvSpPr>
          <xdr:spPr>
            <a:xfrm>
              <a:off x="8686800" y="1876425"/>
              <a:ext cx="2943225" cy="15906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FOR CTCK
PRESS - MOP &amp; AOC BUTTON FIRST 
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1</xdr:col>
      <xdr:colOff>0</xdr:colOff>
      <xdr:row>9</xdr:row>
      <xdr:rowOff>238571</xdr:rowOff>
    </xdr:from>
    <xdr:to>
      <xdr:col>9</xdr:col>
      <xdr:colOff>123825</xdr:colOff>
      <xdr:row>35</xdr:row>
      <xdr:rowOff>47662</xdr:rowOff>
    </xdr:to>
    <xdr:pic>
      <xdr:nvPicPr>
        <xdr:cNvPr id="1111" name="Picture 5">
          <a:extLst>
            <a:ext uri="{FF2B5EF4-FFF2-40B4-BE49-F238E27FC236}">
              <a16:creationId xmlns:a16="http://schemas.microsoft.com/office/drawing/2014/main" id="{e380630c-27c1-4f58-b8a3-b177e89c954a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609600" y="1905000"/>
          <a:ext cx="5248275" cy="5019675"/>
        </a:xfrm>
        <a:prstGeom prst="rect"/>
      </xdr:spPr>
    </xdr:pic>
    <xdr:clientData/>
  </xdr:twoCellAnchor>
  <xdr:twoCellAnchor editAs="oneCell">
    <xdr:from>
      <xdr:col>0</xdr:col>
      <xdr:colOff>38100</xdr:colOff>
      <xdr:row>0</xdr:row>
      <xdr:rowOff>57299</xdr:rowOff>
    </xdr:from>
    <xdr:to>
      <xdr:col>1</xdr:col>
      <xdr:colOff>599740</xdr:colOff>
      <xdr:row>6</xdr:row>
      <xdr:rowOff>47439</xdr:rowOff>
    </xdr:to>
    <xdr:pic>
      <xdr:nvPicPr>
        <xdr:cNvPr id="1112" name="image1.png">
          <a:extLst>
            <a:ext uri="{FF2B5EF4-FFF2-40B4-BE49-F238E27FC236}">
              <a16:creationId xmlns:a16="http://schemas.microsoft.com/office/drawing/2014/main" id="{3facfc5e-5562-480e-ad81-2139375b3cc2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8100" y="57150"/>
          <a:ext cx="1171575" cy="1133475"/>
        </a:xfrm>
        <a:prstGeom prst="rect"/>
      </xdr:spPr>
    </xdr:pic>
    <xdr:clientData/>
  </xdr:twoCellAnchor>
  <xdr:twoCellAnchor editAs="oneCell">
    <xdr:from>
      <xdr:col>0</xdr:col>
      <xdr:colOff>76200</xdr:colOff>
      <xdr:row>49</xdr:row>
      <xdr:rowOff>47625</xdr:rowOff>
    </xdr:from>
    <xdr:to>
      <xdr:col>1</xdr:col>
      <xdr:colOff>580904</xdr:colOff>
      <xdr:row>55</xdr:row>
      <xdr:rowOff>9376</xdr:rowOff>
    </xdr:to>
    <xdr:pic>
      <xdr:nvPicPr>
        <xdr:cNvPr id="1113" name="image1.png">
          <a:extLst>
            <a:ext uri="{FF2B5EF4-FFF2-40B4-BE49-F238E27FC236}">
              <a16:creationId xmlns:a16="http://schemas.microsoft.com/office/drawing/2014/main" id="{2ac5e61a-b565-456b-b4f1-3067be3c9c0d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6200" y="9639300"/>
          <a:ext cx="1114425" cy="1104900"/>
        </a:xfrm>
        <a:prstGeom prst="rect"/>
      </xdr:spPr>
    </xdr:pic>
    <xdr:clientData/>
  </xdr:twoCellAnchor>
  <xdr:twoCellAnchor editAs="oneCell">
    <xdr:from>
      <xdr:col>1</xdr:col>
      <xdr:colOff>428709</xdr:colOff>
      <xdr:row>59</xdr:row>
      <xdr:rowOff>47662</xdr:rowOff>
    </xdr:from>
    <xdr:to>
      <xdr:col>9</xdr:col>
      <xdr:colOff>590550</xdr:colOff>
      <xdr:row>91</xdr:row>
      <xdr:rowOff>28463</xdr:rowOff>
    </xdr:to>
    <xdr:pic>
      <xdr:nvPicPr>
        <xdr:cNvPr id="1114" name="Picture 7">
          <a:extLst>
            <a:ext uri="{FF2B5EF4-FFF2-40B4-BE49-F238E27FC236}">
              <a16:creationId xmlns:a16="http://schemas.microsoft.com/office/drawing/2014/main" id="{9cfde151-ba4d-47b0-b133-498d7c33e797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38225" y="11572875"/>
          <a:ext cx="5286375" cy="5924550"/>
        </a:xfrm>
        <a:prstGeom prst="rect"/>
      </xdr:spPr>
    </xdr:pic>
    <xdr:clientData/>
  </xdr:twoCellAnchor>
  <xdr:twoCellAnchor editAs="oneCell">
    <xdr:from>
      <xdr:col>0</xdr:col>
      <xdr:colOff>76200</xdr:colOff>
      <xdr:row>100</xdr:row>
      <xdr:rowOff>47625</xdr:rowOff>
    </xdr:from>
    <xdr:to>
      <xdr:col>1</xdr:col>
      <xdr:colOff>580904</xdr:colOff>
      <xdr:row>106</xdr:row>
      <xdr:rowOff>9376</xdr:rowOff>
    </xdr:to>
    <xdr:pic>
      <xdr:nvPicPr>
        <xdr:cNvPr id="1115" name="image1.png">
          <a:extLst>
            <a:ext uri="{FF2B5EF4-FFF2-40B4-BE49-F238E27FC236}">
              <a16:creationId xmlns:a16="http://schemas.microsoft.com/office/drawing/2014/main" id="{41632684-51b4-4228-8fb4-46e65ab6e6e3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6200" y="19126200"/>
          <a:ext cx="1114425" cy="1104900"/>
        </a:xfrm>
        <a:prstGeom prst="rect"/>
      </xdr:spPr>
    </xdr:pic>
    <xdr:clientData/>
  </xdr:twoCellAnchor>
  <xdr:twoCellAnchor editAs="oneCell">
    <xdr:from>
      <xdr:col>0</xdr:col>
      <xdr:colOff>600075</xdr:colOff>
      <xdr:row>111</xdr:row>
      <xdr:rowOff>47662</xdr:rowOff>
    </xdr:from>
    <xdr:to>
      <xdr:col>9</xdr:col>
      <xdr:colOff>114300</xdr:colOff>
      <xdr:row>143</xdr:row>
      <xdr:rowOff>66452</xdr:rowOff>
    </xdr:to>
    <xdr:pic>
      <xdr:nvPicPr>
        <xdr:cNvPr id="1116" name="Picture 7">
          <a:extLst>
            <a:ext uri="{FF2B5EF4-FFF2-40B4-BE49-F238E27FC236}">
              <a16:creationId xmlns:a16="http://schemas.microsoft.com/office/drawing/2014/main" id="{58298344-e51d-41af-90f1-98d878d66aa6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600075" y="21259800"/>
          <a:ext cx="5248275" cy="5924550"/>
        </a:xfrm>
        <a:prstGeom prst="rect"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37830</xdr:colOff>
      <xdr:row>52</xdr:row>
      <xdr:rowOff>9823</xdr:rowOff>
    </xdr:from>
    <xdr:to>
      <xdr:col>11</xdr:col>
      <xdr:colOff>933599</xdr:colOff>
      <xdr:row>55</xdr:row>
      <xdr:rowOff>218777</xdr:rowOff>
    </xdr:to>
    <xdr:pic>
      <xdr:nvPicPr>
        <xdr:cNvPr id="1240" name="Picture 4">
          <a:extLst>
            <a:ext uri="{FF2B5EF4-FFF2-40B4-BE49-F238E27FC236}">
              <a16:creationId xmlns:a16="http://schemas.microsoft.com/office/drawing/2014/main" id="{b90ea9af-78fb-426c-9bd3-e9597f972887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8100" y="13211175"/>
          <a:ext cx="9963150" cy="895350"/>
        </a:xfrm>
        <a:prstGeom prst="rect"/>
      </xdr:spPr>
    </xdr:pic>
    <xdr:clientData/>
  </xdr:twoCellAnchor>
  <xdr:oneCellAnchor>
    <xdr:from>
      <xdr:col>12</xdr:col>
      <xdr:colOff>276225</xdr:colOff>
      <xdr:row>2</xdr:row>
      <xdr:rowOff>95250</xdr:rowOff>
    </xdr:from>
    <xdr:ext cx="190500" cy="276225"/>
    <xdr:sp>
      <xdr:nvSpPr>
        <xdr:cNvPr id="1241" name="TextBox 2">
          <a:extLst>
            <a:ext uri="{FF2B5EF4-FFF2-40B4-BE49-F238E27FC236}">
              <a16:creationId xmlns:a16="http://schemas.microsoft.com/office/drawing/2014/main" id="{4a511155-31ab-470e-95d8-c50fc870db07}"/>
            </a:ext>
          </a:extLst>
        </xdr:cNvPr>
        <xdr:cNvSpPr txBox="1"/>
      </xdr:nvSpPr>
      <xdr:spPr>
        <a:xfrm>
          <a:off x="10315575" y="552450"/>
          <a:ext cx="190500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11</xdr:col>
      <xdr:colOff>733425</xdr:colOff>
      <xdr:row>10</xdr:row>
      <xdr:rowOff>38100</xdr:rowOff>
    </xdr:from>
    <xdr:ext cx="257175" cy="266700"/>
    <xdr:sp>
      <xdr:nvSpPr>
        <xdr:cNvPr id="1242" name="TextBox 3">
          <a:extLst>
            <a:ext uri="{FF2B5EF4-FFF2-40B4-BE49-F238E27FC236}">
              <a16:creationId xmlns:a16="http://schemas.microsoft.com/office/drawing/2014/main" id="{b20f0b5d-819f-472c-b229-9d8c887ceb44}"/>
            </a:ext>
          </a:extLst>
        </xdr:cNvPr>
        <xdr:cNvSpPr txBox="1"/>
      </xdr:nvSpPr>
      <xdr:spPr>
        <a:xfrm>
          <a:off x="9801225" y="2324100"/>
          <a:ext cx="2571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00" cy="276225"/>
    <xdr:sp>
      <xdr:nvSpPr>
        <xdr:cNvPr id="1243" name="TextBox 4">
          <a:extLst>
            <a:ext uri="{FF2B5EF4-FFF2-40B4-BE49-F238E27FC236}">
              <a16:creationId xmlns:a16="http://schemas.microsoft.com/office/drawing/2014/main" id="{7ccd255a-dc49-4478-8ff8-1fc8df36c946}"/>
            </a:ext>
          </a:extLst>
        </xdr:cNvPr>
        <xdr:cNvSpPr txBox="1"/>
      </xdr:nvSpPr>
      <xdr:spPr>
        <a:xfrm>
          <a:off x="28575" y="0"/>
          <a:ext cx="9486900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940491</xdr:colOff>
      <xdr:row>9</xdr:row>
      <xdr:rowOff>190517</xdr:rowOff>
    </xdr:to>
    <xdr:sp>
      <xdr:nvSpPr>
        <xdr:cNvPr id="1244" name="Text Box 9">
          <a:extLst>
            <a:ext uri="{FF2B5EF4-FFF2-40B4-BE49-F238E27FC236}">
              <a16:creationId xmlns:a16="http://schemas.microsoft.com/office/drawing/2014/main" id="{2c9e9dba-4442-4fe2-9727-b02fc74fc4d3}"/>
            </a:ext>
          </a:extLst>
        </xdr:cNvPr>
        <xdr:cNvSpPr txBox="1"/>
      </xdr:nvSpPr>
      <xdr:spPr>
        <a:xfrm>
          <a:off x="28575" y="38100"/>
          <a:ext cx="9982200" cy="22098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               </a:t>
          </a:r>
          <a:r>
            <a:rPr lang="en-US" sz="30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 </a:t>
          </a:r>
          <a:r>
            <a:rPr lang="en-US" sz="20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(An Integrated Facilities Management Company)</a:t>
          </a:r>
          <a:endParaRPr lang="en-US" sz="20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3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        </a:t>
          </a: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257091</xdr:colOff>
      <xdr:row>3</xdr:row>
      <xdr:rowOff>28575</xdr:rowOff>
    </xdr:from>
    <xdr:to>
      <xdr:col>1</xdr:col>
      <xdr:colOff>581351</xdr:colOff>
      <xdr:row>8</xdr:row>
      <xdr:rowOff>28575</xdr:rowOff>
    </xdr:to>
    <xdr:pic>
      <xdr:nvPicPr>
        <xdr:cNvPr id="1245" name="image1.png">
          <a:extLst>
            <a:ext uri="{FF2B5EF4-FFF2-40B4-BE49-F238E27FC236}">
              <a16:creationId xmlns:a16="http://schemas.microsoft.com/office/drawing/2014/main" id="{b77dd75a-eb27-48be-8fb3-2426df8b98d8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57175" y="714375"/>
          <a:ext cx="1114425" cy="1143000"/>
        </a:xfrm>
        <a:prstGeom prst="rect"/>
      </xdr:spPr>
    </xdr:pic>
    <xdr:clientData/>
  </xdr:twoCellAnchor>
  <xdr:twoCellAnchor editAs="oneCell">
    <xdr:from>
      <xdr:col>5</xdr:col>
      <xdr:colOff>781069</xdr:colOff>
      <xdr:row>0</xdr:row>
      <xdr:rowOff>0</xdr:rowOff>
    </xdr:from>
    <xdr:to>
      <xdr:col>6</xdr:col>
      <xdr:colOff>419416</xdr:colOff>
      <xdr:row>2</xdr:row>
      <xdr:rowOff>218777</xdr:rowOff>
    </xdr:to>
    <xdr:pic>
      <xdr:nvPicPr>
        <xdr:cNvPr id="1246" name="Picture 11">
          <a:extLst>
            <a:ext uri="{FF2B5EF4-FFF2-40B4-BE49-F238E27FC236}">
              <a16:creationId xmlns:a16="http://schemas.microsoft.com/office/drawing/2014/main" id="{2283ad45-dec0-472e-86c0-b0a217d51a80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686300" y="0"/>
          <a:ext cx="495300" cy="676275"/>
        </a:xfrm>
        <a:prstGeom prst="rect"/>
      </xdr:spPr>
    </xdr:pic>
    <xdr:clientData/>
  </xdr:twoCellAnchor>
  <xdr:oneCellAnchor>
    <xdr:from>
      <xdr:col>0</xdr:col>
      <xdr:colOff>0</xdr:colOff>
      <xdr:row>0</xdr:row>
      <xdr:rowOff>0</xdr:rowOff>
    </xdr:from>
    <xdr:ext cx="2257425" cy="457200"/>
    <xdr:sp>
      <xdr:nvSpPr>
        <xdr:cNvPr id="1247" name="TextBox 8">
          <a:extLst>
            <a:ext uri="{FF2B5EF4-FFF2-40B4-BE49-F238E27FC236}">
              <a16:creationId xmlns:a16="http://schemas.microsoft.com/office/drawing/2014/main" id="{34379d98-ca28-4c17-bd4d-90d04feaae4e}"/>
            </a:ext>
          </a:extLst>
        </xdr:cNvPr>
        <xdr:cNvSpPr txBox="1"/>
      </xdr:nvSpPr>
      <xdr:spPr>
        <a:xfrm>
          <a:off x="0" y="0"/>
          <a:ext cx="2257425" cy="4572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pPr/>
          <a:r>
            <a:rPr lang="en-US" sz="1200" b="1">
              <a:solidFill>
                <a:schemeClr val="tx1"/>
              </a:solidFill>
              <a:latin typeface="+mj-lt"/>
            </a:rPr>
            <a:t>EMAIL : snsitech@gmail.com</a:t>
          </a:r>
        </a:p>
        <a:p>
          <a:r>
            <a:rPr lang="en-US" sz="1200" b="1">
              <a:solidFill>
                <a:schemeClr val="tx1"/>
              </a:solidFill>
              <a:latin typeface="+mj-lt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j-lt"/>
            </a:rPr>
            <a:t>  : +91-8979987689</a:t>
          </a:r>
          <a:endParaRPr lang="en-US" sz="1200" b="1">
            <a:latin typeface="+mj-lt"/>
          </a:endParaRPr>
        </a:p>
      </xdr:txBody>
    </xdr:sp>
    <xdr:clientData/>
  </xdr:oneCellAnchor>
  <xdr:oneCellAnchor>
    <xdr:from>
      <xdr:col>9</xdr:col>
      <xdr:colOff>123825</xdr:colOff>
      <xdr:row>0</xdr:row>
      <xdr:rowOff>38100</xdr:rowOff>
    </xdr:from>
    <xdr:ext cx="2543175" cy="419100"/>
    <xdr:sp>
      <xdr:nvSpPr>
        <xdr:cNvPr id="1248" name="TextBox 9">
          <a:extLst>
            <a:ext uri="{FF2B5EF4-FFF2-40B4-BE49-F238E27FC236}">
              <a16:creationId xmlns:a16="http://schemas.microsoft.com/office/drawing/2014/main" id="{b3d01fb4-95df-49bd-8c3d-755c2ed96cd7}"/>
            </a:ext>
          </a:extLst>
        </xdr:cNvPr>
        <xdr:cNvSpPr txBox="1"/>
      </xdr:nvSpPr>
      <xdr:spPr>
        <a:xfrm>
          <a:off x="7458075" y="38100"/>
          <a:ext cx="2543175" cy="4191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100"/>
            </a:lnSpc>
          </a:pPr>
          <a:r>
            <a:rPr lang="en-US" sz="12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2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solidFill>
              <a:srgbClr val="000000"/>
            </a:solidFill>
            <a:effectLst/>
            <a:latin typeface="+mj-lt"/>
          </a:endParaRPr>
        </a:p>
        <a:p>
          <a:pPr>
            <a:lnSpc>
              <a:spcPts val="1000"/>
            </a:lnSpc>
          </a:pPr>
          <a:endParaRPr lang="en-US" sz="1100">
            <a:latin typeface="+mj-lt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13</xdr:col>
      <xdr:colOff>304800</xdr:colOff>
      <xdr:row>1</xdr:row>
      <xdr:rowOff>228600</xdr:rowOff>
    </xdr:from>
    <xdr:ext cx="180975" cy="266700"/>
    <xdr:sp>
      <xdr:nvSpPr>
        <xdr:cNvPr id="1216" name="TextBox 1">
          <a:extLst>
            <a:ext uri="{FF2B5EF4-FFF2-40B4-BE49-F238E27FC236}">
              <a16:creationId xmlns:a16="http://schemas.microsoft.com/office/drawing/2014/main" id="{46d9f169-fc81-426b-aa27-efe4ee84e68c}"/>
            </a:ext>
          </a:extLst>
        </xdr:cNvPr>
        <xdr:cNvSpPr txBox="1"/>
      </xdr:nvSpPr>
      <xdr:spPr>
        <a:xfrm>
          <a:off x="10420350" y="542925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13</xdr:col>
      <xdr:colOff>400050</xdr:colOff>
      <xdr:row>7</xdr:row>
      <xdr:rowOff>0</xdr:rowOff>
    </xdr:from>
    <xdr:ext cx="180975" cy="266700"/>
    <xdr:sp>
      <xdr:nvSpPr>
        <xdr:cNvPr id="1217" name="TextBox 2">
          <a:extLst>
            <a:ext uri="{FF2B5EF4-FFF2-40B4-BE49-F238E27FC236}">
              <a16:creationId xmlns:a16="http://schemas.microsoft.com/office/drawing/2014/main" id="{083739a0-7179-48a1-869a-09fc9c9aed76}"/>
            </a:ext>
          </a:extLst>
        </xdr:cNvPr>
        <xdr:cNvSpPr txBox="1"/>
      </xdr:nvSpPr>
      <xdr:spPr>
        <a:xfrm>
          <a:off x="10515600" y="2200275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5350" cy="266700"/>
    <xdr:sp>
      <xdr:nvSpPr>
        <xdr:cNvPr id="1218" name="TextBox 3">
          <a:extLst>
            <a:ext uri="{FF2B5EF4-FFF2-40B4-BE49-F238E27FC236}">
              <a16:creationId xmlns:a16="http://schemas.microsoft.com/office/drawing/2014/main" id="{c097cab1-6443-410a-8953-90edb44d75da}"/>
            </a:ext>
          </a:extLst>
        </xdr:cNvPr>
        <xdr:cNvSpPr txBox="1"/>
      </xdr:nvSpPr>
      <xdr:spPr>
        <a:xfrm>
          <a:off x="9525" y="0"/>
          <a:ext cx="851535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IN"/>
        </a:p>
      </xdr:txBody>
    </xdr:sp>
    <xdr:clientData/>
  </xdr:oneCellAnchor>
  <xdr:twoCellAnchor>
    <xdr:from>
      <xdr:col>0</xdr:col>
      <xdr:colOff>57150</xdr:colOff>
      <xdr:row>0</xdr:row>
      <xdr:rowOff>41275</xdr:rowOff>
    </xdr:from>
    <xdr:to>
      <xdr:col>10</xdr:col>
      <xdr:colOff>840119</xdr:colOff>
      <xdr:row>7</xdr:row>
      <xdr:rowOff>1757</xdr:rowOff>
    </xdr:to>
    <xdr:sp>
      <xdr:nvSpPr>
        <xdr:cNvPr id="1219" name="Text Box 9">
          <a:extLst>
            <a:ext uri="{FF2B5EF4-FFF2-40B4-BE49-F238E27FC236}">
              <a16:creationId xmlns:a16="http://schemas.microsoft.com/office/drawing/2014/main" id="{96520bf5-e886-427c-bab8-ae421dc632a8}"/>
            </a:ext>
          </a:extLst>
        </xdr:cNvPr>
        <xdr:cNvSpPr txBox="1"/>
      </xdr:nvSpPr>
      <xdr:spPr>
        <a:xfrm>
          <a:off x="57150" y="38100"/>
          <a:ext cx="8820150" cy="2162175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1000" b="1">
            <a:solidFill>
              <a:srgbClr val="000000"/>
            </a:solidFill>
            <a:effectLst/>
            <a:latin typeface="Gauge Heavy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32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</a:t>
          </a:r>
          <a:r>
            <a:rPr lang="en-US" sz="2800" b="1">
              <a:solidFill>
                <a:schemeClr val="tx1"/>
              </a:solidFill>
              <a:effectLst/>
              <a:latin typeface="+mn-lt"/>
              <a:ea typeface="Calibri"/>
              <a:cs typeface="Times New Roman"/>
            </a:rPr>
            <a:t>Singh and Sons InfoTech Private Limited</a:t>
          </a:r>
        </a:p>
        <a:p>
          <a:pPr algn="ctr" marL="0" marR="0">
            <a:lnSpc>
              <a:spcPts val="24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2000" b="1">
              <a:solidFill>
                <a:srgbClr val="FF0000"/>
              </a:solidFill>
              <a:effectLst/>
              <a:latin typeface="+mn-lt"/>
              <a:ea typeface="Calibri"/>
              <a:cs typeface="Times New Roman"/>
            </a:rPr>
            <a:t>(An Integrated Facilities Management Company)</a:t>
          </a:r>
          <a:endParaRPr lang="en-US" sz="2000" b="0">
            <a:solidFill>
              <a:schemeClr val="tx1"/>
            </a:solidFill>
            <a:effectLst/>
            <a:latin typeface="+mn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Calibri"/>
              <a:cs typeface="Calibri"/>
            </a:rPr>
            <a:t>(An ISO 9001:2015 Certified Company)</a:t>
          </a:r>
          <a:endParaRPr lang="en-US" sz="14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12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162055</xdr:colOff>
      <xdr:row>2</xdr:row>
      <xdr:rowOff>217326</xdr:rowOff>
    </xdr:from>
    <xdr:to>
      <xdr:col>1</xdr:col>
      <xdr:colOff>599880</xdr:colOff>
      <xdr:row>6</xdr:row>
      <xdr:rowOff>38063</xdr:rowOff>
    </xdr:to>
    <xdr:pic>
      <xdr:nvPicPr>
        <xdr:cNvPr id="1220" name="image1.png">
          <a:extLst>
            <a:ext uri="{FF2B5EF4-FFF2-40B4-BE49-F238E27FC236}">
              <a16:creationId xmlns:a16="http://schemas.microsoft.com/office/drawing/2014/main" id="{b02992fe-031e-41bc-a6d5-cbccfb515780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1925" y="847725"/>
          <a:ext cx="1028700" cy="1076325"/>
        </a:xfrm>
        <a:prstGeom prst="rect"/>
      </xdr:spPr>
    </xdr:pic>
    <xdr:clientData/>
  </xdr:twoCellAnchor>
  <xdr:twoCellAnchor editAs="oneCell">
    <xdr:from>
      <xdr:col>5</xdr:col>
      <xdr:colOff>390116</xdr:colOff>
      <xdr:row>0</xdr:row>
      <xdr:rowOff>38063</xdr:rowOff>
    </xdr:from>
    <xdr:to>
      <xdr:col>6</xdr:col>
      <xdr:colOff>76181</xdr:colOff>
      <xdr:row>2</xdr:row>
      <xdr:rowOff>84720</xdr:rowOff>
    </xdr:to>
    <xdr:pic>
      <xdr:nvPicPr>
        <xdr:cNvPr id="1221" name="Picture 8">
          <a:extLst>
            <a:ext uri="{FF2B5EF4-FFF2-40B4-BE49-F238E27FC236}">
              <a16:creationId xmlns:a16="http://schemas.microsoft.com/office/drawing/2014/main" id="{e4ac4eb2-a5c6-43cb-982c-d31c65424499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143375" y="38100"/>
          <a:ext cx="542925" cy="676275"/>
        </a:xfrm>
        <a:prstGeom prst="rect"/>
      </xdr:spPr>
    </xdr:pic>
    <xdr:clientData/>
  </xdr:twoCellAnchor>
  <xdr:oneCellAnchor>
    <xdr:from>
      <xdr:col>0</xdr:col>
      <xdr:colOff>0</xdr:colOff>
      <xdr:row>0</xdr:row>
      <xdr:rowOff>38100</xdr:rowOff>
    </xdr:from>
    <xdr:ext cx="1876425" cy="438150"/>
    <xdr:sp>
      <xdr:nvSpPr>
        <xdr:cNvPr id="1222" name="TextBox 7">
          <a:extLst>
            <a:ext uri="{FF2B5EF4-FFF2-40B4-BE49-F238E27FC236}">
              <a16:creationId xmlns:a16="http://schemas.microsoft.com/office/drawing/2014/main" id="{76608447-3faa-470f-a9e1-7231d0bfa17e}"/>
            </a:ext>
          </a:extLst>
        </xdr:cNvPr>
        <xdr:cNvSpPr txBox="1"/>
      </xdr:nvSpPr>
      <xdr:spPr>
        <a:xfrm>
          <a:off x="0" y="38100"/>
          <a:ext cx="1876425" cy="4381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pPr/>
          <a:r>
            <a:rPr lang="en-US" sz="11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r>
            <a:rPr lang="en-US" sz="1100" b="1">
              <a:solidFill>
                <a:schemeClr val="tx1"/>
              </a:solidFill>
              <a:latin typeface="+mn-lt"/>
            </a:rPr>
            <a:t>MOB</a:t>
          </a:r>
          <a:r>
            <a:rPr lang="en-US" sz="11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100" b="1">
            <a:latin typeface="+mn-lt"/>
          </a:endParaRPr>
        </a:p>
      </xdr:txBody>
    </xdr:sp>
    <xdr:clientData/>
  </xdr:oneCellAnchor>
  <xdr:oneCellAnchor>
    <xdr:from>
      <xdr:col>8</xdr:col>
      <xdr:colOff>352425</xdr:colOff>
      <xdr:row>0</xdr:row>
      <xdr:rowOff>19050</xdr:rowOff>
    </xdr:from>
    <xdr:ext cx="2209800" cy="447675"/>
    <xdr:sp>
      <xdr:nvSpPr>
        <xdr:cNvPr id="1223" name="TextBox 8">
          <a:extLst>
            <a:ext uri="{FF2B5EF4-FFF2-40B4-BE49-F238E27FC236}">
              <a16:creationId xmlns:a16="http://schemas.microsoft.com/office/drawing/2014/main" id="{8a0100a6-fb59-4f09-8c84-da451cfe9ec3}"/>
            </a:ext>
          </a:extLst>
        </xdr:cNvPr>
        <xdr:cNvSpPr txBox="1"/>
      </xdr:nvSpPr>
      <xdr:spPr>
        <a:xfrm>
          <a:off x="6677025" y="19050"/>
          <a:ext cx="2209800" cy="4476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1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<Relationships xmlns="http://schemas.openxmlformats.org/package/2006/relationships"><Relationship Id="rId1" Type="http://schemas.microsoft.com/office/2006/relationships/xlExternalLinkPath/xlLibrary" Target="SpellNumber.xla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 /><Relationship Id="rId2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6.xml.rels><?xml version="1.0" encoding="UTF-8" standalone="yes"?><Relationships xmlns="http://schemas.openxmlformats.org/package/2006/relationships"><Relationship Id="rId2" Type="http://schemas.openxmlformats.org/officeDocument/2006/relationships/hyperlink" Target="mailto:EPF@13%25%0aER%20SHARE" TargetMode="External" /><Relationship Id="rId5" Type="http://schemas.openxmlformats.org/officeDocument/2006/relationships/printerSettings" Target="../printerSettings/printerSettings5.bin" /><Relationship Id="rId1" Type="http://schemas.openxmlformats.org/officeDocument/2006/relationships/hyperlink" Target="mailto:ESIC@3.25%25%0aER%20SHARE" TargetMode="External" /><Relationship Id="rId3" Type="http://schemas.openxmlformats.org/officeDocument/2006/relationships/hyperlink" Target="mailto:BONUS@8.33%25" TargetMode="External" /><Relationship Id="rId4" Type="http://schemas.openxmlformats.org/officeDocument/2006/relationships/hyperlink" Target="mailto:LWW@4.81%25" TargetMode="External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8.xml.rels><?xml version="1.0" encoding="UTF-8" standalone="yes"?><Relationships xmlns="http://schemas.openxmlformats.org/package/2006/relationships"><Relationship Id="rId2" Type="http://schemas.openxmlformats.org/officeDocument/2006/relationships/ctrlProp" Target="../ctrProps/ctrProp2.xml" /><Relationship Id="rId1" Type="http://schemas.openxmlformats.org/officeDocument/2006/relationships/ctrlProp" Target="../ctrProps/ctrProp1.xml" /><Relationship Id="rId3" Type="http://schemas.openxmlformats.org/officeDocument/2006/relationships/drawing" Target="../drawings/drawing3.xml" /><Relationship Id="rId4" Type="http://schemas.openxmlformats.org/officeDocument/2006/relationships/vmlDrawing" Target="../drawings/vmlDrawing1.vml" /></Relationships>
</file>

<file path=xl/worksheets/_rels/sheet9.xml.rels><?xml version="1.0" encoding="UTF-8" standalone="yes"?><Relationships xmlns="http://schemas.openxmlformats.org/package/2006/relationships"><Relationship Id="rId5" Type="http://schemas.openxmlformats.org/officeDocument/2006/relationships/hyperlink" Target="mailto:snsitech@gmail.com" TargetMode="External" /><Relationship Id="rId1" Type="http://schemas.openxmlformats.org/officeDocument/2006/relationships/hyperlink" Target="mailto:snsitech@gmail.com" TargetMode="External" /><Relationship Id="rId2" Type="http://schemas.openxmlformats.org/officeDocument/2006/relationships/hyperlink" Target="http://www.snsinfotech.com/" TargetMode="External" /><Relationship Id="rId6" Type="http://schemas.openxmlformats.org/officeDocument/2006/relationships/hyperlink" Target="http://www.snsinfotech.com/" TargetMode="External" /><Relationship Id="rId3" Type="http://schemas.openxmlformats.org/officeDocument/2006/relationships/hyperlink" Target="mailto:snsitech@gmail.com" TargetMode="External" /><Relationship Id="rId8" Type="http://schemas.openxmlformats.org/officeDocument/2006/relationships/printerSettings" Target="../printerSettings/printerSettings7.bin" /><Relationship Id="rId7" Type="http://schemas.openxmlformats.org/officeDocument/2006/relationships/drawing" Target="../drawings/drawing4.xml" /><Relationship Id="rId4" Type="http://schemas.openxmlformats.org/officeDocument/2006/relationships/hyperlink" Target="http://www.snsinfotech.com/" TargetMode="External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 /><Relationship Id="rId2" Type="http://schemas.openxmlformats.org/officeDocument/2006/relationships/printerSettings" Target="../printerSettings/printerSettings8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 /><Relationship Id="rId2" Type="http://schemas.openxmlformats.org/officeDocument/2006/relationships/printerSettings" Target="../printerSettings/printerSettings9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4.xml.rels><?xml version="1.0" encoding="UTF-8" standalone="yes"?><Relationships xmlns="http://schemas.openxmlformats.org/package/2006/relationships"><Relationship Id="rId2" Type="http://schemas.openxmlformats.org/officeDocument/2006/relationships/hyperlink" Target="mailto:EPF@13%25%0aER%20SHARE" TargetMode="External" /><Relationship Id="rId5" Type="http://schemas.openxmlformats.org/officeDocument/2006/relationships/printerSettings" Target="../printerSettings/printerSettings12.bin" /><Relationship Id="rId1" Type="http://schemas.openxmlformats.org/officeDocument/2006/relationships/hyperlink" Target="mailto:ESIC@3.25%25%0aER%20SHARE" TargetMode="External" /><Relationship Id="rId3" Type="http://schemas.openxmlformats.org/officeDocument/2006/relationships/hyperlink" Target="mailto:BONUS@8.33%25" TargetMode="External" /><Relationship Id="rId4" Type="http://schemas.openxmlformats.org/officeDocument/2006/relationships/hyperlink" Target="mailto:LWW@4.81%25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C8CB6C0-297B-45B1-8C22-B1D865D7B9AB}">
  <sheetPr codeName="Sheet1">
    <pageSetUpPr fitToPage="1"/>
  </sheetPr>
  <dimension ref="A1:M58"/>
  <sheetViews>
    <sheetView view="pageBreakPreview" zoomScale="66" zoomScaleNormal="69" zoomScaleSheetLayoutView="66" zoomScalePageLayoutView="75" workbookViewId="0" topLeftCell="A33">
      <selection pane="topLeft" activeCell="A48" sqref="A48:L48"/>
    </sheetView>
  </sheetViews>
  <sheetFormatPr defaultRowHeight="12.75"/>
  <cols>
    <col min="1" max="4" width="11.8571428571429" customWidth="1"/>
    <col min="5" max="5" width="11.1428571428571" customWidth="1"/>
    <col min="6" max="7" width="12.8571428571429" customWidth="1"/>
    <col min="8" max="8" width="13.4285714285714" customWidth="1"/>
    <col min="9" max="9" width="12.8571428571429" customWidth="1"/>
    <col min="10" max="10" width="13.5714285714286" bestFit="1" customWidth="1"/>
    <col min="11" max="11" width="12.8571428571429" customWidth="1"/>
    <col min="12" max="12" width="14.5714285714286" customWidth="1"/>
  </cols>
  <sheetData>
    <row r="1" spans="1:12" ht="18" customHeight="1">
      <c r="A1" s="39"/>
      <c r="B1" s="37"/>
      <c r="C1" s="37"/>
      <c r="D1" s="37"/>
      <c r="E1" s="37"/>
      <c r="F1" s="37"/>
      <c r="G1" s="37"/>
      <c r="H1" s="37"/>
      <c r="I1" s="37"/>
      <c r="J1" s="37"/>
      <c r="K1" s="37"/>
      <c r="L1" s="38"/>
    </row>
    <row r="2" spans="1:12" ht="18" customHeight="1">
      <c r="A2" s="32"/>
      <c r="B2" s="1"/>
      <c r="C2" s="1"/>
      <c r="D2" s="1"/>
      <c r="E2" s="1"/>
      <c r="F2" s="1"/>
      <c r="G2" s="1"/>
      <c r="H2" s="1"/>
      <c r="I2" s="1"/>
      <c r="J2" s="1"/>
      <c r="K2" s="1"/>
      <c r="L2" s="33"/>
    </row>
    <row r="3" spans="1:12" ht="18" customHeight="1">
      <c r="A3" s="32"/>
      <c r="B3" s="1"/>
      <c r="C3" s="1"/>
      <c r="D3" s="1"/>
      <c r="E3" s="1"/>
      <c r="F3" s="1"/>
      <c r="G3" s="1"/>
      <c r="H3" s="1"/>
      <c r="I3" s="1"/>
      <c r="J3" s="1"/>
      <c r="K3" s="1"/>
      <c r="L3" s="33"/>
    </row>
    <row r="4" spans="1:12" ht="18" customHeight="1">
      <c r="A4" s="32"/>
      <c r="B4" s="1"/>
      <c r="C4" s="1"/>
      <c r="D4" s="1"/>
      <c r="E4" s="1"/>
      <c r="F4" s="1"/>
      <c r="G4" s="1"/>
      <c r="H4" s="1"/>
      <c r="I4" s="1"/>
      <c r="J4" s="1"/>
      <c r="K4" s="1"/>
      <c r="L4" s="33"/>
    </row>
    <row r="5" spans="1:12" ht="18" customHeight="1">
      <c r="A5" s="32"/>
      <c r="B5" s="1"/>
      <c r="C5" s="1"/>
      <c r="D5" s="1"/>
      <c r="E5" s="1"/>
      <c r="F5" s="1"/>
      <c r="G5" s="1"/>
      <c r="H5" s="1"/>
      <c r="I5" s="1"/>
      <c r="J5" s="1"/>
      <c r="K5" s="1"/>
      <c r="L5" s="33"/>
    </row>
    <row r="6" spans="1:12" ht="18" customHeight="1">
      <c r="A6" s="32"/>
      <c r="B6" s="1"/>
      <c r="C6" s="1"/>
      <c r="D6" s="1"/>
      <c r="E6" s="1"/>
      <c r="F6" s="1"/>
      <c r="G6" s="1"/>
      <c r="H6" s="1"/>
      <c r="I6" s="1"/>
      <c r="J6" s="1"/>
      <c r="K6" s="1"/>
      <c r="L6" s="33"/>
    </row>
    <row r="7" spans="1:12" ht="18" customHeight="1">
      <c r="A7" s="32"/>
      <c r="B7" s="1"/>
      <c r="C7" s="1"/>
      <c r="D7" s="1"/>
      <c r="E7" s="1"/>
      <c r="F7" s="1"/>
      <c r="G7" s="1"/>
      <c r="H7" s="1"/>
      <c r="I7" s="1"/>
      <c r="J7" s="1"/>
      <c r="K7" s="1"/>
      <c r="L7" s="33"/>
    </row>
    <row r="8" spans="1:12" ht="18" customHeight="1">
      <c r="A8" s="32"/>
      <c r="B8" s="1"/>
      <c r="C8" s="1"/>
      <c r="D8" s="1"/>
      <c r="E8" s="1"/>
      <c r="F8" s="1"/>
      <c r="G8" s="1"/>
      <c r="H8" s="1"/>
      <c r="I8" s="1"/>
      <c r="J8" s="1"/>
      <c r="K8" s="1"/>
      <c r="L8" s="33"/>
    </row>
    <row r="9" spans="1:12" ht="18" customHeight="1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>
      <c r="A11" s="414" t="s">
        <v>190</v>
      </c>
      <c r="B11" s="415"/>
      <c r="C11" s="415"/>
      <c r="D11" s="415"/>
      <c r="E11" s="415"/>
      <c r="F11" s="415"/>
      <c r="G11" s="415"/>
      <c r="H11" s="415"/>
      <c r="I11" s="415"/>
      <c r="J11" s="416"/>
      <c r="K11" s="423" t="s">
        <v>18</v>
      </c>
      <c r="L11" s="423"/>
    </row>
    <row r="12" spans="1:12" ht="15" customHeight="1">
      <c r="A12" s="417"/>
      <c r="B12" s="418"/>
      <c r="C12" s="418"/>
      <c r="D12" s="418"/>
      <c r="E12" s="418"/>
      <c r="F12" s="418"/>
      <c r="G12" s="418"/>
      <c r="H12" s="418"/>
      <c r="I12" s="418"/>
      <c r="J12" s="419"/>
      <c r="K12" s="423" t="s">
        <v>19</v>
      </c>
      <c r="L12" s="423"/>
    </row>
    <row r="13" spans="1:12" ht="15" customHeight="1">
      <c r="A13" s="420"/>
      <c r="B13" s="421"/>
      <c r="C13" s="421"/>
      <c r="D13" s="421"/>
      <c r="E13" s="421"/>
      <c r="F13" s="421"/>
      <c r="G13" s="421"/>
      <c r="H13" s="421"/>
      <c r="I13" s="421"/>
      <c r="J13" s="422"/>
      <c r="K13" s="424" t="s">
        <v>20</v>
      </c>
      <c r="L13" s="424"/>
    </row>
    <row r="14" spans="1:12" ht="15" customHeight="1">
      <c r="A14" s="425" t="s">
        <v>21</v>
      </c>
      <c r="B14" s="426"/>
      <c r="C14" s="427" t="str">
        <f>'Working Sheet'!B2</f>
        <v>SSI/1190</v>
      </c>
      <c r="D14" s="428"/>
      <c r="E14" s="428"/>
      <c r="F14" s="429"/>
      <c r="G14" s="430" t="s">
        <v>22</v>
      </c>
      <c r="H14" s="426"/>
      <c r="I14" s="431">
        <f>'Working Sheet'!B4</f>
        <v>45964</v>
      </c>
      <c r="J14" s="431"/>
      <c r="K14" s="431"/>
      <c r="L14" s="432"/>
    </row>
    <row r="15" spans="1:12" ht="15" customHeight="1">
      <c r="A15" s="433" t="s">
        <v>23</v>
      </c>
      <c r="B15" s="434"/>
      <c r="C15" s="435" t="s">
        <v>43</v>
      </c>
      <c r="D15" s="436"/>
      <c r="E15" s="436"/>
      <c r="F15" s="437"/>
      <c r="G15" s="438" t="s">
        <v>24</v>
      </c>
      <c r="H15" s="434"/>
      <c r="I15" s="439" t="s">
        <v>129</v>
      </c>
      <c r="J15" s="439"/>
      <c r="K15" s="439"/>
      <c r="L15" s="440"/>
    </row>
    <row r="16" spans="1:12" ht="15" customHeight="1">
      <c r="A16" s="433" t="s">
        <v>25</v>
      </c>
      <c r="B16" s="434"/>
      <c r="C16" s="441" t="str">
        <f>'Working Sheet'!B1</f>
        <v>01 Oct 2025 To 31 Oct 2025</v>
      </c>
      <c r="D16" s="442"/>
      <c r="E16" s="442"/>
      <c r="F16" s="443"/>
      <c r="G16" s="438" t="s">
        <v>26</v>
      </c>
      <c r="H16" s="434"/>
      <c r="I16" s="439" t="s">
        <v>106</v>
      </c>
      <c r="J16" s="439"/>
      <c r="K16" s="439"/>
      <c r="L16" s="440"/>
    </row>
    <row r="17" spans="1:13" ht="15" customHeight="1">
      <c r="A17" s="444" t="s">
        <v>27</v>
      </c>
      <c r="B17" s="445"/>
      <c r="C17" s="444" t="s">
        <v>128</v>
      </c>
      <c r="D17" s="446"/>
      <c r="E17" s="446"/>
      <c r="F17" s="445"/>
      <c r="G17" s="446" t="s">
        <v>28</v>
      </c>
      <c r="H17" s="445"/>
      <c r="I17" s="447" t="s">
        <v>122</v>
      </c>
      <c r="J17" s="447"/>
      <c r="K17" s="447"/>
      <c r="L17" s="448"/>
      <c r="M17" s="46"/>
    </row>
    <row r="18" spans="1:12" ht="4.5" customHeight="1">
      <c r="A18" s="161"/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3"/>
    </row>
    <row r="19" spans="1:12" ht="15" customHeight="1">
      <c r="A19" s="449" t="s">
        <v>70</v>
      </c>
      <c r="B19" s="450"/>
      <c r="C19" s="450"/>
      <c r="D19" s="450"/>
      <c r="E19" s="450"/>
      <c r="F19" s="450"/>
      <c r="G19" s="451" t="s">
        <v>69</v>
      </c>
      <c r="H19" s="450"/>
      <c r="I19" s="450"/>
      <c r="J19" s="450"/>
      <c r="K19" s="450"/>
      <c r="L19" s="452"/>
    </row>
    <row r="20" spans="1:12" ht="15" customHeight="1">
      <c r="A20" s="425" t="s">
        <v>189</v>
      </c>
      <c r="B20" s="426"/>
      <c r="C20" s="453" t="s">
        <v>186</v>
      </c>
      <c r="D20" s="454"/>
      <c r="E20" s="454"/>
      <c r="F20" s="455"/>
      <c r="G20" s="425" t="s">
        <v>189</v>
      </c>
      <c r="H20" s="426"/>
      <c r="I20" s="453" t="s">
        <v>187</v>
      </c>
      <c r="J20" s="454"/>
      <c r="K20" s="454"/>
      <c r="L20" s="455"/>
    </row>
    <row r="21" spans="1:12" ht="15" customHeight="1">
      <c r="A21" s="433" t="s">
        <v>188</v>
      </c>
      <c r="B21" s="434"/>
      <c r="C21" s="456" t="s">
        <v>123</v>
      </c>
      <c r="D21" s="457"/>
      <c r="E21" s="457"/>
      <c r="F21" s="458"/>
      <c r="G21" s="433" t="s">
        <v>188</v>
      </c>
      <c r="H21" s="434"/>
      <c r="I21" s="459" t="s">
        <v>182</v>
      </c>
      <c r="J21" s="460"/>
      <c r="K21" s="460"/>
      <c r="L21" s="461"/>
    </row>
    <row r="22" spans="1:12" ht="15" customHeight="1">
      <c r="A22" s="433"/>
      <c r="B22" s="434"/>
      <c r="C22" s="456" t="s">
        <v>124</v>
      </c>
      <c r="D22" s="457"/>
      <c r="E22" s="457"/>
      <c r="F22" s="458"/>
      <c r="G22" s="433"/>
      <c r="H22" s="434"/>
      <c r="I22" s="459" t="s">
        <v>183</v>
      </c>
      <c r="J22" s="460"/>
      <c r="K22" s="460"/>
      <c r="L22" s="461"/>
    </row>
    <row r="23" spans="1:12" ht="15" customHeight="1">
      <c r="A23" s="433"/>
      <c r="B23" s="434"/>
      <c r="C23" s="456" t="s">
        <v>185</v>
      </c>
      <c r="D23" s="457"/>
      <c r="E23" s="457"/>
      <c r="F23" s="458"/>
      <c r="G23" s="433"/>
      <c r="H23" s="434"/>
      <c r="I23" s="459" t="s">
        <v>193</v>
      </c>
      <c r="J23" s="460"/>
      <c r="K23" s="460"/>
      <c r="L23" s="461"/>
    </row>
    <row r="24" spans="1:12" ht="15" customHeight="1">
      <c r="A24" s="433" t="s">
        <v>30</v>
      </c>
      <c r="B24" s="434"/>
      <c r="C24" s="456" t="s">
        <v>184</v>
      </c>
      <c r="D24" s="457"/>
      <c r="E24" s="457"/>
      <c r="F24" s="458"/>
      <c r="G24" s="433" t="s">
        <v>31</v>
      </c>
      <c r="H24" s="434"/>
      <c r="I24" s="441" t="s">
        <v>59</v>
      </c>
      <c r="J24" s="442"/>
      <c r="K24" s="442"/>
      <c r="L24" s="443"/>
    </row>
    <row r="25" spans="1:12" ht="15" customHeight="1">
      <c r="A25" s="433" t="s">
        <v>31</v>
      </c>
      <c r="B25" s="434"/>
      <c r="C25" s="441" t="s">
        <v>125</v>
      </c>
      <c r="D25" s="442"/>
      <c r="E25" s="442"/>
      <c r="F25" s="443"/>
      <c r="G25" s="433" t="s">
        <v>23</v>
      </c>
      <c r="H25" s="434"/>
      <c r="I25" s="459" t="s">
        <v>43</v>
      </c>
      <c r="J25" s="460"/>
      <c r="K25" s="460"/>
      <c r="L25" s="461"/>
    </row>
    <row r="26" spans="1:12" ht="15" customHeight="1">
      <c r="A26" s="444" t="s">
        <v>32</v>
      </c>
      <c r="B26" s="445"/>
      <c r="C26" s="465" t="s">
        <v>129</v>
      </c>
      <c r="D26" s="466"/>
      <c r="E26" s="466"/>
      <c r="F26" s="467"/>
      <c r="G26" s="444" t="s">
        <v>32</v>
      </c>
      <c r="H26" s="445"/>
      <c r="I26" s="468" t="s">
        <v>62</v>
      </c>
      <c r="J26" s="469"/>
      <c r="K26" s="469"/>
      <c r="L26" s="470"/>
    </row>
    <row r="27" spans="1:12" ht="4.35" customHeight="1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8"/>
    </row>
    <row r="28" spans="1:12" ht="29.45" customHeight="1">
      <c r="A28" s="471" t="str">
        <f>"HIRING OF ARC SERVICES FOR FIRE AND SAFETY ALONG WITH ERV AND FIRE BIKE FOR CGD BHUBANESWAR &amp; CGD CUTTACK "&amp;'Working Sheet'!B3</f>
        <v>HIRING OF ARC SERVICES FOR FIRE AND SAFETY ALONG WITH ERV AND FIRE BIKE FOR CGD BHUBANESWAR &amp; CGD CUTTACK OCTOBER-2025</v>
      </c>
      <c r="B28" s="472"/>
      <c r="C28" s="472"/>
      <c r="D28" s="472"/>
      <c r="E28" s="472"/>
      <c r="F28" s="472"/>
      <c r="G28" s="472"/>
      <c r="H28" s="472"/>
      <c r="I28" s="472"/>
      <c r="J28" s="472"/>
      <c r="K28" s="472"/>
      <c r="L28" s="473"/>
    </row>
    <row r="29" spans="1:12" ht="39.95" customHeight="1">
      <c r="A29" s="160" t="s">
        <v>33</v>
      </c>
      <c r="B29" s="474" t="s">
        <v>34</v>
      </c>
      <c r="C29" s="475"/>
      <c r="D29" s="476"/>
      <c r="E29" s="160" t="s">
        <v>35</v>
      </c>
      <c r="F29" s="160" t="s">
        <v>36</v>
      </c>
      <c r="G29" s="160" t="s">
        <v>2</v>
      </c>
      <c r="H29" s="160" t="s">
        <v>37</v>
      </c>
      <c r="I29" s="160" t="s">
        <v>38</v>
      </c>
      <c r="J29" s="160" t="s">
        <v>39</v>
      </c>
      <c r="K29" s="160" t="s">
        <v>40</v>
      </c>
      <c r="L29" s="160" t="s">
        <v>41</v>
      </c>
    </row>
    <row r="30" spans="1:12" ht="23.25">
      <c r="A30" s="69"/>
      <c r="B30" s="484" t="s">
        <v>196</v>
      </c>
      <c r="C30" s="485"/>
      <c r="D30" s="486"/>
      <c r="E30" s="70"/>
      <c r="F30" s="70"/>
      <c r="G30" s="70"/>
      <c r="H30" s="70"/>
      <c r="I30" s="70"/>
      <c r="J30" s="70"/>
      <c r="K30" s="70"/>
      <c r="L30" s="70"/>
    </row>
    <row r="31" spans="1:12" ht="15.6" customHeight="1">
      <c r="A31" s="395">
        <v>1</v>
      </c>
      <c r="B31" s="462" t="str">
        <f>'AOC (BBSR)'!C13</f>
        <v xml:space="preserve">HIRING OF HIGHSKILLED MANPOWER </v>
      </c>
      <c r="C31" s="463"/>
      <c r="D31" s="464"/>
      <c r="E31" s="173"/>
      <c r="F31" s="172">
        <v>998519</v>
      </c>
      <c r="G31" s="172" t="str">
        <f>'AOC (BBSR)'!D13</f>
        <v xml:space="preserve">MAD </v>
      </c>
      <c r="H31" s="174">
        <f>'AOC (BBSR)'!J13</f>
        <v>2</v>
      </c>
      <c r="I31" s="174">
        <f>'AOC (BBSR)'!F13</f>
        <v>34029.660000000003</v>
      </c>
      <c r="J31" s="174">
        <f>I31*H31</f>
        <v>68059.320000000007</v>
      </c>
      <c r="K31" s="175">
        <v>0</v>
      </c>
      <c r="L31" s="174">
        <f>J31-K31</f>
        <v>68059.320000000007</v>
      </c>
    </row>
    <row r="32" spans="1:12" ht="15.6" customHeight="1">
      <c r="A32" s="158">
        <v>2</v>
      </c>
      <c r="B32" s="462" t="str">
        <f>'AOC (BBSR)'!C14</f>
        <v xml:space="preserve">HIRING  OF SKILLED MANPOWER </v>
      </c>
      <c r="C32" s="463"/>
      <c r="D32" s="464"/>
      <c r="E32" s="159" t="s">
        <v>486</v>
      </c>
      <c r="F32" s="393">
        <v>998519</v>
      </c>
      <c r="G32" s="393" t="str">
        <f>'AOC (BBSR)'!D14</f>
        <v xml:space="preserve">MAD </v>
      </c>
      <c r="H32" s="174">
        <f>'AOC (BBSR)'!J14</f>
        <v>9</v>
      </c>
      <c r="I32" s="174">
        <f>'AOC (BBSR)'!F14</f>
        <v>30912.709999999999</v>
      </c>
      <c r="J32" s="174">
        <f t="shared" si="0" ref="J32:J39">I32*H32</f>
        <v>278214.39000000001</v>
      </c>
      <c r="K32" s="175">
        <v>0</v>
      </c>
      <c r="L32" s="174">
        <f t="shared" si="1" ref="L32:L39">J32-K32</f>
        <v>278214.39000000001</v>
      </c>
    </row>
    <row r="33" spans="1:12" ht="15.6" customHeight="1">
      <c r="A33" s="395">
        <v>3</v>
      </c>
      <c r="B33" s="462" t="str">
        <f>'AOC (BBSR)'!C15</f>
        <v xml:space="preserve">HIRING OF SEMI SKILLED MANPOWER </v>
      </c>
      <c r="C33" s="463"/>
      <c r="D33" s="464"/>
      <c r="E33" s="159"/>
      <c r="F33" s="393">
        <v>998519</v>
      </c>
      <c r="G33" s="393" t="str">
        <f>'AOC (BBSR)'!D15</f>
        <v xml:space="preserve">MAD </v>
      </c>
      <c r="H33" s="174">
        <f>'AOC (BBSR)'!J15</f>
        <v>9</v>
      </c>
      <c r="I33" s="174">
        <f>'AOC (BBSR)'!F15</f>
        <v>26481.349999999999</v>
      </c>
      <c r="J33" s="174">
        <f t="shared" si="0"/>
        <v>238332.14999999999</v>
      </c>
      <c r="K33" s="175">
        <v>0</v>
      </c>
      <c r="L33" s="174">
        <f t="shared" si="1"/>
        <v>238332.14999999999</v>
      </c>
    </row>
    <row r="34" spans="1:12" ht="15.6" customHeight="1">
      <c r="A34" s="158">
        <v>4</v>
      </c>
      <c r="B34" s="462" t="str">
        <f>'AOC (BBSR)'!C16</f>
        <v xml:space="preserve">HIRING OF UNSKILLED MANPOWER </v>
      </c>
      <c r="C34" s="463"/>
      <c r="D34" s="464"/>
      <c r="E34" s="159"/>
      <c r="F34" s="393">
        <v>998519</v>
      </c>
      <c r="G34" s="393" t="str">
        <f>'AOC (BBSR)'!D16</f>
        <v xml:space="preserve">MAD </v>
      </c>
      <c r="H34" s="174">
        <f>'AOC (BBSR)'!J16</f>
        <v>1</v>
      </c>
      <c r="I34" s="174">
        <f>'AOC (BBSR)'!F16</f>
        <v>23611.009999999998</v>
      </c>
      <c r="J34" s="174">
        <f t="shared" si="0"/>
        <v>23611.009999999998</v>
      </c>
      <c r="K34" s="175">
        <v>0</v>
      </c>
      <c r="L34" s="174">
        <f t="shared" si="1"/>
        <v>23611.009999999998</v>
      </c>
    </row>
    <row r="35" spans="1:12" ht="15.6" customHeight="1">
      <c r="A35" s="395">
        <v>5</v>
      </c>
      <c r="B35" s="462" t="str">
        <f>'AOC (BBSR)'!C17</f>
        <v xml:space="preserve">HIRING OF SERVICES OF 01 nos ERV </v>
      </c>
      <c r="C35" s="463"/>
      <c r="D35" s="464"/>
      <c r="E35" s="159"/>
      <c r="F35" s="393">
        <v>998519</v>
      </c>
      <c r="G35" s="393" t="str">
        <f>'AOC (BBSR)'!D17</f>
        <v>MON</v>
      </c>
      <c r="H35" s="174">
        <f>'AOC (BBSR)'!J17</f>
        <v>1</v>
      </c>
      <c r="I35" s="174">
        <f>'AOC (BBSR)'!F17</f>
        <v>101694.91</v>
      </c>
      <c r="J35" s="174">
        <f t="shared" si="0"/>
        <v>101694.91</v>
      </c>
      <c r="K35" s="175">
        <v>0</v>
      </c>
      <c r="L35" s="174">
        <f t="shared" si="1"/>
        <v>101694.91</v>
      </c>
    </row>
    <row r="36" spans="1:12" ht="15.6" customHeight="1">
      <c r="A36" s="158">
        <v>6</v>
      </c>
      <c r="B36" s="462" t="str">
        <f>'AOC (BBSR)'!C18</f>
        <v xml:space="preserve">HIRING OF SERVICES OF 01 nos FIRE BIKE </v>
      </c>
      <c r="C36" s="463"/>
      <c r="D36" s="464"/>
      <c r="E36" s="159"/>
      <c r="F36" s="393">
        <v>998519</v>
      </c>
      <c r="G36" s="393" t="str">
        <f>'AOC (BBSR)'!D18</f>
        <v>MON</v>
      </c>
      <c r="H36" s="174">
        <f>'AOC (BBSR)'!J18</f>
        <v>1</v>
      </c>
      <c r="I36" s="174">
        <f>'AOC (BBSR)'!F18</f>
        <v>21186.439999999999</v>
      </c>
      <c r="J36" s="174">
        <f t="shared" si="0"/>
        <v>21186.439999999999</v>
      </c>
      <c r="K36" s="175">
        <v>0</v>
      </c>
      <c r="L36" s="174">
        <f t="shared" si="1"/>
        <v>21186.439999999999</v>
      </c>
    </row>
    <row r="37" spans="1:12" ht="15.6" customHeight="1">
      <c r="A37" s="395">
        <v>7</v>
      </c>
      <c r="B37" s="462" t="str">
        <f>'AOC (BBSR)'!C19</f>
        <v>SERVICE CHARGES @10%</v>
      </c>
      <c r="C37" s="463"/>
      <c r="D37" s="464"/>
      <c r="E37" s="159"/>
      <c r="F37" s="393">
        <v>998519</v>
      </c>
      <c r="G37" s="393" t="str">
        <f>'AOC (BBSR)'!D19</f>
        <v>LS</v>
      </c>
      <c r="H37" s="174">
        <f>'AOC (BBSR)'!J19</f>
        <v>0</v>
      </c>
      <c r="I37" s="174">
        <f>'AOC (BBSR)'!F19</f>
        <v>2189.5700000000002</v>
      </c>
      <c r="J37" s="174">
        <f t="shared" si="0"/>
        <v>0</v>
      </c>
      <c r="K37" s="175">
        <v>0</v>
      </c>
      <c r="L37" s="174">
        <f t="shared" si="1"/>
        <v>0</v>
      </c>
    </row>
    <row r="38" spans="1:12" ht="15.6" customHeight="1">
      <c r="A38" s="158">
        <v>8</v>
      </c>
      <c r="B38" s="462" t="str">
        <f>'AOC (BBSR)'!C20</f>
        <v>WAGE REVISION REIMBURSEMENT</v>
      </c>
      <c r="C38" s="463"/>
      <c r="D38" s="464"/>
      <c r="E38" s="159"/>
      <c r="F38" s="393">
        <v>998519</v>
      </c>
      <c r="G38" s="393" t="str">
        <f>'AOC (BBSR)'!D20</f>
        <v>LS</v>
      </c>
      <c r="H38" s="174">
        <f>'AOC (BBSR)'!J20</f>
        <v>55399.700399999994</v>
      </c>
      <c r="I38" s="174">
        <f>'AOC (BBSR)'!F20</f>
        <v>1</v>
      </c>
      <c r="J38" s="174">
        <f t="shared" si="0"/>
        <v>55399.700399999994</v>
      </c>
      <c r="K38" s="175">
        <v>0</v>
      </c>
      <c r="L38" s="174">
        <f t="shared" si="1"/>
        <v>55399.700399999994</v>
      </c>
    </row>
    <row r="39" spans="1:12" ht="15.6" customHeight="1">
      <c r="A39" s="395">
        <v>9</v>
      </c>
      <c r="B39" s="487" t="str">
        <f>'AOC (BBSR)'!C21</f>
        <v>FLOATER MEDICAL POLICY + WC POLICY</v>
      </c>
      <c r="C39" s="488"/>
      <c r="D39" s="489"/>
      <c r="E39" s="159"/>
      <c r="F39" s="393">
        <v>998519</v>
      </c>
      <c r="G39" s="393" t="str">
        <f>'AOC (BBSR)'!D21</f>
        <v>LS</v>
      </c>
      <c r="H39" s="174">
        <f>'AOC (BBSR)'!J21</f>
        <v>0</v>
      </c>
      <c r="I39" s="174">
        <f>'AOC (BBSR)'!F21</f>
        <v>1</v>
      </c>
      <c r="J39" s="174">
        <f t="shared" si="0"/>
        <v>0</v>
      </c>
      <c r="K39" s="175">
        <v>0</v>
      </c>
      <c r="L39" s="174">
        <f t="shared" si="1"/>
        <v>0</v>
      </c>
    </row>
    <row r="40" spans="1:12" ht="39.95" customHeight="1">
      <c r="A40" s="160"/>
      <c r="B40" s="490" t="s">
        <v>42</v>
      </c>
      <c r="C40" s="491"/>
      <c r="D40" s="492"/>
      <c r="E40" s="160"/>
      <c r="F40" s="160"/>
      <c r="G40" s="160"/>
      <c r="H40" s="160"/>
      <c r="I40" s="160"/>
      <c r="J40" s="160"/>
      <c r="K40" s="160"/>
      <c r="L40" s="164">
        <f>SUM(L31:L39)</f>
        <v>786497.92039999994</v>
      </c>
    </row>
    <row r="41" spans="1:12" ht="4.35" customHeight="1">
      <c r="A41" s="514"/>
      <c r="B41" s="515"/>
      <c r="C41" s="515"/>
      <c r="D41" s="515"/>
      <c r="E41" s="515"/>
      <c r="F41" s="515"/>
      <c r="G41" s="515"/>
      <c r="H41" s="515"/>
      <c r="I41" s="515"/>
      <c r="J41" s="515"/>
      <c r="K41" s="515"/>
      <c r="L41" s="516"/>
    </row>
    <row r="42" spans="1:12" ht="30" customHeight="1">
      <c r="A42" s="493" t="s">
        <v>180</v>
      </c>
      <c r="B42" s="493"/>
      <c r="C42" s="493"/>
      <c r="D42" s="493"/>
      <c r="E42" s="493"/>
      <c r="F42" s="493"/>
      <c r="G42" s="498" t="s">
        <v>60</v>
      </c>
      <c r="H42" s="498"/>
      <c r="I42" s="498"/>
      <c r="J42" s="499">
        <f>L40</f>
        <v>786497.92039999994</v>
      </c>
      <c r="K42" s="499"/>
      <c r="L42" s="499"/>
    </row>
    <row r="43" spans="1:12" ht="30" customHeight="1">
      <c r="A43" s="493" t="s">
        <v>181</v>
      </c>
      <c r="B43" s="493"/>
      <c r="C43" s="493"/>
      <c r="D43" s="493"/>
      <c r="E43" s="493"/>
      <c r="F43" s="493"/>
      <c r="G43" s="494" t="s">
        <v>102</v>
      </c>
      <c r="H43" s="450"/>
      <c r="I43" s="452"/>
      <c r="J43" s="481">
        <f>J42*18%</f>
        <v>141569.62567199999</v>
      </c>
      <c r="K43" s="482"/>
      <c r="L43" s="483"/>
    </row>
    <row r="44" spans="1:12" ht="30" customHeight="1">
      <c r="A44" s="493" t="s">
        <v>65</v>
      </c>
      <c r="B44" s="493"/>
      <c r="C44" s="493"/>
      <c r="D44" s="493"/>
      <c r="E44" s="493"/>
      <c r="F44" s="493"/>
      <c r="G44" s="498" t="s">
        <v>103</v>
      </c>
      <c r="H44" s="498"/>
      <c r="I44" s="498"/>
      <c r="J44" s="499">
        <v>0</v>
      </c>
      <c r="K44" s="499"/>
      <c r="L44" s="499"/>
    </row>
    <row r="45" spans="1:12" ht="30" customHeight="1">
      <c r="A45" s="500" t="s">
        <v>66</v>
      </c>
      <c r="B45" s="500"/>
      <c r="C45" s="500"/>
      <c r="D45" s="500"/>
      <c r="E45" s="500"/>
      <c r="F45" s="500"/>
      <c r="G45" s="498" t="s">
        <v>191</v>
      </c>
      <c r="H45" s="498"/>
      <c r="I45" s="498"/>
      <c r="J45" s="477">
        <f>ROUND(J42+(J43+J44),0)</f>
        <v>928068</v>
      </c>
      <c r="K45" s="477"/>
      <c r="L45" s="477"/>
    </row>
    <row r="46" spans="1:12" ht="3" customHeight="1">
      <c r="A46" s="71"/>
      <c r="B46" s="72"/>
      <c r="C46" s="72"/>
      <c r="D46" s="72"/>
      <c r="E46" s="72"/>
      <c r="F46" s="73"/>
      <c r="G46" s="73"/>
      <c r="H46" s="74"/>
      <c r="I46" s="74"/>
      <c r="J46" s="75"/>
      <c r="K46" s="75"/>
      <c r="L46" s="76"/>
    </row>
    <row r="47" spans="1:12" ht="30" customHeight="1">
      <c r="A47" s="478" t="str">
        <f>[1]!SpellNumber(J45)&amp;""</f>
        <v xml:space="preserve">Rupees Nine Lakh TwentyEight Thousand SixtyEight Only </v>
      </c>
      <c r="B47" s="479"/>
      <c r="C47" s="479"/>
      <c r="D47" s="479"/>
      <c r="E47" s="479"/>
      <c r="F47" s="479"/>
      <c r="G47" s="479"/>
      <c r="H47" s="479"/>
      <c r="I47" s="479"/>
      <c r="J47" s="479"/>
      <c r="K47" s="479"/>
      <c r="L47" s="480"/>
    </row>
    <row r="48" spans="1:12" ht="30" customHeight="1">
      <c r="A48" s="501" t="s">
        <v>67</v>
      </c>
      <c r="B48" s="502"/>
      <c r="C48" s="502"/>
      <c r="D48" s="502"/>
      <c r="E48" s="502"/>
      <c r="F48" s="502"/>
      <c r="G48" s="502"/>
      <c r="H48" s="502"/>
      <c r="I48" s="502"/>
      <c r="J48" s="502"/>
      <c r="K48" s="502"/>
      <c r="L48" s="503"/>
    </row>
    <row r="49" spans="1:12" ht="30" customHeight="1">
      <c r="A49" s="77"/>
      <c r="B49" s="78"/>
      <c r="C49" s="78"/>
      <c r="D49" s="78"/>
      <c r="E49" s="78"/>
      <c r="F49" s="78"/>
      <c r="G49" s="504" t="s">
        <v>68</v>
      </c>
      <c r="H49" s="504"/>
      <c r="I49" s="504"/>
      <c r="J49" s="504"/>
      <c r="K49" s="504"/>
      <c r="L49" s="505"/>
    </row>
    <row r="50" spans="1:12" ht="39.95" customHeight="1">
      <c r="A50" s="77"/>
      <c r="B50" s="78"/>
      <c r="C50" s="78"/>
      <c r="D50" s="78"/>
      <c r="E50" s="78"/>
      <c r="F50" s="78"/>
      <c r="G50" s="79"/>
      <c r="H50" s="79"/>
      <c r="I50" s="79"/>
      <c r="J50" s="79"/>
      <c r="K50" s="79"/>
      <c r="L50" s="80"/>
    </row>
    <row r="51" spans="1:12" ht="39.95" customHeight="1">
      <c r="A51" s="77"/>
      <c r="B51" s="78"/>
      <c r="C51" s="78"/>
      <c r="D51" s="78"/>
      <c r="E51" s="78"/>
      <c r="F51" s="78"/>
      <c r="G51" s="79"/>
      <c r="H51" s="79"/>
      <c r="I51" s="79"/>
      <c r="J51" s="79"/>
      <c r="K51" s="79"/>
      <c r="L51" s="80"/>
    </row>
    <row r="52" spans="1:12" ht="39.95" customHeight="1">
      <c r="A52" s="77"/>
      <c r="B52" s="78"/>
      <c r="C52" s="78"/>
      <c r="D52" s="78"/>
      <c r="E52" s="78"/>
      <c r="F52" s="78"/>
      <c r="G52" s="79"/>
      <c r="H52" s="79"/>
      <c r="I52" s="79"/>
      <c r="J52" s="79"/>
      <c r="K52" s="79"/>
      <c r="L52" s="80"/>
    </row>
    <row r="53" spans="1:12" ht="30" customHeight="1">
      <c r="A53" s="81"/>
      <c r="B53" s="82"/>
      <c r="C53" s="82"/>
      <c r="D53" s="82"/>
      <c r="E53" s="82"/>
      <c r="F53" s="82"/>
      <c r="G53" s="506" t="s">
        <v>61</v>
      </c>
      <c r="H53" s="506"/>
      <c r="I53" s="506"/>
      <c r="J53" s="506"/>
      <c r="K53" s="506"/>
      <c r="L53" s="507"/>
    </row>
    <row r="54" spans="1:12" ht="18" customHeight="1">
      <c r="A54" s="508"/>
      <c r="B54" s="509"/>
      <c r="C54" s="509"/>
      <c r="D54" s="509"/>
      <c r="E54" s="509"/>
      <c r="F54" s="509"/>
      <c r="G54" s="509"/>
      <c r="H54" s="509"/>
      <c r="I54" s="509"/>
      <c r="J54" s="509"/>
      <c r="K54" s="509"/>
      <c r="L54" s="510"/>
    </row>
    <row r="55" spans="1:12" ht="18" customHeight="1">
      <c r="A55" s="508"/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10"/>
    </row>
    <row r="56" spans="1:12" ht="18" customHeight="1">
      <c r="A56" s="508"/>
      <c r="B56" s="509"/>
      <c r="C56" s="509"/>
      <c r="D56" s="509"/>
      <c r="E56" s="509"/>
      <c r="F56" s="509"/>
      <c r="G56" s="509"/>
      <c r="H56" s="509"/>
      <c r="I56" s="509"/>
      <c r="J56" s="509"/>
      <c r="K56" s="509"/>
      <c r="L56" s="510"/>
    </row>
    <row r="57" spans="1:12" ht="18" customHeight="1">
      <c r="A57" s="511"/>
      <c r="B57" s="512"/>
      <c r="C57" s="512"/>
      <c r="D57" s="512"/>
      <c r="E57" s="512"/>
      <c r="F57" s="512"/>
      <c r="G57" s="512"/>
      <c r="H57" s="512"/>
      <c r="I57" s="512"/>
      <c r="J57" s="512"/>
      <c r="K57" s="512"/>
      <c r="L57" s="513"/>
    </row>
    <row r="58" spans="1:12" ht="18" customHeight="1">
      <c r="A58" s="495"/>
      <c r="B58" s="495"/>
      <c r="C58" s="495"/>
      <c r="D58" s="495"/>
      <c r="E58" s="495"/>
      <c r="F58" s="495"/>
      <c r="G58" s="496"/>
      <c r="H58" s="496"/>
      <c r="I58" s="496"/>
      <c r="J58" s="497"/>
      <c r="K58" s="497"/>
      <c r="L58" s="497"/>
    </row>
  </sheetData>
  <sheetProtection/>
  <mergeCells count="84">
    <mergeCell ref="B37:D37"/>
    <mergeCell ref="B38:D38"/>
    <mergeCell ref="A48:L48"/>
    <mergeCell ref="G49:L49"/>
    <mergeCell ref="G53:L53"/>
    <mergeCell ref="A54:L57"/>
    <mergeCell ref="A41:L41"/>
    <mergeCell ref="A42:F42"/>
    <mergeCell ref="G42:I42"/>
    <mergeCell ref="J42:L42"/>
    <mergeCell ref="A43:F43"/>
    <mergeCell ref="G43:I43"/>
    <mergeCell ref="A58:F58"/>
    <mergeCell ref="G58:I58"/>
    <mergeCell ref="J58:L58"/>
    <mergeCell ref="A44:F44"/>
    <mergeCell ref="G44:I44"/>
    <mergeCell ref="J44:L44"/>
    <mergeCell ref="A45:F45"/>
    <mergeCell ref="G45:I45"/>
    <mergeCell ref="J45:L45"/>
    <mergeCell ref="A47:L47"/>
    <mergeCell ref="J43:L43"/>
    <mergeCell ref="B30:D30"/>
    <mergeCell ref="B31:D31"/>
    <mergeCell ref="B32:D32"/>
    <mergeCell ref="B33:D33"/>
    <mergeCell ref="B39:D39"/>
    <mergeCell ref="B40:D40"/>
    <mergeCell ref="B34:D34"/>
    <mergeCell ref="B35:D35"/>
    <mergeCell ref="B36:D36"/>
    <mergeCell ref="A26:B26"/>
    <mergeCell ref="C26:F26"/>
    <mergeCell ref="G26:H26"/>
    <mergeCell ref="I26:L26"/>
    <mergeCell ref="A28:L28"/>
    <mergeCell ref="B29:D29"/>
    <mergeCell ref="A24:B24"/>
    <mergeCell ref="C24:F24"/>
    <mergeCell ref="G24:H24"/>
    <mergeCell ref="I24:L24"/>
    <mergeCell ref="A25:B25"/>
    <mergeCell ref="C25:F25"/>
    <mergeCell ref="G25:H25"/>
    <mergeCell ref="I25:L25"/>
    <mergeCell ref="A22:B22"/>
    <mergeCell ref="C22:F22"/>
    <mergeCell ref="G22:H22"/>
    <mergeCell ref="I22:L22"/>
    <mergeCell ref="A23:B23"/>
    <mergeCell ref="C23:F23"/>
    <mergeCell ref="G23:H23"/>
    <mergeCell ref="I23:L23"/>
    <mergeCell ref="A20:B20"/>
    <mergeCell ref="C20:F20"/>
    <mergeCell ref="G20:H20"/>
    <mergeCell ref="I20:L20"/>
    <mergeCell ref="A21:B21"/>
    <mergeCell ref="C21:F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75" bottom="0.75" header="0.3" footer="0.3"/>
  <pageSetup orientation="portrait" paperSize="9" scale="66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A33B461-8441-45AA-8497-03A2B0A5B9AB}">
  <sheetPr codeName="Sheet2">
    <pageSetUpPr fitToPage="1"/>
  </sheetPr>
  <dimension ref="A1:N47"/>
  <sheetViews>
    <sheetView zoomScale="94" zoomScaleNormal="94" workbookViewId="0" topLeftCell="A28">
      <selection pane="topLeft" activeCell="A28" sqref="A28:K28"/>
    </sheetView>
  </sheetViews>
  <sheetFormatPr defaultRowHeight="14.25"/>
  <cols>
    <col min="1" max="1" width="8.85714285714286" style="35" customWidth="1"/>
    <col min="2" max="5" width="11.8571428571429" style="35" customWidth="1"/>
    <col min="6" max="11" width="12.8571428571429" style="35" customWidth="1"/>
    <col min="13" max="13" width="10.1428571428571" customWidth="1"/>
    <col min="14" max="14" width="11.7142857142857" bestFit="1" customWidth="1"/>
  </cols>
  <sheetData>
    <row r="1" spans="1:11" ht="24.95" customHeight="1">
      <c r="A1" s="40"/>
      <c r="B1" s="41"/>
      <c r="C1" s="41"/>
      <c r="D1" s="41"/>
      <c r="E1" s="41"/>
      <c r="F1" s="41"/>
      <c r="G1" s="41"/>
      <c r="H1" s="41"/>
      <c r="I1" s="41"/>
      <c r="J1" s="41"/>
      <c r="K1" s="42"/>
    </row>
    <row r="2" spans="1:11" ht="24.95" customHeight="1">
      <c r="A2" s="43"/>
      <c r="B2" s="44"/>
      <c r="C2" s="44"/>
      <c r="D2" s="44"/>
      <c r="E2" s="44"/>
      <c r="F2" s="44"/>
      <c r="G2" s="44"/>
      <c r="H2" s="44"/>
      <c r="I2" s="44"/>
      <c r="J2" s="44"/>
      <c r="K2" s="45"/>
    </row>
    <row r="3" spans="1:11" ht="24.95" customHeight="1">
      <c r="A3" s="43"/>
      <c r="B3" s="44"/>
      <c r="C3" s="44"/>
      <c r="D3" s="44"/>
      <c r="E3" s="44"/>
      <c r="F3" s="44"/>
      <c r="G3" s="44"/>
      <c r="H3" s="44"/>
      <c r="I3" s="44"/>
      <c r="J3" s="44"/>
      <c r="K3" s="45"/>
    </row>
    <row r="4" spans="1:11" ht="24.95" customHeight="1">
      <c r="A4" s="43"/>
      <c r="B4" s="44"/>
      <c r="C4" s="44"/>
      <c r="D4" s="44"/>
      <c r="E4" s="44"/>
      <c r="F4" s="44"/>
      <c r="G4" s="44"/>
      <c r="H4" s="44"/>
      <c r="I4" s="44"/>
      <c r="J4" s="44"/>
      <c r="K4" s="45"/>
    </row>
    <row r="5" spans="1:11" ht="24.95" customHeight="1">
      <c r="A5" s="43"/>
      <c r="B5" s="44"/>
      <c r="C5" s="44"/>
      <c r="D5" s="44"/>
      <c r="E5" s="44"/>
      <c r="F5" s="44"/>
      <c r="G5" s="44"/>
      <c r="H5" s="44"/>
      <c r="I5" s="44"/>
      <c r="J5" s="44"/>
      <c r="K5" s="45"/>
    </row>
    <row r="6" spans="1:11" ht="24.95" customHeight="1">
      <c r="A6" s="43"/>
      <c r="B6" s="44"/>
      <c r="C6" s="44"/>
      <c r="D6" s="44"/>
      <c r="E6" s="44"/>
      <c r="F6" s="44"/>
      <c r="G6" s="44"/>
      <c r="H6" s="44"/>
      <c r="I6" s="44"/>
      <c r="J6" s="44"/>
      <c r="K6" s="45"/>
    </row>
    <row r="7" spans="1:11" ht="24.95" customHeight="1">
      <c r="A7" s="43"/>
      <c r="B7" s="44"/>
      <c r="C7" s="44"/>
      <c r="D7" s="44"/>
      <c r="E7" s="44"/>
      <c r="F7" s="44"/>
      <c r="G7" s="44"/>
      <c r="H7" s="44"/>
      <c r="I7" s="44"/>
      <c r="J7" s="44"/>
      <c r="K7" s="45"/>
    </row>
    <row r="8" spans="1:11" ht="24.95" customHeight="1">
      <c r="A8" s="546" t="s">
        <v>78</v>
      </c>
      <c r="B8" s="546"/>
      <c r="C8" s="546"/>
      <c r="D8" s="546"/>
      <c r="E8" s="546"/>
      <c r="F8" s="546"/>
      <c r="G8" s="546"/>
      <c r="H8" s="546"/>
      <c r="I8" s="546"/>
      <c r="J8" s="546"/>
      <c r="K8" s="546"/>
    </row>
    <row r="9" spans="1:11" ht="24.95" customHeight="1">
      <c r="A9" s="559" t="str">
        <f>'Working Sheet'!C5&amp;" (BBSR)"</f>
        <v>RA BILL NO-19 (BBSR)</v>
      </c>
      <c r="B9" s="559"/>
      <c r="C9" s="559"/>
      <c r="D9" s="559"/>
      <c r="E9" s="559"/>
      <c r="F9" s="559"/>
      <c r="G9" s="559"/>
      <c r="H9" s="559"/>
      <c r="I9" s="559"/>
      <c r="J9" s="559"/>
      <c r="K9" s="559"/>
    </row>
    <row r="10" spans="1:11" ht="30" customHeight="1">
      <c r="A10" s="544" t="s">
        <v>44</v>
      </c>
      <c r="B10" s="544"/>
      <c r="C10" s="544"/>
      <c r="D10" s="544"/>
      <c r="E10" s="544"/>
      <c r="F10" s="547" t="s">
        <v>77</v>
      </c>
      <c r="G10" s="548"/>
      <c r="H10" s="548"/>
      <c r="I10" s="548"/>
      <c r="J10" s="548"/>
      <c r="K10" s="549"/>
    </row>
    <row r="11" spans="1:11" s="34" customFormat="1" ht="30" customHeight="1">
      <c r="A11" s="544" t="s">
        <v>45</v>
      </c>
      <c r="B11" s="544"/>
      <c r="C11" s="544"/>
      <c r="D11" s="544"/>
      <c r="E11" s="544"/>
      <c r="F11" s="500" t="s">
        <v>120</v>
      </c>
      <c r="G11" s="500"/>
      <c r="H11" s="500"/>
      <c r="I11" s="500"/>
      <c r="J11" s="500"/>
      <c r="K11" s="500"/>
    </row>
    <row r="12" spans="1:11" s="34" customFormat="1" ht="30" customHeight="1">
      <c r="A12" s="544" t="s">
        <v>46</v>
      </c>
      <c r="B12" s="544"/>
      <c r="C12" s="544"/>
      <c r="D12" s="544"/>
      <c r="E12" s="544"/>
      <c r="F12" s="493" t="s">
        <v>122</v>
      </c>
      <c r="G12" s="493"/>
      <c r="H12" s="493"/>
      <c r="I12" s="493"/>
      <c r="J12" s="493"/>
      <c r="K12" s="493"/>
    </row>
    <row r="13" spans="1:11" s="34" customFormat="1" ht="30" customHeight="1">
      <c r="A13" s="544" t="s">
        <v>47</v>
      </c>
      <c r="B13" s="544"/>
      <c r="C13" s="544"/>
      <c r="D13" s="544"/>
      <c r="E13" s="544"/>
      <c r="F13" s="545" t="s">
        <v>121</v>
      </c>
      <c r="G13" s="545"/>
      <c r="H13" s="545"/>
      <c r="I13" s="545"/>
      <c r="J13" s="545"/>
      <c r="K13" s="545"/>
    </row>
    <row r="14" spans="1:11" s="34" customFormat="1" ht="30" customHeight="1">
      <c r="A14" s="544" t="s">
        <v>48</v>
      </c>
      <c r="B14" s="544"/>
      <c r="C14" s="544"/>
      <c r="D14" s="544"/>
      <c r="E14" s="544"/>
      <c r="F14" s="545" t="s">
        <v>127</v>
      </c>
      <c r="G14" s="545"/>
      <c r="H14" s="545"/>
      <c r="I14" s="545"/>
      <c r="J14" s="545"/>
      <c r="K14" s="545"/>
    </row>
    <row r="15" spans="1:11" s="34" customFormat="1" ht="30" customHeight="1">
      <c r="A15" s="544" t="s">
        <v>49</v>
      </c>
      <c r="B15" s="544"/>
      <c r="C15" s="544"/>
      <c r="D15" s="544"/>
      <c r="E15" s="544"/>
      <c r="F15" s="545" t="s">
        <v>179</v>
      </c>
      <c r="G15" s="545"/>
      <c r="H15" s="545"/>
      <c r="I15" s="545"/>
      <c r="J15" s="545"/>
      <c r="K15" s="545"/>
    </row>
    <row r="16" spans="1:11" s="34" customFormat="1" ht="30" customHeight="1">
      <c r="A16" s="498" t="s">
        <v>50</v>
      </c>
      <c r="B16" s="498"/>
      <c r="C16" s="498"/>
      <c r="D16" s="498"/>
      <c r="E16" s="498"/>
      <c r="F16" s="544" t="str">
        <f>'Working Sheet'!C5</f>
        <v>RA BILL NO-19</v>
      </c>
      <c r="G16" s="544"/>
      <c r="H16" s="544"/>
      <c r="I16" s="544"/>
      <c r="J16" s="544"/>
      <c r="K16" s="544"/>
    </row>
    <row r="17" spans="1:11" s="34" customFormat="1" ht="30" customHeight="1">
      <c r="A17" s="544" t="s">
        <v>51</v>
      </c>
      <c r="B17" s="544"/>
      <c r="C17" s="544"/>
      <c r="D17" s="544"/>
      <c r="E17" s="544"/>
      <c r="F17" s="494" t="str">
        <f>'Working Sheet'!B1&amp;" BILL FOR THE MONTH OF "&amp;'Working Sheet'!B3</f>
        <v>01 Oct 2025 To 31 Oct 2025 BILL FOR THE MONTH OF OCTOBER-2025</v>
      </c>
      <c r="G17" s="450"/>
      <c r="H17" s="450"/>
      <c r="I17" s="450"/>
      <c r="J17" s="450"/>
      <c r="K17" s="452"/>
    </row>
    <row r="18" spans="1:11" s="34" customFormat="1" ht="5.25" customHeight="1">
      <c r="A18" s="361"/>
      <c r="B18" s="362"/>
      <c r="C18" s="362"/>
      <c r="D18" s="362"/>
      <c r="E18" s="362"/>
      <c r="F18" s="183"/>
      <c r="G18" s="183"/>
      <c r="H18" s="183"/>
      <c r="I18" s="183"/>
      <c r="J18" s="183"/>
      <c r="K18" s="184"/>
    </row>
    <row r="19" spans="1:11" s="34" customFormat="1" ht="5.1" customHeight="1">
      <c r="A19" s="524"/>
      <c r="B19" s="525"/>
      <c r="C19" s="525"/>
      <c r="D19" s="525"/>
      <c r="E19" s="525"/>
      <c r="F19" s="525"/>
      <c r="G19" s="525"/>
      <c r="H19" s="525"/>
      <c r="I19" s="525"/>
      <c r="J19" s="525"/>
      <c r="K19" s="526"/>
    </row>
    <row r="20" spans="1:11" ht="30" customHeight="1">
      <c r="A20" s="57" t="s">
        <v>79</v>
      </c>
      <c r="B20" s="560" t="s">
        <v>76</v>
      </c>
      <c r="C20" s="561"/>
      <c r="D20" s="561"/>
      <c r="E20" s="562"/>
      <c r="F20" s="538" t="s">
        <v>52</v>
      </c>
      <c r="G20" s="539"/>
      <c r="H20" s="540" t="s">
        <v>53</v>
      </c>
      <c r="I20" s="541"/>
      <c r="J20" s="540" t="s">
        <v>54</v>
      </c>
      <c r="K20" s="541"/>
    </row>
    <row r="21" spans="1:14" ht="24.95" customHeight="1">
      <c r="A21" s="58">
        <v>1</v>
      </c>
      <c r="B21" s="537" t="s">
        <v>99</v>
      </c>
      <c r="C21" s="537"/>
      <c r="D21" s="537"/>
      <c r="E21" s="537"/>
      <c r="F21" s="542">
        <v>14396033.48</v>
      </c>
      <c r="G21" s="543"/>
      <c r="H21" s="563">
        <f>'AOC (BBSR)'!K22</f>
        <v>786497.92039999994</v>
      </c>
      <c r="I21" s="564"/>
      <c r="J21" s="542">
        <f>F21+H21</f>
        <v>15182531.4004</v>
      </c>
      <c r="K21" s="543"/>
      <c r="N21" s="168"/>
    </row>
    <row r="22" spans="1:14" ht="24.95" customHeight="1">
      <c r="A22" s="58">
        <v>2</v>
      </c>
      <c r="B22" s="517" t="s">
        <v>101</v>
      </c>
      <c r="C22" s="530"/>
      <c r="D22" s="530"/>
      <c r="E22" s="531"/>
      <c r="F22" s="542">
        <v>2591285.75</v>
      </c>
      <c r="G22" s="543"/>
      <c r="H22" s="563">
        <f>H21*18%</f>
        <v>141569.62567199999</v>
      </c>
      <c r="I22" s="564"/>
      <c r="J22" s="542">
        <f t="shared" si="0" ref="J22:J27">F22+H22</f>
        <v>2732855.375672</v>
      </c>
      <c r="K22" s="543"/>
      <c r="N22" s="168"/>
    </row>
    <row r="23" spans="1:14" ht="30" customHeight="1">
      <c r="A23" s="58">
        <v>3</v>
      </c>
      <c r="B23" s="517" t="s">
        <v>98</v>
      </c>
      <c r="C23" s="518"/>
      <c r="D23" s="518"/>
      <c r="E23" s="519"/>
      <c r="F23" s="542">
        <v>16987319.219999999</v>
      </c>
      <c r="G23" s="543"/>
      <c r="H23" s="563">
        <f>H21+H22</f>
        <v>928067.54607199994</v>
      </c>
      <c r="I23" s="564"/>
      <c r="J23" s="542">
        <f t="shared" si="0"/>
        <v>17915386.766071998</v>
      </c>
      <c r="K23" s="543"/>
      <c r="N23" s="168"/>
    </row>
    <row r="24" spans="1:14" ht="24.95" customHeight="1">
      <c r="A24" s="58">
        <v>4</v>
      </c>
      <c r="B24" s="527" t="s">
        <v>105</v>
      </c>
      <c r="C24" s="518"/>
      <c r="D24" s="518"/>
      <c r="E24" s="519"/>
      <c r="F24" s="542">
        <v>287920.75</v>
      </c>
      <c r="G24" s="543"/>
      <c r="H24" s="563">
        <f>H21*2%</f>
        <v>15729.958407999999</v>
      </c>
      <c r="I24" s="564"/>
      <c r="J24" s="542">
        <f t="shared" si="0"/>
        <v>303650.70840800001</v>
      </c>
      <c r="K24" s="543"/>
      <c r="N24" s="168"/>
    </row>
    <row r="25" spans="1:14" ht="24.95" customHeight="1">
      <c r="A25" s="58">
        <v>5</v>
      </c>
      <c r="B25" s="517" t="s">
        <v>75</v>
      </c>
      <c r="C25" s="530"/>
      <c r="D25" s="530"/>
      <c r="E25" s="531"/>
      <c r="F25" s="542">
        <v>287920.75</v>
      </c>
      <c r="G25" s="543"/>
      <c r="H25" s="563">
        <f>H21*2%</f>
        <v>15729.958407999999</v>
      </c>
      <c r="I25" s="564"/>
      <c r="J25" s="542">
        <f t="shared" si="0"/>
        <v>303650.70840800001</v>
      </c>
      <c r="K25" s="543"/>
      <c r="N25" s="168"/>
    </row>
    <row r="26" spans="1:14" ht="30" customHeight="1">
      <c r="A26" s="58">
        <v>6</v>
      </c>
      <c r="B26" s="517" t="s">
        <v>55</v>
      </c>
      <c r="C26" s="530"/>
      <c r="D26" s="530"/>
      <c r="E26" s="531"/>
      <c r="F26" s="542">
        <v>0</v>
      </c>
      <c r="G26" s="543"/>
      <c r="H26" s="563">
        <v>0</v>
      </c>
      <c r="I26" s="564"/>
      <c r="J26" s="542">
        <f t="shared" si="0"/>
        <v>0</v>
      </c>
      <c r="K26" s="543"/>
      <c r="N26" s="168"/>
    </row>
    <row r="27" spans="1:14" ht="24.95" customHeight="1">
      <c r="A27" s="58">
        <v>7</v>
      </c>
      <c r="B27" s="523" t="s">
        <v>56</v>
      </c>
      <c r="C27" s="523"/>
      <c r="D27" s="523"/>
      <c r="E27" s="523"/>
      <c r="F27" s="542">
        <v>16411478.17</v>
      </c>
      <c r="G27" s="543"/>
      <c r="H27" s="563">
        <f>H23-(H24+H25)</f>
        <v>896607.62925599993</v>
      </c>
      <c r="I27" s="564"/>
      <c r="J27" s="542">
        <f t="shared" si="0"/>
        <v>17308085.799256001</v>
      </c>
      <c r="K27" s="543"/>
      <c r="N27" s="168"/>
    </row>
    <row r="28" spans="1:11" ht="30" customHeight="1">
      <c r="A28" s="532" t="str">
        <f>[1]!SpellNumber(H27)&amp;"."</f>
        <v>Rupees Eight Lakh NinetySix Thousand Six Hundred Seven Paise SixtyThree Only .</v>
      </c>
      <c r="B28" s="533"/>
      <c r="C28" s="533"/>
      <c r="D28" s="533"/>
      <c r="E28" s="533"/>
      <c r="F28" s="533"/>
      <c r="G28" s="533"/>
      <c r="H28" s="533"/>
      <c r="I28" s="533"/>
      <c r="J28" s="533"/>
      <c r="K28" s="534"/>
    </row>
    <row r="29" spans="1:11" ht="24.95" customHeight="1">
      <c r="A29" s="156">
        <v>1</v>
      </c>
      <c r="B29" s="535" t="s">
        <v>71</v>
      </c>
      <c r="C29" s="535"/>
      <c r="D29" s="535"/>
      <c r="E29" s="535"/>
      <c r="F29" s="535"/>
      <c r="G29" s="535"/>
      <c r="H29" s="535"/>
      <c r="I29" s="535"/>
      <c r="J29" s="535"/>
      <c r="K29" s="536"/>
    </row>
    <row r="30" spans="1:11" ht="24.95" customHeight="1">
      <c r="A30" s="157">
        <v>2</v>
      </c>
      <c r="B30" s="535" t="s">
        <v>72</v>
      </c>
      <c r="C30" s="535"/>
      <c r="D30" s="535"/>
      <c r="E30" s="535"/>
      <c r="F30" s="535"/>
      <c r="G30" s="535"/>
      <c r="H30" s="535"/>
      <c r="I30" s="535"/>
      <c r="J30" s="535"/>
      <c r="K30" s="536"/>
    </row>
    <row r="31" spans="1:11" ht="24.95" customHeight="1">
      <c r="A31" s="157">
        <v>3</v>
      </c>
      <c r="B31" s="528" t="s">
        <v>73</v>
      </c>
      <c r="C31" s="528"/>
      <c r="D31" s="528"/>
      <c r="E31" s="528"/>
      <c r="F31" s="528"/>
      <c r="G31" s="528"/>
      <c r="H31" s="528"/>
      <c r="I31" s="528"/>
      <c r="J31" s="528"/>
      <c r="K31" s="529"/>
    </row>
    <row r="32" spans="1:11" ht="24.95" customHeight="1">
      <c r="A32" s="157">
        <v>4</v>
      </c>
      <c r="B32" s="528" t="s">
        <v>57</v>
      </c>
      <c r="C32" s="528"/>
      <c r="D32" s="528"/>
      <c r="E32" s="528"/>
      <c r="F32" s="528"/>
      <c r="G32" s="528"/>
      <c r="H32" s="528"/>
      <c r="I32" s="528"/>
      <c r="J32" s="528"/>
      <c r="K32" s="529"/>
    </row>
    <row r="33" spans="1:11" ht="24.95" customHeight="1">
      <c r="A33" s="59" t="s">
        <v>58</v>
      </c>
      <c r="B33" s="524" t="s">
        <v>74</v>
      </c>
      <c r="C33" s="525"/>
      <c r="D33" s="525"/>
      <c r="E33" s="525"/>
      <c r="F33" s="526"/>
      <c r="G33" s="524" t="s">
        <v>178</v>
      </c>
      <c r="H33" s="525"/>
      <c r="I33" s="525"/>
      <c r="J33" s="525"/>
      <c r="K33" s="526"/>
    </row>
    <row r="34" spans="1:11" ht="30" customHeight="1">
      <c r="A34" s="60"/>
      <c r="B34" s="61"/>
      <c r="C34" s="61"/>
      <c r="D34" s="61"/>
      <c r="E34" s="61"/>
      <c r="F34" s="61"/>
      <c r="G34" s="61"/>
      <c r="H34" s="61"/>
      <c r="I34" s="61"/>
      <c r="J34" s="61"/>
      <c r="K34" s="62"/>
    </row>
    <row r="35" spans="1:11" ht="33.75" customHeight="1">
      <c r="A35" s="63"/>
      <c r="B35" s="64"/>
      <c r="C35" s="64"/>
      <c r="D35" s="64"/>
      <c r="E35" s="64"/>
      <c r="F35" s="64"/>
      <c r="G35" s="64"/>
      <c r="H35" s="64"/>
      <c r="I35" s="64"/>
      <c r="J35" s="64"/>
      <c r="K35" s="65"/>
    </row>
    <row r="36" spans="1:11" ht="24.95" customHeight="1">
      <c r="A36" s="59" t="s">
        <v>29</v>
      </c>
      <c r="B36" s="520" t="s">
        <v>64</v>
      </c>
      <c r="C36" s="521"/>
      <c r="D36" s="521"/>
      <c r="E36" s="521"/>
      <c r="F36" s="522"/>
      <c r="G36" s="553" t="s">
        <v>479</v>
      </c>
      <c r="H36" s="554"/>
      <c r="I36" s="554"/>
      <c r="J36" s="554"/>
      <c r="K36" s="555"/>
    </row>
    <row r="37" spans="1:11" ht="24.95" customHeight="1">
      <c r="A37" s="59" t="s">
        <v>1</v>
      </c>
      <c r="B37" s="550">
        <f>'Working Sheet'!B4</f>
        <v>45964</v>
      </c>
      <c r="C37" s="551"/>
      <c r="D37" s="551"/>
      <c r="E37" s="551"/>
      <c r="F37" s="552"/>
      <c r="G37" s="556" t="s">
        <v>480</v>
      </c>
      <c r="H37" s="557"/>
      <c r="I37" s="557"/>
      <c r="J37" s="557"/>
      <c r="K37" s="558"/>
    </row>
    <row r="38" ht="24.75" customHeight="1"/>
    <row r="46" spans="10:10" ht="14.25">
      <c r="J46" s="36"/>
    </row>
    <row r="47" spans="12:12" s="35" customFormat="1" ht="14.25">
      <c r="L47"/>
    </row>
  </sheetData>
  <sheetProtection/>
  <mergeCells count="62">
    <mergeCell ref="H27:I27"/>
    <mergeCell ref="J21:K21"/>
    <mergeCell ref="J22:K22"/>
    <mergeCell ref="J23:K23"/>
    <mergeCell ref="J24:K24"/>
    <mergeCell ref="J25:K25"/>
    <mergeCell ref="J26:K26"/>
    <mergeCell ref="J27:K27"/>
    <mergeCell ref="F24:G24"/>
    <mergeCell ref="F25:G25"/>
    <mergeCell ref="F26:G26"/>
    <mergeCell ref="F27:G27"/>
    <mergeCell ref="H21:I21"/>
    <mergeCell ref="H22:I22"/>
    <mergeCell ref="H23:I23"/>
    <mergeCell ref="H24:I24"/>
    <mergeCell ref="H25:I25"/>
    <mergeCell ref="H26:I26"/>
    <mergeCell ref="A14:E14"/>
    <mergeCell ref="B37:F37"/>
    <mergeCell ref="G33:K33"/>
    <mergeCell ref="G36:K36"/>
    <mergeCell ref="G37:K37"/>
    <mergeCell ref="A9:K9"/>
    <mergeCell ref="F12:K12"/>
    <mergeCell ref="F13:K13"/>
    <mergeCell ref="F14:K14"/>
    <mergeCell ref="B20:E20"/>
    <mergeCell ref="A8:K8"/>
    <mergeCell ref="F11:K11"/>
    <mergeCell ref="A10:E10"/>
    <mergeCell ref="A11:E11"/>
    <mergeCell ref="A12:E12"/>
    <mergeCell ref="A13:E13"/>
    <mergeCell ref="F10:K10"/>
    <mergeCell ref="A15:E15"/>
    <mergeCell ref="A16:E16"/>
    <mergeCell ref="A17:E17"/>
    <mergeCell ref="F15:K15"/>
    <mergeCell ref="F16:K16"/>
    <mergeCell ref="A19:K19"/>
    <mergeCell ref="F17:K17"/>
    <mergeCell ref="B31:K31"/>
    <mergeCell ref="B25:E25"/>
    <mergeCell ref="B21:E21"/>
    <mergeCell ref="B22:E22"/>
    <mergeCell ref="F20:G20"/>
    <mergeCell ref="H20:I20"/>
    <mergeCell ref="J20:K20"/>
    <mergeCell ref="F21:G21"/>
    <mergeCell ref="F22:G22"/>
    <mergeCell ref="F23:G23"/>
    <mergeCell ref="B23:E23"/>
    <mergeCell ref="B36:F36"/>
    <mergeCell ref="B27:E27"/>
    <mergeCell ref="B33:F33"/>
    <mergeCell ref="B24:E24"/>
    <mergeCell ref="B32:K32"/>
    <mergeCell ref="B26:E26"/>
    <mergeCell ref="A28:K28"/>
    <mergeCell ref="B29:K29"/>
    <mergeCell ref="B30:K30"/>
  </mergeCells>
  <printOptions horizontalCentered="1"/>
  <pageMargins left="0.25" right="0.25" top="0.28" bottom="0.32" header="0.3" footer="0.3"/>
  <pageSetup orientation="portrait" paperSize="1" scale="78" r:id="rId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8B31D437-232F-4FB2-9AAD-01BAFD50B9AB}">
  <sheetPr codeName="Sheet3">
    <pageSetUpPr fitToPage="1"/>
  </sheetPr>
  <dimension ref="A1:Q34"/>
  <sheetViews>
    <sheetView tabSelected="1" view="pageBreakPreview" zoomScale="93" zoomScaleNormal="72" zoomScaleSheetLayoutView="93" workbookViewId="0" topLeftCell="C25">
      <selection pane="topLeft" activeCell="I35" sqref="I35"/>
    </sheetView>
  </sheetViews>
  <sheetFormatPr defaultRowHeight="12.75"/>
  <cols>
    <col min="1" max="1" width="6.57142857142857" customWidth="1"/>
    <col min="2" max="2" width="8.85714285714286" customWidth="1"/>
    <col min="3" max="3" width="32.1428571428571" bestFit="1" customWidth="1"/>
    <col min="4" max="4" width="6.57142857142857" customWidth="1"/>
    <col min="5" max="13" width="12.5714285714286" customWidth="1"/>
    <col min="14" max="14" width="9.14285714285714" bestFit="1" customWidth="1"/>
    <col min="15" max="15" width="12.4285714285714" bestFit="1" customWidth="1"/>
  </cols>
  <sheetData>
    <row r="1" spans="1:13" ht="20.1" customHeight="1">
      <c r="A1" s="574" t="s">
        <v>104</v>
      </c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6"/>
    </row>
    <row r="2" spans="1:13" ht="12.75">
      <c r="A2" s="565" t="s">
        <v>80</v>
      </c>
      <c r="B2" s="565"/>
      <c r="C2" s="565"/>
      <c r="D2" s="132" t="s">
        <v>81</v>
      </c>
      <c r="E2" s="565" t="str">
        <f>'Working Sheet'!B2</f>
        <v>SSI/1190</v>
      </c>
      <c r="F2" s="565"/>
      <c r="G2" s="565"/>
      <c r="H2" s="565"/>
      <c r="I2" s="565"/>
      <c r="J2" s="565"/>
      <c r="K2" s="565"/>
      <c r="L2" s="565"/>
      <c r="M2" s="565"/>
    </row>
    <row r="3" spans="1:13" ht="12.75">
      <c r="A3" s="565" t="s">
        <v>82</v>
      </c>
      <c r="B3" s="565"/>
      <c r="C3" s="565"/>
      <c r="D3" s="133" t="s">
        <v>81</v>
      </c>
      <c r="E3" s="591">
        <f>'Working Sheet'!B4</f>
        <v>45964</v>
      </c>
      <c r="F3" s="592"/>
      <c r="G3" s="592"/>
      <c r="H3" s="592"/>
      <c r="I3" s="592"/>
      <c r="J3" s="592"/>
      <c r="K3" s="592"/>
      <c r="L3" s="592"/>
      <c r="M3" s="593"/>
    </row>
    <row r="4" spans="1:13" ht="12.75">
      <c r="A4" s="565" t="s">
        <v>83</v>
      </c>
      <c r="B4" s="565"/>
      <c r="C4" s="565"/>
      <c r="D4" s="134" t="s">
        <v>81</v>
      </c>
      <c r="E4" s="580" t="str">
        <f>'Working Sheet'!B1</f>
        <v>01 Oct 2025 To 31 Oct 2025</v>
      </c>
      <c r="F4" s="581"/>
      <c r="G4" s="581"/>
      <c r="H4" s="581"/>
      <c r="I4" s="581"/>
      <c r="J4" s="581"/>
      <c r="K4" s="581"/>
      <c r="L4" s="581"/>
      <c r="M4" s="582"/>
    </row>
    <row r="5" spans="1:13" ht="12.75">
      <c r="A5" s="565" t="s">
        <v>84</v>
      </c>
      <c r="B5" s="565"/>
      <c r="C5" s="565"/>
      <c r="D5" s="134" t="s">
        <v>81</v>
      </c>
      <c r="E5" s="580" t="s">
        <v>107</v>
      </c>
      <c r="F5" s="581"/>
      <c r="G5" s="581"/>
      <c r="H5" s="581"/>
      <c r="I5" s="581"/>
      <c r="J5" s="581"/>
      <c r="K5" s="581"/>
      <c r="L5" s="581"/>
      <c r="M5" s="582"/>
    </row>
    <row r="6" spans="1:13" ht="12.75">
      <c r="A6" s="565" t="s">
        <v>85</v>
      </c>
      <c r="B6" s="565"/>
      <c r="C6" s="565"/>
      <c r="D6" s="134" t="s">
        <v>81</v>
      </c>
      <c r="E6" s="577" t="s">
        <v>108</v>
      </c>
      <c r="F6" s="578"/>
      <c r="G6" s="578"/>
      <c r="H6" s="578"/>
      <c r="I6" s="578"/>
      <c r="J6" s="578"/>
      <c r="K6" s="578"/>
      <c r="L6" s="578"/>
      <c r="M6" s="579"/>
    </row>
    <row r="7" spans="1:13" ht="12.75">
      <c r="A7" s="565" t="s">
        <v>86</v>
      </c>
      <c r="B7" s="565"/>
      <c r="C7" s="565"/>
      <c r="D7" s="134" t="s">
        <v>81</v>
      </c>
      <c r="E7" s="580" t="s">
        <v>109</v>
      </c>
      <c r="F7" s="581"/>
      <c r="G7" s="581"/>
      <c r="H7" s="581"/>
      <c r="I7" s="581"/>
      <c r="J7" s="581"/>
      <c r="K7" s="581"/>
      <c r="L7" s="581"/>
      <c r="M7" s="582"/>
    </row>
    <row r="8" spans="1:13" ht="12.75">
      <c r="A8" s="565" t="s">
        <v>192</v>
      </c>
      <c r="B8" s="565"/>
      <c r="C8" s="565"/>
      <c r="D8" s="134" t="s">
        <v>81</v>
      </c>
      <c r="E8" s="566" t="s">
        <v>106</v>
      </c>
      <c r="F8" s="567"/>
      <c r="G8" s="567"/>
      <c r="H8" s="567"/>
      <c r="I8" s="567"/>
      <c r="J8" s="567"/>
      <c r="K8" s="567"/>
      <c r="L8" s="567"/>
      <c r="M8" s="568"/>
    </row>
    <row r="9" spans="1:13" ht="12.75">
      <c r="A9" s="594" t="s">
        <v>110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6"/>
    </row>
    <row r="10" spans="1:13" ht="30" customHeight="1">
      <c r="A10" s="589" t="s">
        <v>89</v>
      </c>
      <c r="B10" s="589" t="s">
        <v>90</v>
      </c>
      <c r="C10" s="584" t="s">
        <v>176</v>
      </c>
      <c r="D10" s="569" t="s">
        <v>174</v>
      </c>
      <c r="E10" s="570"/>
      <c r="F10" s="570"/>
      <c r="G10" s="571"/>
      <c r="H10" s="589" t="s">
        <v>130</v>
      </c>
      <c r="I10" s="589"/>
      <c r="J10" s="589" t="s">
        <v>91</v>
      </c>
      <c r="K10" s="589"/>
      <c r="L10" s="589" t="s">
        <v>92</v>
      </c>
      <c r="M10" s="589"/>
    </row>
    <row r="11" spans="1:13" ht="30" customHeight="1">
      <c r="A11" s="589"/>
      <c r="B11" s="589"/>
      <c r="C11" s="585"/>
      <c r="D11" s="138" t="s">
        <v>2</v>
      </c>
      <c r="E11" s="138" t="s">
        <v>93</v>
      </c>
      <c r="F11" s="138" t="s">
        <v>38</v>
      </c>
      <c r="G11" s="138" t="s">
        <v>100</v>
      </c>
      <c r="H11" s="138" t="s">
        <v>93</v>
      </c>
      <c r="I11" s="138" t="s">
        <v>39</v>
      </c>
      <c r="J11" s="138" t="s">
        <v>93</v>
      </c>
      <c r="K11" s="138" t="s">
        <v>39</v>
      </c>
      <c r="L11" s="138" t="s">
        <v>93</v>
      </c>
      <c r="M11" s="138" t="s">
        <v>39</v>
      </c>
    </row>
    <row r="12" spans="1:15" ht="15" customHeight="1">
      <c r="A12" s="139">
        <v>1</v>
      </c>
      <c r="B12" s="140"/>
      <c r="C12" s="85" t="s">
        <v>111</v>
      </c>
      <c r="D12" s="140"/>
      <c r="E12" s="141"/>
      <c r="F12" s="141"/>
      <c r="G12" s="140"/>
      <c r="H12" s="142"/>
      <c r="I12" s="142"/>
      <c r="J12" s="142"/>
      <c r="K12" s="142"/>
      <c r="L12" s="143"/>
      <c r="M12" s="142"/>
      <c r="N12" s="83"/>
      <c r="O12" s="84"/>
    </row>
    <row r="13" spans="1:17" ht="24.95" customHeight="1">
      <c r="A13" s="144"/>
      <c r="B13" s="145">
        <v>10</v>
      </c>
      <c r="C13" s="146" t="s">
        <v>112</v>
      </c>
      <c r="D13" s="147" t="s">
        <v>118</v>
      </c>
      <c r="E13" s="145">
        <v>72</v>
      </c>
      <c r="F13" s="136">
        <v>34029.660000000003</v>
      </c>
      <c r="G13" s="148">
        <f>E13*F13</f>
        <v>2450135.5200000005</v>
      </c>
      <c r="H13" s="176">
        <v>31.58</v>
      </c>
      <c r="I13" s="176">
        <f>H13*F13</f>
        <v>1074656.6628</v>
      </c>
      <c r="J13" s="149">
        <f>'MB (BBSR)'!E43</f>
        <v>2</v>
      </c>
      <c r="K13" s="149">
        <f t="shared" si="0" ref="K13:K20">J13*F13</f>
        <v>68059.320000000007</v>
      </c>
      <c r="L13" s="176">
        <f>H13+J13</f>
        <v>33.579999999999998</v>
      </c>
      <c r="M13" s="176">
        <f>K13+I13</f>
        <v>1142715.9828000001</v>
      </c>
      <c r="N13">
        <f t="shared" si="1" ref="N13:N18">E13/36</f>
        <v>2</v>
      </c>
      <c r="O13">
        <v>25.58</v>
      </c>
      <c r="Q13" s="215"/>
    </row>
    <row r="14" spans="1:17" ht="24.95" customHeight="1">
      <c r="A14" s="144"/>
      <c r="B14" s="145">
        <v>20</v>
      </c>
      <c r="C14" s="146" t="s">
        <v>113</v>
      </c>
      <c r="D14" s="147" t="s">
        <v>118</v>
      </c>
      <c r="E14" s="145">
        <v>324</v>
      </c>
      <c r="F14" s="136">
        <v>30912.71</v>
      </c>
      <c r="G14" s="148">
        <f t="shared" si="2" ref="G14:G20">E14*F14</f>
        <v>10015718.039999999</v>
      </c>
      <c r="H14" s="176">
        <v>149.54000000000002</v>
      </c>
      <c r="I14" s="176">
        <f t="shared" si="3" ref="I14:I19">H14*F14</f>
        <v>4622686.6534000002</v>
      </c>
      <c r="J14" s="149">
        <f>'MB (BBSR)'!E44</f>
        <v>9</v>
      </c>
      <c r="K14" s="149">
        <f t="shared" si="0"/>
        <v>278214.39000000001</v>
      </c>
      <c r="L14" s="176">
        <f t="shared" si="4" ref="L14:L19">H14+J14</f>
        <v>158.54000000000002</v>
      </c>
      <c r="M14" s="176">
        <f t="shared" si="5" ref="M14:M20">K14+I14</f>
        <v>4900901.0433999998</v>
      </c>
      <c r="N14">
        <f t="shared" si="1"/>
        <v>9</v>
      </c>
      <c r="O14">
        <v>122.53999999999999</v>
      </c>
      <c r="Q14" s="215"/>
    </row>
    <row r="15" spans="1:17" ht="24.95" customHeight="1">
      <c r="A15" s="150"/>
      <c r="B15" s="145">
        <v>30</v>
      </c>
      <c r="C15" s="146" t="s">
        <v>114</v>
      </c>
      <c r="D15" s="147" t="s">
        <v>118</v>
      </c>
      <c r="E15" s="145">
        <v>324</v>
      </c>
      <c r="F15" s="136">
        <v>26481.35</v>
      </c>
      <c r="G15" s="151">
        <f t="shared" si="2"/>
        <v>8579957.4000000004</v>
      </c>
      <c r="H15" s="176">
        <v>159</v>
      </c>
      <c r="I15" s="176">
        <f t="shared" si="3"/>
        <v>4210534.6499999994</v>
      </c>
      <c r="J15" s="149">
        <f>'MB (BBSR)'!E45</f>
        <v>9</v>
      </c>
      <c r="K15" s="149">
        <f t="shared" si="0"/>
        <v>238332.14999999999</v>
      </c>
      <c r="L15" s="176">
        <f t="shared" si="4"/>
        <v>168</v>
      </c>
      <c r="M15" s="176">
        <f t="shared" si="5"/>
        <v>4448866.7999999998</v>
      </c>
      <c r="N15">
        <f t="shared" si="1"/>
        <v>9</v>
      </c>
      <c r="O15">
        <v>132</v>
      </c>
      <c r="Q15" s="215"/>
    </row>
    <row r="16" spans="1:17" ht="24.95" customHeight="1">
      <c r="A16" s="144"/>
      <c r="B16" s="145">
        <v>40</v>
      </c>
      <c r="C16" s="146" t="s">
        <v>115</v>
      </c>
      <c r="D16" s="147" t="s">
        <v>118</v>
      </c>
      <c r="E16" s="145">
        <v>36</v>
      </c>
      <c r="F16" s="136">
        <v>23611.01</v>
      </c>
      <c r="G16" s="148">
        <f t="shared" si="2"/>
        <v>849996.35999999999</v>
      </c>
      <c r="H16" s="176">
        <v>17</v>
      </c>
      <c r="I16" s="176">
        <f t="shared" si="3"/>
        <v>401387.16999999998</v>
      </c>
      <c r="J16" s="149">
        <f>'MB (BBSR)'!E46</f>
        <v>1</v>
      </c>
      <c r="K16" s="149">
        <f t="shared" si="0"/>
        <v>23611.009999999998</v>
      </c>
      <c r="L16" s="176">
        <f t="shared" si="4"/>
        <v>18</v>
      </c>
      <c r="M16" s="176">
        <f t="shared" si="5"/>
        <v>424998.17999999999</v>
      </c>
      <c r="N16">
        <f t="shared" si="1"/>
        <v>1</v>
      </c>
      <c r="O16" s="168">
        <v>14</v>
      </c>
      <c r="Q16" s="215"/>
    </row>
    <row r="17" spans="1:17" ht="24.95" customHeight="1">
      <c r="A17" s="144"/>
      <c r="B17" s="145">
        <v>50</v>
      </c>
      <c r="C17" s="146" t="s">
        <v>116</v>
      </c>
      <c r="D17" s="147" t="s">
        <v>63</v>
      </c>
      <c r="E17" s="152">
        <v>36</v>
      </c>
      <c r="F17" s="136">
        <v>101694.91</v>
      </c>
      <c r="G17" s="148">
        <f t="shared" si="2"/>
        <v>3661016.7600000002</v>
      </c>
      <c r="H17" s="176">
        <v>18</v>
      </c>
      <c r="I17" s="176">
        <f t="shared" si="3"/>
        <v>1830508.3800000001</v>
      </c>
      <c r="J17" s="149">
        <v>1</v>
      </c>
      <c r="K17" s="149">
        <f t="shared" si="0"/>
        <v>101694.91</v>
      </c>
      <c r="L17" s="176">
        <f t="shared" si="4"/>
        <v>19</v>
      </c>
      <c r="M17" s="176">
        <f t="shared" si="5"/>
        <v>1932203.29</v>
      </c>
      <c r="N17">
        <f t="shared" si="1"/>
        <v>1</v>
      </c>
      <c r="O17">
        <v>15</v>
      </c>
      <c r="Q17" s="215"/>
    </row>
    <row r="18" spans="1:17" ht="24.95" customHeight="1">
      <c r="A18" s="144"/>
      <c r="B18" s="145">
        <v>60</v>
      </c>
      <c r="C18" s="146" t="s">
        <v>117</v>
      </c>
      <c r="D18" s="147" t="s">
        <v>63</v>
      </c>
      <c r="E18" s="152">
        <v>36</v>
      </c>
      <c r="F18" s="136">
        <v>21186.44</v>
      </c>
      <c r="G18" s="148">
        <f t="shared" si="2"/>
        <v>762711.83999999997</v>
      </c>
      <c r="H18" s="176">
        <v>14</v>
      </c>
      <c r="I18" s="176">
        <f t="shared" si="3"/>
        <v>296610.15999999997</v>
      </c>
      <c r="J18" s="149">
        <v>1</v>
      </c>
      <c r="K18" s="149">
        <f t="shared" si="0"/>
        <v>21186.439999999999</v>
      </c>
      <c r="L18" s="176">
        <f>H18+J18</f>
        <v>15</v>
      </c>
      <c r="M18" s="176">
        <f t="shared" si="5"/>
        <v>317796.59999999998</v>
      </c>
      <c r="N18">
        <f t="shared" si="1"/>
        <v>1</v>
      </c>
      <c r="O18">
        <v>11</v>
      </c>
      <c r="Q18" s="215"/>
    </row>
    <row r="19" spans="1:17" ht="24.95" customHeight="1">
      <c r="A19" s="153"/>
      <c r="B19" s="147">
        <v>120</v>
      </c>
      <c r="C19" s="154" t="s">
        <v>126</v>
      </c>
      <c r="D19" s="147" t="s">
        <v>119</v>
      </c>
      <c r="E19" s="147">
        <v>1</v>
      </c>
      <c r="F19" s="155">
        <v>2189.5700000000002</v>
      </c>
      <c r="G19" s="148">
        <f t="shared" si="2"/>
        <v>2189.5700000000002</v>
      </c>
      <c r="H19" s="176">
        <v>0</v>
      </c>
      <c r="I19" s="176">
        <f t="shared" si="3"/>
        <v>0</v>
      </c>
      <c r="J19" s="149">
        <v>0</v>
      </c>
      <c r="K19" s="149">
        <f t="shared" si="0"/>
        <v>0</v>
      </c>
      <c r="L19" s="176">
        <f t="shared" si="4"/>
        <v>0</v>
      </c>
      <c r="M19" s="176">
        <f t="shared" si="5"/>
        <v>0</v>
      </c>
      <c r="O19">
        <v>0</v>
      </c>
      <c r="Q19" s="215"/>
    </row>
    <row r="20" spans="1:17" ht="24.95" customHeight="1">
      <c r="A20" s="153"/>
      <c r="B20" s="147">
        <v>10120</v>
      </c>
      <c r="C20" s="154" t="s">
        <v>177</v>
      </c>
      <c r="D20" s="147" t="s">
        <v>119</v>
      </c>
      <c r="E20" s="147"/>
      <c r="F20" s="155">
        <v>1</v>
      </c>
      <c r="G20" s="148">
        <f t="shared" si="2"/>
        <v>0</v>
      </c>
      <c r="H20" s="176">
        <v>936010.80</v>
      </c>
      <c r="I20" s="176">
        <v>269539.92</v>
      </c>
      <c r="J20" s="149">
        <f>'DIFF-II (BBSR)'!C13</f>
        <v>55399.700399999994</v>
      </c>
      <c r="K20" s="149">
        <f t="shared" si="0"/>
        <v>55399.700399999994</v>
      </c>
      <c r="L20" s="176">
        <f>H20+J20</f>
        <v>991410.50040000002</v>
      </c>
      <c r="M20" s="176">
        <f t="shared" si="5"/>
        <v>324939.62039999996</v>
      </c>
      <c r="N20" s="31" t="s">
        <v>473</v>
      </c>
      <c r="O20">
        <v>5932</v>
      </c>
      <c r="Q20" s="215"/>
    </row>
    <row r="21" spans="1:17" ht="24.95" customHeight="1">
      <c r="A21" s="153"/>
      <c r="B21" s="368">
        <v>10121</v>
      </c>
      <c r="C21" s="154" t="s">
        <v>463</v>
      </c>
      <c r="D21" s="368" t="s">
        <v>119</v>
      </c>
      <c r="E21" s="368">
        <v>2500000</v>
      </c>
      <c r="F21" s="155">
        <v>1</v>
      </c>
      <c r="G21" s="148">
        <v>2500000</v>
      </c>
      <c r="H21" s="176">
        <v>1023639</v>
      </c>
      <c r="I21" s="176">
        <f>H21</f>
        <v>1023639</v>
      </c>
      <c r="J21" s="149">
        <v>0</v>
      </c>
      <c r="K21" s="149">
        <f>J21*F21</f>
        <v>0</v>
      </c>
      <c r="L21" s="176">
        <f>H21+J21</f>
        <v>1023639</v>
      </c>
      <c r="M21" s="176">
        <f>K21+I21</f>
        <v>1023639</v>
      </c>
      <c r="N21" s="31" t="s">
        <v>474</v>
      </c>
      <c r="O21">
        <f>456*42</f>
        <v>19152</v>
      </c>
      <c r="Q21" s="215"/>
    </row>
    <row r="22" spans="1:15" ht="25.7" customHeight="1">
      <c r="A22" s="135"/>
      <c r="B22" s="573" t="s">
        <v>173</v>
      </c>
      <c r="C22" s="573" t="s">
        <v>94</v>
      </c>
      <c r="D22" s="573"/>
      <c r="E22" s="573"/>
      <c r="F22" s="573"/>
      <c r="G22" s="136">
        <f>SUM(G13:G21)</f>
        <v>28821725.490000002</v>
      </c>
      <c r="H22" s="590" t="str">
        <f>"Claimed for "&amp;'Working Sheet'!B3&amp;" MONTH"</f>
        <v>Claimed for OCTOBER-2025 MONTH</v>
      </c>
      <c r="I22" s="590"/>
      <c r="J22" s="590"/>
      <c r="K22" s="137">
        <f>SUM(K13:K21)</f>
        <v>786497.92039999994</v>
      </c>
      <c r="L22" s="572" t="s">
        <v>95</v>
      </c>
      <c r="M22" s="572"/>
      <c r="O22">
        <f>O21+O20</f>
        <v>25084</v>
      </c>
    </row>
    <row r="23" spans="1:15" ht="22.7" customHeight="1">
      <c r="A23" s="135"/>
      <c r="B23" s="573"/>
      <c r="C23" s="573" t="s">
        <v>96</v>
      </c>
      <c r="D23" s="573"/>
      <c r="E23" s="573"/>
      <c r="F23" s="573"/>
      <c r="G23" s="136">
        <f>G22*18%</f>
        <v>5187910.5882000001</v>
      </c>
      <c r="H23" s="590"/>
      <c r="I23" s="590"/>
      <c r="J23" s="590"/>
      <c r="K23" s="137">
        <f>K22*18%</f>
        <v>141569.62567199999</v>
      </c>
      <c r="L23" s="572" t="s">
        <v>95</v>
      </c>
      <c r="M23" s="572"/>
      <c r="O23">
        <f>4750+19152</f>
        <v>23902</v>
      </c>
    </row>
    <row r="24" spans="1:15" ht="26.1" customHeight="1">
      <c r="A24" s="135"/>
      <c r="B24" s="573"/>
      <c r="C24" s="573" t="s">
        <v>97</v>
      </c>
      <c r="D24" s="573"/>
      <c r="E24" s="573"/>
      <c r="F24" s="573"/>
      <c r="G24" s="136">
        <f>G22+G23</f>
        <v>34009636.078200005</v>
      </c>
      <c r="H24" s="590"/>
      <c r="I24" s="590"/>
      <c r="J24" s="590"/>
      <c r="K24" s="137">
        <f>ROUND((K22+K23),3)</f>
        <v>928067.54599999997</v>
      </c>
      <c r="L24" s="572" t="s">
        <v>95</v>
      </c>
      <c r="M24" s="572"/>
      <c r="O24">
        <f>5054+19152</f>
        <v>24206</v>
      </c>
    </row>
    <row r="25" spans="1:14" ht="12.7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4"/>
      <c r="L25" s="53"/>
      <c r="M25" s="53"/>
      <c r="N25" s="168"/>
    </row>
    <row r="26" spans="1:13" ht="12.7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</row>
    <row r="27" spans="1:13" ht="12.7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</row>
    <row r="28" spans="1:13" ht="12.75">
      <c r="A28" s="586" t="str">
        <f>[1]!SpellNumber(K24)&amp;"."</f>
        <v>Rupees Nine Lakh TwentyEight Thousand SixtySeven Paise FiftyFive Only .</v>
      </c>
      <c r="B28" s="587"/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8"/>
    </row>
    <row r="29" spans="1:13" ht="12.7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</row>
    <row r="30" spans="1:13" ht="12.7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</row>
    <row r="31" spans="1:13" ht="12.7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</row>
    <row r="32" spans="1:13" ht="12.7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</row>
    <row r="33" spans="1:13" ht="12.7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</row>
    <row r="34" spans="1:13" ht="15" customHeight="1">
      <c r="A34" s="583" t="s">
        <v>87</v>
      </c>
      <c r="B34" s="583"/>
      <c r="C34" s="583"/>
      <c r="D34" s="55"/>
      <c r="E34" s="55"/>
      <c r="F34" s="55"/>
      <c r="G34" s="55"/>
      <c r="H34" s="56"/>
      <c r="I34" s="55"/>
      <c r="J34" s="583" t="s">
        <v>88</v>
      </c>
      <c r="K34" s="583"/>
      <c r="L34" s="583"/>
      <c r="M34" s="583"/>
    </row>
  </sheetData>
  <sheetProtection/>
  <mergeCells count="34">
    <mergeCell ref="C24:F24"/>
    <mergeCell ref="L24:M24"/>
    <mergeCell ref="E2:M2"/>
    <mergeCell ref="E3:M3"/>
    <mergeCell ref="A6:C6"/>
    <mergeCell ref="E4:M4"/>
    <mergeCell ref="E7:M7"/>
    <mergeCell ref="A9:M9"/>
    <mergeCell ref="L10:M10"/>
    <mergeCell ref="B22:B24"/>
    <mergeCell ref="A34:C34"/>
    <mergeCell ref="C10:C11"/>
    <mergeCell ref="A28:M28"/>
    <mergeCell ref="J34:M34"/>
    <mergeCell ref="H10:I10"/>
    <mergeCell ref="J10:K10"/>
    <mergeCell ref="B10:B11"/>
    <mergeCell ref="A10:A11"/>
    <mergeCell ref="C22:F22"/>
    <mergeCell ref="H22:J24"/>
    <mergeCell ref="A1:M1"/>
    <mergeCell ref="A2:C2"/>
    <mergeCell ref="A3:C3"/>
    <mergeCell ref="A4:C4"/>
    <mergeCell ref="A5:C5"/>
    <mergeCell ref="E6:M6"/>
    <mergeCell ref="E5:M5"/>
    <mergeCell ref="A8:C8"/>
    <mergeCell ref="E8:M8"/>
    <mergeCell ref="D10:G10"/>
    <mergeCell ref="L23:M23"/>
    <mergeCell ref="A7:C7"/>
    <mergeCell ref="L22:M22"/>
    <mergeCell ref="C23:F23"/>
  </mergeCells>
  <printOptions horizontalCentered="1"/>
  <pageMargins left="0.25" right="0.25" top="0.75" bottom="0.75" header="0.3" footer="0.3"/>
  <pageSetup fitToWidth="0" orientation="landscape" paperSize="1" scale="8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C9A08CE-5755-4951-A60E-8BFD6A66B9AB}">
  <sheetPr codeName="Sheet4"/>
  <dimension ref="A1:J26"/>
  <sheetViews>
    <sheetView workbookViewId="0" topLeftCell="A1">
      <selection pane="topLeft" activeCell="E8" sqref="E8"/>
    </sheetView>
  </sheetViews>
  <sheetFormatPr defaultRowHeight="12.75"/>
  <cols>
    <col min="2" max="2" width="15" customWidth="1"/>
    <col min="3" max="3" width="17.4285714285714" customWidth="1"/>
    <col min="4" max="4" width="12.8571428571429" customWidth="1"/>
    <col min="5" max="5" width="15.1428571428571" customWidth="1"/>
    <col min="6" max="6" width="17.8571428571429" customWidth="1"/>
    <col min="7" max="7" width="31.8571428571429" customWidth="1"/>
    <col min="8" max="10" width="13.1428571428571" bestFit="1" customWidth="1"/>
  </cols>
  <sheetData>
    <row r="1" spans="1:7" ht="15">
      <c r="A1" s="597" t="s">
        <v>4</v>
      </c>
      <c r="B1" s="597"/>
      <c r="C1" s="2" t="s">
        <v>3</v>
      </c>
      <c r="D1" s="4"/>
      <c r="E1" s="5"/>
      <c r="G1" s="6"/>
    </row>
    <row r="2" spans="1:7" ht="15">
      <c r="A2" s="597" t="s">
        <v>5</v>
      </c>
      <c r="B2" s="597"/>
      <c r="C2" s="7" t="s">
        <v>16</v>
      </c>
      <c r="D2" s="4"/>
      <c r="E2" s="5"/>
      <c r="G2" s="6"/>
    </row>
    <row r="3" spans="1:7" ht="15">
      <c r="A3" s="597" t="s">
        <v>6</v>
      </c>
      <c r="B3" s="597"/>
      <c r="C3" s="8"/>
      <c r="D3" s="9"/>
      <c r="G3" s="6"/>
    </row>
    <row r="4" spans="1:7" ht="15">
      <c r="A4" s="10"/>
      <c r="D4" s="5"/>
      <c r="E4" s="5"/>
      <c r="G4" s="6"/>
    </row>
    <row r="5" spans="1:7" ht="15.75">
      <c r="A5" s="598" t="s">
        <v>7</v>
      </c>
      <c r="B5" s="598"/>
      <c r="C5" s="598"/>
      <c r="D5" s="598"/>
      <c r="E5" s="598"/>
      <c r="F5" s="598"/>
      <c r="G5" s="598"/>
    </row>
    <row r="6" spans="1:7" ht="12.75">
      <c r="A6" s="11" t="s">
        <v>8</v>
      </c>
      <c r="B6" s="11" t="s">
        <v>9</v>
      </c>
      <c r="C6" s="11" t="s">
        <v>10</v>
      </c>
      <c r="D6" s="599" t="s">
        <v>11</v>
      </c>
      <c r="E6" s="599"/>
      <c r="F6" s="11" t="s">
        <v>12</v>
      </c>
      <c r="G6" s="11" t="s">
        <v>13</v>
      </c>
    </row>
    <row r="7" spans="1:7" ht="12.75">
      <c r="A7" s="12"/>
      <c r="B7" s="12"/>
      <c r="C7" s="12"/>
      <c r="D7" s="13" t="s">
        <v>1</v>
      </c>
      <c r="E7" s="13" t="s">
        <v>14</v>
      </c>
      <c r="F7" s="12"/>
      <c r="G7" s="12"/>
    </row>
    <row r="8" spans="1:9" ht="12.75">
      <c r="A8" s="3">
        <v>1</v>
      </c>
      <c r="B8" s="14" t="s">
        <v>17</v>
      </c>
      <c r="C8" s="15">
        <v>3278428</v>
      </c>
      <c r="D8" s="16"/>
      <c r="E8" s="17"/>
      <c r="F8" s="18"/>
      <c r="G8" s="19"/>
      <c r="I8" s="20"/>
    </row>
    <row r="9" spans="1:7" ht="12.75">
      <c r="A9" s="3">
        <v>2</v>
      </c>
      <c r="B9" s="14"/>
      <c r="C9" s="21"/>
      <c r="D9" s="16"/>
      <c r="E9" s="17"/>
      <c r="F9" s="18"/>
      <c r="G9" s="19"/>
    </row>
    <row r="10" spans="1:7" ht="12.75">
      <c r="A10" s="3">
        <v>3</v>
      </c>
      <c r="B10" s="14"/>
      <c r="C10" s="21"/>
      <c r="D10" s="16"/>
      <c r="E10" s="17"/>
      <c r="F10" s="18"/>
      <c r="G10" s="19"/>
    </row>
    <row r="11" spans="1:9" ht="12.75">
      <c r="A11" s="3">
        <v>4</v>
      </c>
      <c r="B11" s="14"/>
      <c r="C11" s="21"/>
      <c r="D11" s="16"/>
      <c r="E11" s="17"/>
      <c r="F11" s="18"/>
      <c r="G11" s="19"/>
      <c r="H11" s="20"/>
      <c r="I11" s="20"/>
    </row>
    <row r="12" spans="1:7" ht="12.75">
      <c r="A12" s="3">
        <v>5</v>
      </c>
      <c r="B12" s="14"/>
      <c r="C12" s="21"/>
      <c r="D12" s="16"/>
      <c r="E12" s="17"/>
      <c r="F12" s="18"/>
      <c r="G12" s="19"/>
    </row>
    <row r="13" spans="1:7" ht="12.75">
      <c r="A13" s="3">
        <v>6</v>
      </c>
      <c r="B13" s="14"/>
      <c r="C13" s="21"/>
      <c r="D13" s="16"/>
      <c r="E13" s="17"/>
      <c r="F13" s="18"/>
      <c r="G13" s="19"/>
    </row>
    <row r="14" spans="1:7" ht="12.75">
      <c r="A14" s="3">
        <v>7</v>
      </c>
      <c r="B14" s="14"/>
      <c r="C14" s="21"/>
      <c r="D14" s="16"/>
      <c r="E14" s="17"/>
      <c r="F14" s="18"/>
      <c r="G14" s="19"/>
    </row>
    <row r="15" spans="1:7" ht="12.75">
      <c r="A15" s="3">
        <v>8</v>
      </c>
      <c r="B15" s="14"/>
      <c r="C15" s="21"/>
      <c r="D15" s="16"/>
      <c r="E15" s="17"/>
      <c r="F15" s="18"/>
      <c r="G15" s="19"/>
    </row>
    <row r="16" spans="1:7" ht="12.75">
      <c r="A16" s="3">
        <v>9</v>
      </c>
      <c r="B16" s="14"/>
      <c r="C16" s="21"/>
      <c r="D16" s="16"/>
      <c r="E16" s="17"/>
      <c r="F16" s="18"/>
      <c r="G16" s="19"/>
    </row>
    <row r="17" spans="1:7" ht="12.75">
      <c r="A17" s="3">
        <v>10</v>
      </c>
      <c r="B17" s="14"/>
      <c r="C17" s="21"/>
      <c r="D17" s="16"/>
      <c r="E17" s="17"/>
      <c r="F17" s="18">
        <f>C17-E17</f>
        <v>0</v>
      </c>
      <c r="G17" s="22"/>
    </row>
    <row r="18" spans="1:7" ht="12.75">
      <c r="A18" s="3">
        <v>11</v>
      </c>
      <c r="B18" s="14"/>
      <c r="C18" s="21"/>
      <c r="D18" s="16"/>
      <c r="E18" s="17"/>
      <c r="F18" s="18">
        <f>C18-E18</f>
        <v>0</v>
      </c>
      <c r="G18" s="22"/>
    </row>
    <row r="19" spans="1:10" ht="12.75">
      <c r="A19" s="3">
        <v>12</v>
      </c>
      <c r="B19" s="14"/>
      <c r="C19" s="21"/>
      <c r="D19" s="16"/>
      <c r="E19" s="17"/>
      <c r="F19" s="18">
        <f>C19-E19</f>
        <v>0</v>
      </c>
      <c r="G19" s="22"/>
      <c r="J19" s="20"/>
    </row>
    <row r="20" spans="1:7" ht="12.75">
      <c r="A20" s="23"/>
      <c r="B20" s="24"/>
      <c r="C20" s="25"/>
      <c r="D20" s="26"/>
      <c r="E20" s="27"/>
      <c r="F20" s="28"/>
      <c r="G20" s="29"/>
    </row>
    <row r="21" spans="1:1" ht="12.75">
      <c r="A21" t="s">
        <v>15</v>
      </c>
    </row>
    <row r="22" spans="1:1" ht="15">
      <c r="A22" s="30" t="s">
        <v>3</v>
      </c>
    </row>
    <row r="26" spans="1:1" ht="12.75">
      <c r="A26" s="31" t="s">
        <v>0</v>
      </c>
    </row>
  </sheetData>
  <sheetProtection/>
  <mergeCells count="5">
    <mergeCell ref="A1:B1"/>
    <mergeCell ref="A2:B2"/>
    <mergeCell ref="A3:B3"/>
    <mergeCell ref="A5:G5"/>
    <mergeCell ref="D6: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C4EC1B99-3094-4EC5-909F-275863FDB9AB}">
  <sheetPr codeName="Sheet5">
    <pageSetUpPr fitToPage="1"/>
  </sheetPr>
  <dimension ref="A1:I50"/>
  <sheetViews>
    <sheetView view="pageBreakPreview" zoomScale="89" zoomScaleNormal="65" zoomScaleSheetLayoutView="89" workbookViewId="0" topLeftCell="A28">
      <selection pane="topLeft" activeCell="G16" sqref="G16"/>
    </sheetView>
  </sheetViews>
  <sheetFormatPr defaultRowHeight="12.75"/>
  <cols>
    <col min="1" max="1" width="13.8571428571429" customWidth="1"/>
    <col min="2" max="2" width="18.1428571428571" customWidth="1"/>
    <col min="3" max="3" width="18.5714285714286" customWidth="1"/>
    <col min="4" max="4" width="30.5714285714286" customWidth="1"/>
    <col min="5" max="5" width="14.8571428571429" customWidth="1"/>
    <col min="6" max="6" width="16.4285714285714" customWidth="1"/>
    <col min="7" max="7" width="15.7142857142857" customWidth="1"/>
    <col min="8" max="8" width="14.8571428571429" customWidth="1"/>
    <col min="9" max="9" width="18.5714285714286" customWidth="1"/>
  </cols>
  <sheetData>
    <row r="1" spans="1:9" ht="28.5">
      <c r="A1" s="608" t="s">
        <v>77</v>
      </c>
      <c r="B1" s="608"/>
      <c r="C1" s="608"/>
      <c r="D1" s="608"/>
      <c r="E1" s="608"/>
      <c r="F1" s="608"/>
      <c r="G1" s="608"/>
      <c r="H1" s="608"/>
      <c r="I1" s="608"/>
    </row>
    <row r="2" spans="1:9" ht="26.25">
      <c r="A2" s="609" t="s">
        <v>149</v>
      </c>
      <c r="B2" s="609"/>
      <c r="C2" s="609"/>
      <c r="D2" s="609"/>
      <c r="E2" s="609"/>
      <c r="F2" s="609"/>
      <c r="G2" s="609"/>
      <c r="H2" s="609"/>
      <c r="I2" s="609"/>
    </row>
    <row r="3" spans="1:9" ht="15.75">
      <c r="A3" s="96" t="str">
        <f>'Working Sheet'!C5</f>
        <v>RA BILL NO-19</v>
      </c>
      <c r="B3" s="97"/>
      <c r="C3" s="97"/>
      <c r="D3" s="98"/>
      <c r="E3" s="98"/>
      <c r="F3" s="98"/>
      <c r="G3" s="98"/>
      <c r="H3" s="98"/>
      <c r="I3" s="98"/>
    </row>
    <row r="4" spans="1:9" ht="15.75">
      <c r="A4" s="96" t="str">
        <f>"MEASUREMENT PERIOD: "&amp;'Working Sheet'!B1</f>
        <v>MEASUREMENT PERIOD: 01 Oct 2025 To 31 Oct 2025</v>
      </c>
      <c r="B4" s="97"/>
      <c r="C4" s="97"/>
      <c r="D4" s="98"/>
      <c r="E4" s="98"/>
      <c r="F4" s="98"/>
      <c r="G4" s="98"/>
      <c r="H4" s="98"/>
      <c r="I4" s="98"/>
    </row>
    <row r="5" spans="1:9" ht="15.75">
      <c r="A5" s="96" t="s">
        <v>159</v>
      </c>
      <c r="B5" s="99"/>
      <c r="C5" s="99"/>
      <c r="D5" s="87"/>
      <c r="E5" s="87"/>
      <c r="F5" s="87"/>
      <c r="G5" s="87"/>
      <c r="H5" s="87"/>
      <c r="I5" s="87"/>
    </row>
    <row r="6" spans="1:9" ht="15.75">
      <c r="A6" s="100" t="s">
        <v>158</v>
      </c>
      <c r="B6" s="99"/>
      <c r="C6" s="99"/>
      <c r="D6" s="99"/>
      <c r="E6" s="99"/>
      <c r="F6" s="99"/>
      <c r="G6" s="99"/>
      <c r="H6" s="99"/>
      <c r="I6" s="99"/>
    </row>
    <row r="7" spans="1:9" ht="15.75">
      <c r="A7" s="99"/>
      <c r="B7" s="99"/>
      <c r="C7" s="99"/>
      <c r="D7" s="87"/>
      <c r="E7" s="87"/>
      <c r="F7" s="87"/>
      <c r="G7" s="87"/>
      <c r="H7" s="87"/>
      <c r="I7" s="87"/>
    </row>
    <row r="8" spans="1:9" ht="84.6" customHeight="1">
      <c r="A8" s="123" t="s">
        <v>150</v>
      </c>
      <c r="B8" s="123" t="s">
        <v>172</v>
      </c>
      <c r="C8" s="123" t="s">
        <v>211</v>
      </c>
      <c r="D8" s="124" t="s">
        <v>151</v>
      </c>
      <c r="E8" s="123" t="str">
        <f>"MAX. NO. OF WORKING DAYS DURING MONTH OF "&amp;'Working Sheet'!B3</f>
        <v>MAX. NO. OF WORKING DAYS DURING MONTH OF OCTOBER-2025</v>
      </c>
      <c r="F8" s="123" t="str">
        <f>"NO. OF DAYS PRESENT FROM "&amp;'Working Sheet'!B1</f>
        <v>NO. OF DAYS PRESENT FROM 01 Oct 2025 To 31 Oct 2025</v>
      </c>
      <c r="G8" s="123" t="s">
        <v>209</v>
      </c>
      <c r="H8" s="123" t="s">
        <v>152</v>
      </c>
      <c r="I8" s="124" t="s">
        <v>153</v>
      </c>
    </row>
    <row r="9" spans="1:9" ht="21.95" customHeight="1">
      <c r="A9" s="600">
        <v>1</v>
      </c>
      <c r="B9" s="605" t="s">
        <v>175</v>
      </c>
      <c r="C9" s="390" t="s">
        <v>212</v>
      </c>
      <c r="D9" s="101" t="s">
        <v>160</v>
      </c>
      <c r="E9" s="103">
        <f>'Working Sheet'!$B$8</f>
        <v>26</v>
      </c>
      <c r="F9" s="103">
        <f>VLOOKUP(C9,'FORM B'!$B$23:$G$64,6,0)</f>
        <v>26</v>
      </c>
      <c r="G9" s="387">
        <f>VLOOKUP(C9,'FORM B'!$B$23:$H$64,7,0)</f>
        <v>6.1162079510703</v>
      </c>
      <c r="H9" s="125">
        <f>F9/E9</f>
        <v>1</v>
      </c>
      <c r="I9" s="102"/>
    </row>
    <row r="10" spans="1:9" ht="21.95" customHeight="1">
      <c r="A10" s="600"/>
      <c r="B10" s="605"/>
      <c r="C10" s="390" t="s">
        <v>213</v>
      </c>
      <c r="D10" s="101" t="s">
        <v>161</v>
      </c>
      <c r="E10" s="103">
        <f>'Working Sheet'!$B$8</f>
        <v>26</v>
      </c>
      <c r="F10" s="103">
        <f>VLOOKUP(C10,'FORM B'!$B$23:$G$64,6,0)</f>
        <v>26</v>
      </c>
      <c r="G10" s="387">
        <f>VLOOKUP(C10,'FORM B'!$B$23:$H$64,7,0)</f>
        <v>6.1162079510703</v>
      </c>
      <c r="H10" s="125">
        <f>F10/E10</f>
        <v>1</v>
      </c>
      <c r="I10" s="102"/>
    </row>
    <row r="11" spans="1:9" ht="21.95" customHeight="1">
      <c r="A11" s="105"/>
      <c r="B11" s="122"/>
      <c r="C11" s="122"/>
      <c r="D11" s="111"/>
      <c r="E11" s="122"/>
      <c r="F11" s="126" t="s">
        <v>154</v>
      </c>
      <c r="G11" s="388">
        <f>SUM(G9:G10)</f>
        <v>12.2324159021406</v>
      </c>
      <c r="H11" s="127">
        <f>SUM(H9:H10)</f>
        <v>2</v>
      </c>
      <c r="I11" s="119"/>
    </row>
    <row r="12" spans="1:9" ht="21.95" customHeight="1">
      <c r="A12" s="600">
        <v>2</v>
      </c>
      <c r="B12" s="605" t="s">
        <v>113</v>
      </c>
      <c r="C12" s="390" t="s">
        <v>214</v>
      </c>
      <c r="D12" s="101" t="s">
        <v>201</v>
      </c>
      <c r="E12" s="103">
        <f>'Working Sheet'!$B$8</f>
        <v>26</v>
      </c>
      <c r="F12" s="103">
        <f>VLOOKUP(C12,'FORM B'!$B$23:$G$64,6,0)</f>
        <v>26</v>
      </c>
      <c r="G12" s="387">
        <f>VLOOKUP(C12,'FORM B'!$B$23:$H$64,7,0)</f>
        <v>0</v>
      </c>
      <c r="H12" s="125">
        <f t="shared" si="0" ref="H12:H20">F12/E12</f>
        <v>1</v>
      </c>
      <c r="I12" s="102"/>
    </row>
    <row r="13" spans="1:9" ht="21.95" customHeight="1">
      <c r="A13" s="600"/>
      <c r="B13" s="605"/>
      <c r="C13" s="181" t="s">
        <v>215</v>
      </c>
      <c r="D13" s="101" t="s">
        <v>202</v>
      </c>
      <c r="E13" s="103">
        <f>'Working Sheet'!$B$8</f>
        <v>26</v>
      </c>
      <c r="F13" s="103">
        <f>VLOOKUP(C13,'FORM B'!$B$23:$G$64,6,0)</f>
        <v>26</v>
      </c>
      <c r="G13" s="387">
        <f>VLOOKUP(C13,'FORM B'!$B$23:$H$64,7,0)</f>
        <v>0</v>
      </c>
      <c r="H13" s="125">
        <f t="shared" si="0"/>
        <v>1</v>
      </c>
      <c r="I13" s="102"/>
    </row>
    <row r="14" spans="1:9" ht="21.95" customHeight="1">
      <c r="A14" s="600"/>
      <c r="B14" s="605"/>
      <c r="C14" s="390" t="s">
        <v>216</v>
      </c>
      <c r="D14" s="101" t="s">
        <v>203</v>
      </c>
      <c r="E14" s="103">
        <f>'Working Sheet'!$B$8</f>
        <v>26</v>
      </c>
      <c r="F14" s="103">
        <f>VLOOKUP(C14,'FORM B'!$B$23:$G$64,6,0)</f>
        <v>26</v>
      </c>
      <c r="G14" s="387">
        <f>VLOOKUP(C14,'FORM B'!$B$23:$H$64,7,0)</f>
        <v>0</v>
      </c>
      <c r="H14" s="125">
        <f t="shared" si="0"/>
        <v>1</v>
      </c>
      <c r="I14" s="102"/>
    </row>
    <row r="15" spans="1:9" ht="21.95" customHeight="1">
      <c r="A15" s="600"/>
      <c r="B15" s="605"/>
      <c r="C15" s="390" t="s">
        <v>217</v>
      </c>
      <c r="D15" s="101" t="s">
        <v>204</v>
      </c>
      <c r="E15" s="103">
        <f>'Working Sheet'!$B$8</f>
        <v>26</v>
      </c>
      <c r="F15" s="103">
        <f>VLOOKUP(C15,'FORM B'!$B$23:$G$64,6,0)</f>
        <v>26</v>
      </c>
      <c r="G15" s="387">
        <f>VLOOKUP(C15,'FORM B'!$B$23:$H$64,7,0)</f>
        <v>0</v>
      </c>
      <c r="H15" s="125">
        <f t="shared" si="0"/>
        <v>1</v>
      </c>
      <c r="I15" s="102"/>
    </row>
    <row r="16" spans="1:9" ht="21.95" customHeight="1">
      <c r="A16" s="600"/>
      <c r="B16" s="605"/>
      <c r="C16" s="390" t="s">
        <v>218</v>
      </c>
      <c r="D16" s="101" t="s">
        <v>162</v>
      </c>
      <c r="E16" s="103">
        <f>'Working Sheet'!$B$8</f>
        <v>26</v>
      </c>
      <c r="F16" s="103">
        <f>VLOOKUP(C16,'FORM B'!$B$23:$G$64,6,0)</f>
        <v>26</v>
      </c>
      <c r="G16" s="387">
        <f>VLOOKUP(C16,'FORM B'!$B$23:$H$64,7,0)</f>
        <v>29.120000000000001</v>
      </c>
      <c r="H16" s="125">
        <f t="shared" si="0"/>
        <v>1</v>
      </c>
      <c r="I16" s="102"/>
    </row>
    <row r="17" spans="1:9" ht="21.95" customHeight="1">
      <c r="A17" s="600"/>
      <c r="B17" s="605"/>
      <c r="C17" s="390" t="s">
        <v>219</v>
      </c>
      <c r="D17" s="101" t="s">
        <v>205</v>
      </c>
      <c r="E17" s="103">
        <f>'Working Sheet'!$B$8</f>
        <v>26</v>
      </c>
      <c r="F17" s="103">
        <f>VLOOKUP(C17,'FORM B'!$B$23:$G$64,6,0)</f>
        <v>26</v>
      </c>
      <c r="G17" s="387">
        <f>VLOOKUP(C17,'FORM B'!$B$23:$H$64,7,0)</f>
        <v>0</v>
      </c>
      <c r="H17" s="125">
        <f t="shared" si="0"/>
        <v>1</v>
      </c>
      <c r="I17" s="102"/>
    </row>
    <row r="18" spans="1:9" ht="21.95" customHeight="1">
      <c r="A18" s="600"/>
      <c r="B18" s="605"/>
      <c r="C18" s="390" t="s">
        <v>220</v>
      </c>
      <c r="D18" s="101" t="s">
        <v>163</v>
      </c>
      <c r="E18" s="103">
        <f>'Working Sheet'!$B$8</f>
        <v>26</v>
      </c>
      <c r="F18" s="103">
        <f>VLOOKUP(C18,'FORM B'!$B$23:$G$64,6,0)</f>
        <v>26</v>
      </c>
      <c r="G18" s="387">
        <f>VLOOKUP(C18,'FORM B'!$B$23:$H$64,7,0)</f>
        <v>6.7189249720045003</v>
      </c>
      <c r="H18" s="125">
        <f t="shared" si="0"/>
        <v>1</v>
      </c>
      <c r="I18" s="102"/>
    </row>
    <row r="19" spans="1:9" ht="21.95" customHeight="1">
      <c r="A19" s="600"/>
      <c r="B19" s="605"/>
      <c r="C19" s="390" t="s">
        <v>221</v>
      </c>
      <c r="D19" s="101" t="s">
        <v>206</v>
      </c>
      <c r="E19" s="103">
        <f>'Working Sheet'!$B$8</f>
        <v>26</v>
      </c>
      <c r="F19" s="103">
        <f>VLOOKUP(C19,'FORM B'!$B$23:$G$64,6,0)</f>
        <v>26</v>
      </c>
      <c r="G19" s="387">
        <f>VLOOKUP(C19,'FORM B'!$B$23:$H$64,7,0)</f>
        <v>0</v>
      </c>
      <c r="H19" s="125">
        <f>F19/E19</f>
        <v>1</v>
      </c>
      <c r="I19" s="102"/>
    </row>
    <row r="20" spans="1:9" ht="21.95" customHeight="1">
      <c r="A20" s="600"/>
      <c r="B20" s="605"/>
      <c r="C20" s="390" t="s">
        <v>222</v>
      </c>
      <c r="D20" s="101" t="s">
        <v>208</v>
      </c>
      <c r="E20" s="103">
        <f>'Working Sheet'!$B$8</f>
        <v>26</v>
      </c>
      <c r="F20" s="103">
        <f>VLOOKUP(C20,'FORM B'!$B$23:$G$64,6,0)</f>
        <v>26</v>
      </c>
      <c r="G20" s="387">
        <f>VLOOKUP(C20,'FORM B'!$B$23:$H$64,7,0)</f>
        <v>6.7189249720045003</v>
      </c>
      <c r="H20" s="125">
        <f t="shared" si="0"/>
        <v>1</v>
      </c>
      <c r="I20" s="102"/>
    </row>
    <row r="21" spans="1:9" ht="21.95" customHeight="1">
      <c r="A21" s="117"/>
      <c r="B21" s="118"/>
      <c r="C21" s="118"/>
      <c r="D21" s="128"/>
      <c r="E21" s="129"/>
      <c r="F21" s="111" t="s">
        <v>154</v>
      </c>
      <c r="G21" s="388">
        <f>SUM(G12:G20)</f>
        <v>42.557849944009</v>
      </c>
      <c r="H21" s="127">
        <f>SUM(H12:H20)</f>
        <v>9</v>
      </c>
      <c r="I21" s="119"/>
    </row>
    <row r="22" spans="1:9" ht="21.95" customHeight="1">
      <c r="A22" s="606">
        <v>3</v>
      </c>
      <c r="B22" s="605" t="s">
        <v>210</v>
      </c>
      <c r="C22" s="390" t="s">
        <v>223</v>
      </c>
      <c r="D22" s="101" t="s">
        <v>164</v>
      </c>
      <c r="E22" s="103">
        <f>'Working Sheet'!$B$8</f>
        <v>26</v>
      </c>
      <c r="F22" s="103">
        <f>VLOOKUP(C22,'FORM B'!$B$23:$G$64,6,0)</f>
        <v>26</v>
      </c>
      <c r="G22" s="387">
        <f>VLOOKUP(C22,'FORM B'!$B$23:$H$64,7,0)</f>
        <v>0</v>
      </c>
      <c r="H22" s="125">
        <f>F22/E22</f>
        <v>1</v>
      </c>
      <c r="I22" s="102"/>
    </row>
    <row r="23" spans="1:9" ht="21.95" customHeight="1">
      <c r="A23" s="606"/>
      <c r="B23" s="605"/>
      <c r="C23" s="390" t="s">
        <v>224</v>
      </c>
      <c r="D23" s="101" t="s">
        <v>197</v>
      </c>
      <c r="E23" s="103">
        <f>'Working Sheet'!$B$8</f>
        <v>26</v>
      </c>
      <c r="F23" s="103">
        <f>VLOOKUP(C23,'FORM B'!$B$23:$G$64,6,0)</f>
        <v>26</v>
      </c>
      <c r="G23" s="387">
        <f>VLOOKUP(C23,'FORM B'!$B$23:$H$64,7,0)</f>
        <v>0</v>
      </c>
      <c r="H23" s="125">
        <f t="shared" si="1" ref="H23:H30">F23/E23</f>
        <v>1</v>
      </c>
      <c r="I23" s="102"/>
    </row>
    <row r="24" spans="1:9" ht="21.95" customHeight="1">
      <c r="A24" s="606"/>
      <c r="B24" s="605"/>
      <c r="C24" s="390" t="s">
        <v>225</v>
      </c>
      <c r="D24" s="101" t="s">
        <v>165</v>
      </c>
      <c r="E24" s="103">
        <f>'Working Sheet'!$B$8</f>
        <v>26</v>
      </c>
      <c r="F24" s="103">
        <f>VLOOKUP(C24,'FORM B'!$B$23:$G$64,6,0)</f>
        <v>26</v>
      </c>
      <c r="G24" s="387">
        <f>VLOOKUP(C24,'FORM B'!$B$23:$H$64,7,0)</f>
        <v>7.8947368421053001</v>
      </c>
      <c r="H24" s="125">
        <f t="shared" si="1"/>
        <v>1</v>
      </c>
      <c r="I24" s="102"/>
    </row>
    <row r="25" spans="1:9" ht="21.95" customHeight="1">
      <c r="A25" s="606"/>
      <c r="B25" s="605"/>
      <c r="C25" s="390" t="s">
        <v>226</v>
      </c>
      <c r="D25" s="101" t="s">
        <v>198</v>
      </c>
      <c r="E25" s="103">
        <f>'Working Sheet'!$B$8</f>
        <v>26</v>
      </c>
      <c r="F25" s="103">
        <f>VLOOKUP(C25,'FORM B'!$B$23:$G$64,6,0)</f>
        <v>26</v>
      </c>
      <c r="G25" s="387">
        <f>VLOOKUP(C25,'FORM B'!$B$23:$H$64,7,0)</f>
        <v>0</v>
      </c>
      <c r="H25" s="125">
        <f t="shared" si="1"/>
        <v>1</v>
      </c>
      <c r="I25" s="102"/>
    </row>
    <row r="26" spans="1:9" ht="21.95" customHeight="1">
      <c r="A26" s="606"/>
      <c r="B26" s="605"/>
      <c r="C26" s="390" t="s">
        <v>227</v>
      </c>
      <c r="D26" s="106" t="s">
        <v>199</v>
      </c>
      <c r="E26" s="103">
        <f>'Working Sheet'!$B$8</f>
        <v>26</v>
      </c>
      <c r="F26" s="103">
        <f>VLOOKUP(C26,'FORM B'!$B$23:$G$64,6,0)</f>
        <v>26</v>
      </c>
      <c r="G26" s="387">
        <f>VLOOKUP(C26,'FORM B'!$B$23:$H$64,7,0)</f>
        <v>0</v>
      </c>
      <c r="H26" s="125">
        <f t="shared" si="1"/>
        <v>1</v>
      </c>
      <c r="I26" s="102"/>
    </row>
    <row r="27" spans="1:9" ht="21.95" customHeight="1">
      <c r="A27" s="606"/>
      <c r="B27" s="605"/>
      <c r="C27" s="390" t="s">
        <v>228</v>
      </c>
      <c r="D27" s="106" t="s">
        <v>166</v>
      </c>
      <c r="E27" s="103">
        <f>'Working Sheet'!$B$8</f>
        <v>26</v>
      </c>
      <c r="F27" s="103">
        <f>VLOOKUP(C27,'FORM B'!$B$23:$G$64,6,0)</f>
        <v>26</v>
      </c>
      <c r="G27" s="387">
        <f>VLOOKUP(C27,'FORM B'!$B$23:$H$64,7,0)</f>
        <v>0</v>
      </c>
      <c r="H27" s="125">
        <f t="shared" si="1"/>
        <v>1</v>
      </c>
      <c r="I27" s="102"/>
    </row>
    <row r="28" spans="1:9" ht="21.95" customHeight="1">
      <c r="A28" s="606"/>
      <c r="B28" s="605"/>
      <c r="C28" s="390" t="s">
        <v>229</v>
      </c>
      <c r="D28" s="106" t="s">
        <v>167</v>
      </c>
      <c r="E28" s="103">
        <f>'Working Sheet'!$B$8</f>
        <v>26</v>
      </c>
      <c r="F28" s="103">
        <f>VLOOKUP(C28,'FORM B'!$B$23:$G$64,6,0)</f>
        <v>26</v>
      </c>
      <c r="G28" s="387">
        <f>VLOOKUP(C28,'FORM B'!$B$23:$H$64,7,0)</f>
        <v>0</v>
      </c>
      <c r="H28" s="125">
        <f t="shared" si="1"/>
        <v>1</v>
      </c>
      <c r="I28" s="102"/>
    </row>
    <row r="29" spans="1:9" ht="21.95" customHeight="1">
      <c r="A29" s="606"/>
      <c r="B29" s="605"/>
      <c r="C29" s="390" t="s">
        <v>230</v>
      </c>
      <c r="D29" s="106" t="s">
        <v>168</v>
      </c>
      <c r="E29" s="103">
        <f>'Working Sheet'!$B$8</f>
        <v>26</v>
      </c>
      <c r="F29" s="103">
        <f>VLOOKUP(C29,'FORM B'!$B$23:$G$64,6,0)</f>
        <v>26</v>
      </c>
      <c r="G29" s="387">
        <f>VLOOKUP(C29,'FORM B'!$B$23:$H$64,7,0)</f>
        <v>0</v>
      </c>
      <c r="H29" s="125">
        <f t="shared" si="1"/>
        <v>1</v>
      </c>
      <c r="I29" s="102"/>
    </row>
    <row r="30" spans="1:9" ht="21.95" customHeight="1">
      <c r="A30" s="607"/>
      <c r="B30" s="605"/>
      <c r="C30" s="390" t="s">
        <v>231</v>
      </c>
      <c r="D30" s="106" t="s">
        <v>169</v>
      </c>
      <c r="E30" s="103">
        <f>'Working Sheet'!$B$8</f>
        <v>26</v>
      </c>
      <c r="F30" s="103">
        <f>VLOOKUP(C30,'FORM B'!$B$23:$G$64,6,0)</f>
        <v>26</v>
      </c>
      <c r="G30" s="387">
        <f>VLOOKUP(C30,'FORM B'!$B$23:$H$64,7,0)</f>
        <v>0</v>
      </c>
      <c r="H30" s="125">
        <f t="shared" si="1"/>
        <v>1</v>
      </c>
      <c r="I30" s="102"/>
    </row>
    <row r="31" spans="1:9" ht="21.95" customHeight="1">
      <c r="A31" s="117"/>
      <c r="B31" s="118"/>
      <c r="C31" s="118"/>
      <c r="D31" s="128"/>
      <c r="E31" s="129"/>
      <c r="F31" s="111" t="s">
        <v>154</v>
      </c>
      <c r="G31" s="388">
        <f>SUM(G22:G30)</f>
        <v>7.8947368421053001</v>
      </c>
      <c r="H31" s="127">
        <f>SUM(H22:H30)</f>
        <v>9</v>
      </c>
      <c r="I31" s="120"/>
    </row>
    <row r="32" spans="1:9" ht="21.95" customHeight="1">
      <c r="A32" s="600">
        <v>4</v>
      </c>
      <c r="B32" s="601" t="s">
        <v>115</v>
      </c>
      <c r="C32" s="390" t="s">
        <v>232</v>
      </c>
      <c r="D32" s="106" t="s">
        <v>200</v>
      </c>
      <c r="E32" s="103">
        <f>'Working Sheet'!$B$8</f>
        <v>26</v>
      </c>
      <c r="F32" s="103">
        <f>VLOOKUP(C32,'FORM B'!$B$23:$G$64,6,0)</f>
        <v>26</v>
      </c>
      <c r="G32" s="387">
        <f>VLOOKUP(C32,'FORM B'!$B$23:$H$64,7,0)</f>
        <v>8.9020771513353001</v>
      </c>
      <c r="H32" s="125">
        <f>F32/E32</f>
        <v>1</v>
      </c>
      <c r="I32" s="108"/>
    </row>
    <row r="33" spans="1:9" ht="21.95" customHeight="1">
      <c r="A33" s="600"/>
      <c r="B33" s="602"/>
      <c r="C33" s="181"/>
      <c r="D33" s="101" t="s">
        <v>95</v>
      </c>
      <c r="E33" s="103"/>
      <c r="F33" s="103"/>
      <c r="G33" s="387"/>
      <c r="H33" s="125"/>
      <c r="I33" s="108"/>
    </row>
    <row r="34" spans="1:9" ht="21.95" customHeight="1">
      <c r="A34" s="600"/>
      <c r="B34" s="602"/>
      <c r="D34" s="101" t="s">
        <v>95</v>
      </c>
      <c r="E34" s="103"/>
      <c r="F34" s="103"/>
      <c r="G34" s="387"/>
      <c r="H34" s="125"/>
      <c r="I34" s="108"/>
    </row>
    <row r="35" spans="1:9" ht="21.95" customHeight="1">
      <c r="A35" s="600"/>
      <c r="B35" s="602"/>
      <c r="C35" s="181"/>
      <c r="D35" s="101" t="s">
        <v>95</v>
      </c>
      <c r="E35" s="103"/>
      <c r="F35" s="103"/>
      <c r="G35" s="387"/>
      <c r="H35" s="125"/>
      <c r="I35" s="108"/>
    </row>
    <row r="36" spans="1:9" ht="21.95" customHeight="1">
      <c r="A36" s="600"/>
      <c r="B36" s="603"/>
      <c r="C36" s="181"/>
      <c r="D36" s="107" t="s">
        <v>95</v>
      </c>
      <c r="E36" s="103"/>
      <c r="F36" s="103"/>
      <c r="G36" s="387"/>
      <c r="H36" s="125"/>
      <c r="I36" s="108"/>
    </row>
    <row r="37" spans="1:9" ht="21.95" customHeight="1">
      <c r="A37" s="117"/>
      <c r="B37" s="121"/>
      <c r="C37" s="121"/>
      <c r="D37" s="111"/>
      <c r="E37" s="121"/>
      <c r="F37" s="130" t="s">
        <v>154</v>
      </c>
      <c r="G37" s="127">
        <f>SUM(G32:G36)</f>
        <v>8.9020771513353001</v>
      </c>
      <c r="H37" s="127">
        <f>SUM(H32:H36)</f>
        <v>1</v>
      </c>
      <c r="I37" s="129"/>
    </row>
    <row r="38" spans="1:9" ht="15.75">
      <c r="A38" s="109"/>
      <c r="B38" s="99"/>
      <c r="C38" s="99"/>
      <c r="D38" s="109"/>
      <c r="E38" s="109"/>
      <c r="F38" s="87"/>
      <c r="G38" s="87"/>
      <c r="H38" s="87"/>
      <c r="I38" s="87"/>
    </row>
    <row r="39" spans="1:9" ht="15.75">
      <c r="A39" s="109"/>
      <c r="B39" s="99"/>
      <c r="C39" s="99"/>
      <c r="D39" s="109"/>
      <c r="E39" s="109"/>
      <c r="F39" s="87"/>
      <c r="G39" s="87"/>
      <c r="H39" s="87"/>
      <c r="I39" s="87"/>
    </row>
    <row r="40" spans="1:9" ht="15.75">
      <c r="A40" s="109"/>
      <c r="B40" s="99"/>
      <c r="C40" s="99"/>
      <c r="D40" s="110" t="s">
        <v>171</v>
      </c>
      <c r="E40" s="100"/>
      <c r="F40" s="87"/>
      <c r="G40" s="87"/>
      <c r="H40" s="87"/>
      <c r="I40" s="87"/>
    </row>
    <row r="41" spans="1:9" ht="15.75">
      <c r="A41" s="87"/>
      <c r="B41" s="99"/>
      <c r="C41" s="99"/>
      <c r="D41" s="99"/>
      <c r="E41" s="99"/>
      <c r="F41" s="87"/>
      <c r="G41" s="87"/>
      <c r="H41" s="87"/>
      <c r="I41" s="87"/>
    </row>
    <row r="42" spans="1:9" ht="15.75">
      <c r="A42" s="87"/>
      <c r="B42" s="99"/>
      <c r="C42" s="99"/>
      <c r="D42" s="111" t="s">
        <v>155</v>
      </c>
      <c r="E42" s="111" t="s">
        <v>156</v>
      </c>
      <c r="F42" s="87"/>
      <c r="G42" s="87"/>
      <c r="H42" s="87"/>
      <c r="I42" s="87"/>
    </row>
    <row r="43" spans="1:9" ht="15.75">
      <c r="A43" s="87"/>
      <c r="B43" s="99"/>
      <c r="C43" s="99"/>
      <c r="D43" s="112" t="s">
        <v>157</v>
      </c>
      <c r="E43" s="131">
        <f>H11</f>
        <v>2</v>
      </c>
      <c r="F43" s="87"/>
      <c r="G43" s="87"/>
      <c r="H43" s="87"/>
      <c r="I43" s="87"/>
    </row>
    <row r="44" spans="1:9" ht="15.75">
      <c r="A44" s="87"/>
      <c r="B44" s="99"/>
      <c r="C44" s="99"/>
      <c r="D44" s="104" t="s">
        <v>145</v>
      </c>
      <c r="E44" s="131">
        <f>H21</f>
        <v>9</v>
      </c>
      <c r="F44" s="87"/>
      <c r="G44" s="87"/>
      <c r="H44" s="87"/>
      <c r="I44" s="87"/>
    </row>
    <row r="45" spans="1:9" ht="15.75">
      <c r="A45" s="87"/>
      <c r="B45" s="99"/>
      <c r="C45" s="99"/>
      <c r="D45" s="104" t="s">
        <v>146</v>
      </c>
      <c r="E45" s="131">
        <f>H31</f>
        <v>9</v>
      </c>
      <c r="F45" s="87"/>
      <c r="G45" s="87"/>
      <c r="H45" s="116"/>
      <c r="I45" s="109"/>
    </row>
    <row r="46" spans="1:9" ht="15.75">
      <c r="A46" s="87"/>
      <c r="B46" s="99"/>
      <c r="C46" s="99"/>
      <c r="D46" s="113" t="s">
        <v>147</v>
      </c>
      <c r="E46" s="131">
        <f>H37</f>
        <v>1</v>
      </c>
      <c r="F46" s="87"/>
      <c r="G46" s="87"/>
      <c r="H46" s="114"/>
      <c r="I46" s="115"/>
    </row>
    <row r="47" spans="1:9" ht="15.75">
      <c r="A47" s="87"/>
      <c r="B47" s="99"/>
      <c r="C47" s="99"/>
      <c r="D47" s="111" t="s">
        <v>142</v>
      </c>
      <c r="E47" s="127">
        <f>SUM(E43:E46)</f>
        <v>21</v>
      </c>
      <c r="F47" s="87"/>
      <c r="G47" s="87"/>
      <c r="H47" s="114"/>
      <c r="I47" s="115"/>
    </row>
    <row r="48" spans="1:9" ht="15.75">
      <c r="A48" s="87"/>
      <c r="B48" s="99"/>
      <c r="C48" s="99"/>
      <c r="D48" s="98"/>
      <c r="E48" s="98"/>
      <c r="F48" s="87"/>
      <c r="G48" s="87"/>
      <c r="H48" s="87"/>
      <c r="I48" s="87"/>
    </row>
    <row r="49" spans="1:9" ht="15.75">
      <c r="A49" s="87"/>
      <c r="B49" s="99"/>
      <c r="C49" s="99"/>
      <c r="D49" s="98"/>
      <c r="E49" s="98"/>
      <c r="F49" s="87"/>
      <c r="G49" s="87"/>
      <c r="H49" s="114"/>
      <c r="I49" s="87"/>
    </row>
    <row r="50" spans="1:9" ht="15.75">
      <c r="A50" s="604" t="s">
        <v>143</v>
      </c>
      <c r="B50" s="604"/>
      <c r="C50" s="182"/>
      <c r="D50" s="96"/>
      <c r="E50" s="87"/>
      <c r="F50" s="87"/>
      <c r="G50" s="87"/>
      <c r="H50" s="604" t="s">
        <v>170</v>
      </c>
      <c r="I50" s="604"/>
    </row>
  </sheetData>
  <sheetProtection/>
  <mergeCells count="12">
    <mergeCell ref="A1:I1"/>
    <mergeCell ref="A2:I2"/>
    <mergeCell ref="A9:A10"/>
    <mergeCell ref="B9:B10"/>
    <mergeCell ref="A12:A20"/>
    <mergeCell ref="B12:B20"/>
    <mergeCell ref="A32:A36"/>
    <mergeCell ref="B32:B36"/>
    <mergeCell ref="A50:B50"/>
    <mergeCell ref="H50:I50"/>
    <mergeCell ref="B22:B30"/>
    <mergeCell ref="A22:A30"/>
  </mergeCells>
  <printOptions horizontalCentered="1"/>
  <pageMargins left="0.7" right="0.7" top="0.75" bottom="0.75" header="0.3" footer="0.3"/>
  <pageSetup orientation="portrait" paperSize="1" scale="57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DECBEBC7-DE66-47FF-B4B8-4B150DDCB9AB}">
  <sheetPr codeName="Sheet6">
    <pageSetUpPr fitToPage="1"/>
  </sheetPr>
  <dimension ref="A1:R18"/>
  <sheetViews>
    <sheetView view="pageBreakPreview" zoomScale="94" zoomScaleNormal="62" zoomScaleSheetLayoutView="94" workbookViewId="0" topLeftCell="A11">
      <selection pane="topLeft" activeCell="H7" sqref="H7"/>
    </sheetView>
  </sheetViews>
  <sheetFormatPr defaultRowHeight="12.75"/>
  <cols>
    <col min="1" max="1" width="7.14285714285714" bestFit="1" customWidth="1"/>
    <col min="2" max="2" width="35.8571428571429" bestFit="1" customWidth="1"/>
    <col min="3" max="14" width="13.5714285714286" customWidth="1"/>
  </cols>
  <sheetData>
    <row r="1" spans="1:14" ht="37.5">
      <c r="A1" s="610" t="s">
        <v>194</v>
      </c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</row>
    <row r="2" spans="1:14" ht="26.25">
      <c r="A2" s="611" t="str">
        <f>"(FOR PERIOD FROM "&amp;'Working Sheet'!B1&amp;")"</f>
        <v>(FOR PERIOD FROM 01 Oct 2025 To 31 Oct 2025)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</row>
    <row r="3" spans="1:14" ht="80.1" customHeight="1">
      <c r="A3" s="91" t="s">
        <v>131</v>
      </c>
      <c r="B3" s="90" t="s">
        <v>132</v>
      </c>
      <c r="C3" s="91" t="s">
        <v>133</v>
      </c>
      <c r="D3" s="91" t="s">
        <v>134</v>
      </c>
      <c r="E3" s="91" t="str">
        <f>'Working Sheet'!A12</f>
        <v>OLD WAGES AS ON 01.04.2023(as per LOA)</v>
      </c>
      <c r="F3" s="91" t="str">
        <f>'Working Sheet'!A13</f>
        <v>NEW WAGES AS ON 01.10.2025</v>
      </c>
      <c r="G3" s="91" t="s">
        <v>135</v>
      </c>
      <c r="H3" s="91" t="s">
        <v>136</v>
      </c>
      <c r="I3" s="89" t="s">
        <v>137</v>
      </c>
      <c r="J3" s="89" t="s">
        <v>138</v>
      </c>
      <c r="K3" s="89" t="s">
        <v>139</v>
      </c>
      <c r="L3" s="89" t="s">
        <v>140</v>
      </c>
      <c r="M3" s="89" t="s">
        <v>141</v>
      </c>
      <c r="N3" s="91" t="s">
        <v>142</v>
      </c>
    </row>
    <row r="4" spans="1:18" ht="30" customHeight="1">
      <c r="A4" s="165">
        <v>1</v>
      </c>
      <c r="B4" s="166" t="s">
        <v>350</v>
      </c>
      <c r="C4" s="165" t="s">
        <v>148</v>
      </c>
      <c r="D4" s="167">
        <v>2</v>
      </c>
      <c r="E4" s="167">
        <f>'Working Sheet'!B12</f>
        <v>915</v>
      </c>
      <c r="F4" s="167">
        <f>'Working Sheet'!B13</f>
        <v>981</v>
      </c>
      <c r="G4" s="167">
        <f>F4-E4</f>
        <v>66</v>
      </c>
      <c r="H4" s="167">
        <f>SUMIFS('FORM B'!G23:G82,'FORM B'!D23:D82,'DIFF-II (BBSR)'!B4)</f>
        <v>52</v>
      </c>
      <c r="I4" s="167">
        <f>G4*H4</f>
        <v>3432</v>
      </c>
      <c r="J4" s="167">
        <f>I4*13%</f>
        <v>446.16000000000003</v>
      </c>
      <c r="K4" s="167">
        <f>I4*3.25%</f>
        <v>111.54000000000001</v>
      </c>
      <c r="L4" s="167">
        <f>I4*8.33%</f>
        <v>285.88560000000001</v>
      </c>
      <c r="M4" s="167">
        <f>I4*4.81%</f>
        <v>165.07919999999999</v>
      </c>
      <c r="N4" s="167">
        <f>I4+J4+K4+L4+M4</f>
        <v>4440.6647999999996</v>
      </c>
      <c r="R4">
        <f>SUMIFS('FORM B'!K23:K82,'FORM B'!D23:D82,'DIFF-II (BBSR)'!B4)</f>
        <v>3000</v>
      </c>
    </row>
    <row r="5" spans="1:18" ht="30" customHeight="1">
      <c r="A5" s="165">
        <v>2</v>
      </c>
      <c r="B5" s="166" t="s">
        <v>351</v>
      </c>
      <c r="C5" s="165" t="s">
        <v>148</v>
      </c>
      <c r="D5" s="167">
        <v>9</v>
      </c>
      <c r="E5" s="167">
        <f>'Working Sheet'!C12</f>
        <v>832</v>
      </c>
      <c r="F5" s="167">
        <f>'Working Sheet'!C13</f>
        <v>893</v>
      </c>
      <c r="G5" s="167">
        <f>F5-E5</f>
        <v>61</v>
      </c>
      <c r="H5" s="167">
        <f>SUMIFS('FORM B'!G24:G83,'FORM B'!D24:D83,'DIFF-II (BBSR)'!B5)</f>
        <v>234</v>
      </c>
      <c r="I5" s="167">
        <f>G5*H5</f>
        <v>14274</v>
      </c>
      <c r="J5" s="167">
        <f>I5*13%</f>
        <v>1855.6200000000001</v>
      </c>
      <c r="K5" s="167">
        <f>I5*3.25%</f>
        <v>463.90500000000003</v>
      </c>
      <c r="L5" s="167">
        <f>I5*8.33%</f>
        <v>1189.0242000000001</v>
      </c>
      <c r="M5" s="167">
        <f>I5*4.81%</f>
        <v>686.57939999999996</v>
      </c>
      <c r="N5" s="167">
        <f>I5+J5+K5+L5+M5</f>
        <v>18469.1286</v>
      </c>
      <c r="R5">
        <f>SUMIFS('FORM B'!K24:K83,'FORM B'!D24:D83,'DIFF-II (BBSR)'!B5)</f>
        <v>9501</v>
      </c>
    </row>
    <row r="6" spans="1:18" ht="30" customHeight="1">
      <c r="A6" s="165">
        <v>3</v>
      </c>
      <c r="B6" s="166" t="s">
        <v>352</v>
      </c>
      <c r="C6" s="165" t="s">
        <v>148</v>
      </c>
      <c r="D6" s="167">
        <v>9</v>
      </c>
      <c r="E6" s="167">
        <f>'Working Sheet'!D12</f>
        <v>709</v>
      </c>
      <c r="F6" s="167">
        <f>'Working Sheet'!D13</f>
        <v>760</v>
      </c>
      <c r="G6" s="167">
        <f>F6-E6</f>
        <v>51</v>
      </c>
      <c r="H6" s="167">
        <f>SUMIFS('FORM B'!G25:G84,'FORM B'!D25:D84,'DIFF-II (BBSR)'!B6)</f>
        <v>234</v>
      </c>
      <c r="I6" s="167">
        <f>G6*H6</f>
        <v>11934</v>
      </c>
      <c r="J6" s="167">
        <f>I6*13%</f>
        <v>1551.4200000000001</v>
      </c>
      <c r="K6" s="167">
        <f>I6*3.25%</f>
        <v>387.85500000000002</v>
      </c>
      <c r="L6" s="167">
        <f>I6*8.33%</f>
        <v>994.10220000000004</v>
      </c>
      <c r="M6" s="167">
        <f>I6*4.81%</f>
        <v>574.02539999999999</v>
      </c>
      <c r="N6" s="167">
        <f>I6+J6+K6+L6+M6</f>
        <v>15441.402599999999</v>
      </c>
      <c r="R6">
        <f>SUMIFS('FORM B'!K25:K84,'FORM B'!D25:D84,'DIFF-II (BBSR)'!B6)</f>
        <v>1500</v>
      </c>
    </row>
    <row r="7" spans="1:18" ht="30" customHeight="1">
      <c r="A7" s="165">
        <v>4</v>
      </c>
      <c r="B7" s="166" t="s">
        <v>353</v>
      </c>
      <c r="C7" s="165" t="s">
        <v>148</v>
      </c>
      <c r="D7" s="167">
        <v>1</v>
      </c>
      <c r="E7" s="167">
        <f>'Working Sheet'!E12</f>
        <v>628</v>
      </c>
      <c r="F7" s="167">
        <f>'Working Sheet'!E13</f>
        <v>674</v>
      </c>
      <c r="G7" s="167">
        <f>F7-E7</f>
        <v>46</v>
      </c>
      <c r="H7" s="167">
        <f>SUMIFS('FORM B'!G26:G85,'FORM B'!D26:D85,'DIFF-II (BBSR)'!B7)</f>
        <v>26</v>
      </c>
      <c r="I7" s="167">
        <f>G7*H7</f>
        <v>1196</v>
      </c>
      <c r="J7" s="167">
        <f>I7*13%</f>
        <v>155.48000000000002</v>
      </c>
      <c r="K7" s="167">
        <f>I7*3.25%</f>
        <v>38.870000000000005</v>
      </c>
      <c r="L7" s="167">
        <f>I7*8.33%</f>
        <v>99.626800000000003</v>
      </c>
      <c r="M7" s="167">
        <f>I7*4.81%</f>
        <v>57.5276</v>
      </c>
      <c r="N7" s="167">
        <f>I7+J7+K7+L7+M7</f>
        <v>1547.5043999999998</v>
      </c>
      <c r="R7">
        <f>SUMIFS('FORM B'!K26:K85,'FORM B'!D26:D85,'DIFF-II (BBSR)'!B7)</f>
        <v>1500</v>
      </c>
    </row>
    <row r="8" spans="1:18" ht="30" customHeight="1">
      <c r="A8" s="612" t="s">
        <v>97</v>
      </c>
      <c r="B8" s="613"/>
      <c r="C8" s="613"/>
      <c r="D8" s="613"/>
      <c r="E8" s="613"/>
      <c r="F8" s="613"/>
      <c r="G8" s="614"/>
      <c r="H8" s="177">
        <f>SUM(H4:H7)</f>
        <v>546</v>
      </c>
      <c r="I8" s="177">
        <f t="shared" si="0" ref="I8:N8">SUM(I4:I7)</f>
        <v>30836</v>
      </c>
      <c r="J8" s="177">
        <f t="shared" si="0"/>
        <v>4008.6800000000003</v>
      </c>
      <c r="K8" s="177">
        <f t="shared" si="0"/>
        <v>1002.1700000000001</v>
      </c>
      <c r="L8" s="177">
        <f t="shared" si="0"/>
        <v>2568.6388000000002</v>
      </c>
      <c r="M8" s="177">
        <f t="shared" si="0"/>
        <v>1483.2115999999999</v>
      </c>
      <c r="N8" s="177">
        <f t="shared" si="0"/>
        <v>39898.700399999994</v>
      </c>
      <c r="R8">
        <f>SUM(R4:R7)</f>
        <v>15501</v>
      </c>
    </row>
    <row r="9" spans="1:14" ht="12.75">
      <c r="A9" s="31"/>
      <c r="B9" s="31"/>
      <c r="C9" s="31"/>
      <c r="D9" s="31"/>
      <c r="E9" s="31"/>
      <c r="F9" s="31"/>
      <c r="G9" s="31"/>
      <c r="H9" s="31"/>
      <c r="I9" s="95"/>
      <c r="J9" s="31"/>
      <c r="K9" s="31"/>
      <c r="L9" s="31"/>
      <c r="M9" s="31"/>
      <c r="N9" s="31"/>
    </row>
    <row r="10" spans="1:14" ht="12.7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</row>
    <row r="11" spans="1:14" ht="31.5">
      <c r="A11" s="31"/>
      <c r="B11" s="178" t="s">
        <v>177</v>
      </c>
      <c r="C11" s="180">
        <f>N8</f>
        <v>39898.700399999994</v>
      </c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31.5">
      <c r="A12" s="31"/>
      <c r="B12" s="178" t="s">
        <v>467</v>
      </c>
      <c r="C12" s="180">
        <f>R8</f>
        <v>15501</v>
      </c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4" ht="31.5">
      <c r="A13" s="31"/>
      <c r="B13" s="179" t="s">
        <v>207</v>
      </c>
      <c r="C13" s="386">
        <f>SUM(C11:C12)</f>
        <v>55399.700399999994</v>
      </c>
      <c r="D13" s="31"/>
      <c r="E13" s="92"/>
      <c r="F13" s="92"/>
      <c r="G13" s="92"/>
      <c r="H13" s="88"/>
      <c r="I13" s="88"/>
      <c r="J13" s="31"/>
      <c r="K13" s="31"/>
      <c r="L13" s="31"/>
      <c r="M13" s="31"/>
      <c r="N13" s="31"/>
    </row>
    <row r="14" spans="1:14" ht="12.7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</row>
    <row r="15" spans="1:14" ht="12.7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ht="12.7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</row>
    <row r="17" spans="1:14" ht="12.7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</row>
    <row r="18" spans="1:14" ht="15.75">
      <c r="A18" s="615" t="s">
        <v>143</v>
      </c>
      <c r="B18" s="615"/>
      <c r="C18" s="615"/>
      <c r="D18" s="93"/>
      <c r="E18" s="615"/>
      <c r="F18" s="615"/>
      <c r="G18" s="615"/>
      <c r="H18" s="86"/>
      <c r="I18" s="94"/>
      <c r="J18" s="94"/>
      <c r="K18" s="616" t="s">
        <v>195</v>
      </c>
      <c r="L18" s="616"/>
      <c r="M18" s="616"/>
      <c r="N18" s="616"/>
    </row>
  </sheetData>
  <sheetProtection/>
  <mergeCells count="6">
    <mergeCell ref="A1:N1"/>
    <mergeCell ref="A2:N2"/>
    <mergeCell ref="A8:G8"/>
    <mergeCell ref="A18:C18"/>
    <mergeCell ref="E18:G18"/>
    <mergeCell ref="K18:N18"/>
  </mergeCells>
  <hyperlinks>
    <hyperlink ref="K3" r:id="rId1" display="ESIC@3.25%_x000a_ER SHARE"/>
    <hyperlink ref="J3" r:id="rId2" display="EPF@13%_x000a_ER SHARE"/>
    <hyperlink ref="L3" r:id="rId3" display=" BONUS_x000a_@8.33%"/>
    <hyperlink ref="M3" r:id="rId4" display="LWW_x000a_@4.81%"/>
  </hyperlinks>
  <printOptions horizontalCentered="1"/>
  <pageMargins left="0.25" right="0.25" top="0.75" bottom="0.75" header="0.3" footer="0.3"/>
  <pageSetup fitToHeight="0" orientation="landscape" paperSize="1" scale="66" r:id="rId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C0AC2F9-DD6A-4CF9-A9E7-A05A7E22B9AB}">
  <sheetPr codeName="Sheet7">
    <pageSetUpPr fitToPage="1"/>
  </sheetPr>
  <dimension ref="A1:AI69"/>
  <sheetViews>
    <sheetView view="pageBreakPreview" zoomScale="82" zoomScaleNormal="55" zoomScaleSheetLayoutView="82" workbookViewId="0" topLeftCell="A1">
      <selection pane="topLeft" activeCell="H63" sqref="H23:H63"/>
    </sheetView>
  </sheetViews>
  <sheetFormatPr defaultRowHeight="12.75"/>
  <cols>
    <col min="1" max="1" width="9.71428571428571" customWidth="1"/>
    <col min="2" max="2" width="26.8571428571429" customWidth="1"/>
    <col min="3" max="4" width="26" customWidth="1"/>
    <col min="5" max="5" width="16.4285714285714" customWidth="1"/>
    <col min="6" max="6" width="22.8571428571429" customWidth="1"/>
    <col min="7" max="7" width="9.14285714285714" customWidth="1"/>
    <col min="8" max="8" width="15.1428571428571" customWidth="1"/>
    <col min="9" max="9" width="14.7142857142857" customWidth="1"/>
    <col min="10" max="10" width="9.57142857142857" customWidth="1"/>
    <col min="11" max="11" width="13.8571428571429" customWidth="1"/>
    <col min="12" max="12" width="7.28571428571429" customWidth="1"/>
    <col min="13" max="13" width="8.28571428571429" customWidth="1"/>
    <col min="14" max="14" width="7.85714285714286" customWidth="1"/>
    <col min="15" max="15" width="10.2857142857143" customWidth="1"/>
    <col min="16" max="16" width="10.5714285714286" customWidth="1"/>
    <col min="17" max="17" width="12" customWidth="1"/>
    <col min="18" max="18" width="17.8571428571429" customWidth="1"/>
    <col min="19" max="19" width="14.4285714285714" customWidth="1"/>
    <col min="20" max="20" width="4" bestFit="1" customWidth="1"/>
    <col min="21" max="21" width="8.28571428571429" customWidth="1"/>
    <col min="22" max="22" width="8.71428571428571" customWidth="1"/>
    <col min="23" max="23" width="7.85714285714286" bestFit="1" customWidth="1"/>
    <col min="24" max="24" width="8.28571428571429" customWidth="1"/>
    <col min="25" max="25" width="18.7142857142857" customWidth="1"/>
    <col min="26" max="26" width="22.8571428571429" customWidth="1"/>
    <col min="27" max="27" width="15.7142857142857" customWidth="1"/>
    <col min="28" max="28" width="11.5714285714286" customWidth="1"/>
    <col min="29" max="29" width="10.2857142857143" customWidth="1"/>
    <col min="30" max="30" width="23.5714285714286" customWidth="1"/>
    <col min="31" max="31" width="23.8571428571429" customWidth="1"/>
    <col min="32" max="32" width="8.42857142857143" bestFit="1" customWidth="1"/>
    <col min="33" max="34" width="17.5714285714286" customWidth="1"/>
  </cols>
  <sheetData>
    <row r="1" spans="1:35" ht="18.75" customHeight="1">
      <c r="A1" s="643" t="s">
        <v>233</v>
      </c>
      <c r="B1" s="643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44"/>
      <c r="AE1" s="644"/>
      <c r="AH1" s="185" t="s">
        <v>234</v>
      </c>
      <c r="AI1" s="185"/>
    </row>
    <row r="2" spans="1:35" ht="18.75" customHeight="1">
      <c r="A2" s="643" t="s">
        <v>235</v>
      </c>
      <c r="B2" s="643"/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643"/>
      <c r="Q2" s="643"/>
      <c r="R2" s="643"/>
      <c r="S2" s="643"/>
      <c r="T2" s="643"/>
      <c r="U2" s="643"/>
      <c r="V2" s="643"/>
      <c r="W2" s="643"/>
      <c r="X2" s="643"/>
      <c r="Y2" s="643"/>
      <c r="Z2" s="643"/>
      <c r="AA2" s="643"/>
      <c r="AB2" s="643"/>
      <c r="AC2" s="643"/>
      <c r="AD2" s="643"/>
      <c r="AE2" s="643"/>
      <c r="AH2" s="185"/>
      <c r="AI2" s="185"/>
    </row>
    <row r="3" spans="1:35" ht="10.5" customHeight="1">
      <c r="A3" s="378"/>
      <c r="B3" s="378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379"/>
      <c r="AC3" s="379"/>
      <c r="AD3" s="379"/>
      <c r="AE3" s="379"/>
      <c r="AH3" s="185"/>
      <c r="AI3" s="185"/>
    </row>
    <row r="4" spans="1:35" s="186" customFormat="1" ht="30.75" customHeight="1">
      <c r="A4" s="620" t="s">
        <v>475</v>
      </c>
      <c r="B4" s="620"/>
      <c r="C4" s="62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0"/>
      <c r="T4" s="620"/>
      <c r="U4" s="620"/>
      <c r="V4" s="620"/>
      <c r="W4" s="620"/>
      <c r="X4" s="620"/>
      <c r="Y4" s="620"/>
      <c r="Z4" s="620"/>
      <c r="AA4" s="620"/>
      <c r="AB4" s="620"/>
      <c r="AC4" s="620"/>
      <c r="AD4" s="620"/>
      <c r="AE4" s="620"/>
      <c r="AH4" s="187">
        <v>1</v>
      </c>
      <c r="AI4" s="6" t="s">
        <v>236</v>
      </c>
    </row>
    <row r="5" spans="1:35" s="188" customFormat="1" ht="22.5" customHeight="1">
      <c r="A5" s="620"/>
      <c r="B5" s="620"/>
      <c r="C5" s="620"/>
      <c r="D5" s="620"/>
      <c r="E5" s="620"/>
      <c r="F5" s="620"/>
      <c r="G5" s="620"/>
      <c r="H5" s="620"/>
      <c r="I5" s="640" t="s">
        <v>144</v>
      </c>
      <c r="J5" s="641"/>
      <c r="K5" s="641"/>
      <c r="L5" s="641"/>
      <c r="M5" s="641"/>
      <c r="N5" s="640" t="s">
        <v>145</v>
      </c>
      <c r="O5" s="641"/>
      <c r="P5" s="641"/>
      <c r="Q5" s="641"/>
      <c r="R5" s="641"/>
      <c r="S5" s="641"/>
      <c r="T5" s="642"/>
      <c r="U5" s="620" t="s">
        <v>237</v>
      </c>
      <c r="V5" s="620"/>
      <c r="W5" s="620"/>
      <c r="X5" s="620"/>
      <c r="Y5" s="620"/>
      <c r="Z5" s="620" t="s">
        <v>238</v>
      </c>
      <c r="AA5" s="620"/>
      <c r="AB5" s="620"/>
      <c r="AC5" s="620"/>
      <c r="AD5" s="620"/>
      <c r="AE5" s="620"/>
      <c r="AH5" s="187">
        <v>2</v>
      </c>
      <c r="AI5" s="6" t="s">
        <v>239</v>
      </c>
    </row>
    <row r="6" spans="1:35" s="188" customFormat="1" ht="22.5" customHeight="1">
      <c r="A6" s="498" t="s">
        <v>459</v>
      </c>
      <c r="B6" s="498"/>
      <c r="C6" s="498"/>
      <c r="D6" s="498"/>
      <c r="E6" s="498"/>
      <c r="F6" s="498"/>
      <c r="G6" s="498"/>
      <c r="H6" s="498"/>
      <c r="I6" s="631" t="s">
        <v>468</v>
      </c>
      <c r="J6" s="632"/>
      <c r="K6" s="632"/>
      <c r="L6" s="632"/>
      <c r="M6" s="632"/>
      <c r="N6" s="631" t="s">
        <v>469</v>
      </c>
      <c r="O6" s="632"/>
      <c r="P6" s="632"/>
      <c r="Q6" s="632"/>
      <c r="R6" s="632"/>
      <c r="S6" s="632"/>
      <c r="T6" s="635"/>
      <c r="U6" s="621" t="s">
        <v>470</v>
      </c>
      <c r="V6" s="621"/>
      <c r="W6" s="621"/>
      <c r="X6" s="621"/>
      <c r="Y6" s="621"/>
      <c r="Z6" s="621" t="s">
        <v>471</v>
      </c>
      <c r="AA6" s="621"/>
      <c r="AB6" s="621"/>
      <c r="AC6" s="621"/>
      <c r="AD6" s="621"/>
      <c r="AE6" s="621"/>
      <c r="AH6" s="187">
        <v>3</v>
      </c>
      <c r="AI6" s="6" t="s">
        <v>240</v>
      </c>
    </row>
    <row r="7" spans="1:35" s="188" customFormat="1" ht="22.5" customHeight="1">
      <c r="A7" s="498" t="s">
        <v>241</v>
      </c>
      <c r="B7" s="498"/>
      <c r="C7" s="498"/>
      <c r="D7" s="498"/>
      <c r="E7" s="498"/>
      <c r="F7" s="498"/>
      <c r="G7" s="498"/>
      <c r="H7" s="498"/>
      <c r="I7" s="633"/>
      <c r="J7" s="634"/>
      <c r="K7" s="634"/>
      <c r="L7" s="634"/>
      <c r="M7" s="634"/>
      <c r="N7" s="633"/>
      <c r="O7" s="634"/>
      <c r="P7" s="634"/>
      <c r="Q7" s="634"/>
      <c r="R7" s="634"/>
      <c r="S7" s="634"/>
      <c r="T7" s="636"/>
      <c r="U7" s="621"/>
      <c r="V7" s="621"/>
      <c r="W7" s="621"/>
      <c r="X7" s="621"/>
      <c r="Y7" s="621"/>
      <c r="Z7" s="621"/>
      <c r="AA7" s="621"/>
      <c r="AB7" s="621"/>
      <c r="AC7" s="621"/>
      <c r="AD7" s="621"/>
      <c r="AE7" s="621"/>
      <c r="AH7" s="187">
        <v>4</v>
      </c>
      <c r="AI7" s="6" t="s">
        <v>242</v>
      </c>
    </row>
    <row r="8" spans="1:35" s="188" customFormat="1" ht="22.5" customHeight="1">
      <c r="A8" s="498" t="s">
        <v>243</v>
      </c>
      <c r="B8" s="498"/>
      <c r="C8" s="498"/>
      <c r="D8" s="498"/>
      <c r="E8" s="498"/>
      <c r="F8" s="498"/>
      <c r="G8" s="498"/>
      <c r="H8" s="498"/>
      <c r="I8" s="637"/>
      <c r="J8" s="638"/>
      <c r="K8" s="638"/>
      <c r="L8" s="638"/>
      <c r="M8" s="638"/>
      <c r="N8" s="637"/>
      <c r="O8" s="638"/>
      <c r="P8" s="638"/>
      <c r="Q8" s="638"/>
      <c r="R8" s="638"/>
      <c r="S8" s="638"/>
      <c r="T8" s="639"/>
      <c r="U8" s="622"/>
      <c r="V8" s="620"/>
      <c r="W8" s="620"/>
      <c r="X8" s="620"/>
      <c r="Y8" s="620"/>
      <c r="Z8" s="622"/>
      <c r="AA8" s="622"/>
      <c r="AB8" s="622"/>
      <c r="AC8" s="622"/>
      <c r="AD8" s="622"/>
      <c r="AE8" s="622"/>
      <c r="AH8" s="187">
        <v>5</v>
      </c>
      <c r="AI8" s="6" t="s">
        <v>244</v>
      </c>
    </row>
    <row r="9" spans="1:35" s="188" customFormat="1" ht="13.5" customHeight="1">
      <c r="A9" s="189"/>
      <c r="B9" s="189"/>
      <c r="C9" s="189"/>
      <c r="D9" s="189"/>
      <c r="E9" s="189"/>
      <c r="F9" s="189"/>
      <c r="G9" s="189"/>
      <c r="H9" s="189"/>
      <c r="I9" s="190"/>
      <c r="J9" s="190"/>
      <c r="K9" s="190"/>
      <c r="L9" s="190"/>
      <c r="M9" s="190"/>
      <c r="N9" s="190"/>
      <c r="O9" s="190"/>
      <c r="P9" s="190"/>
      <c r="Q9" s="187"/>
      <c r="R9" s="187"/>
      <c r="S9" s="187"/>
      <c r="T9" s="187"/>
      <c r="U9" s="190"/>
      <c r="V9" s="187"/>
      <c r="W9" s="187"/>
      <c r="X9" s="187"/>
      <c r="Y9" s="187"/>
      <c r="Z9" s="190"/>
      <c r="AA9" s="190"/>
      <c r="AB9" s="190"/>
      <c r="AC9" s="190"/>
      <c r="AD9" s="190"/>
      <c r="AE9" s="190"/>
      <c r="AH9" s="187"/>
      <c r="AI9" s="6"/>
    </row>
    <row r="10" spans="1:35" s="188" customFormat="1" ht="30" customHeight="1">
      <c r="A10" s="623" t="s">
        <v>245</v>
      </c>
      <c r="B10" s="623"/>
      <c r="C10" s="623"/>
      <c r="D10" s="623"/>
      <c r="E10" s="623"/>
      <c r="F10" s="623"/>
      <c r="G10" s="623"/>
      <c r="H10" s="623"/>
      <c r="I10" s="623"/>
      <c r="J10" s="191" t="s">
        <v>246</v>
      </c>
      <c r="K10" s="623" t="s">
        <v>247</v>
      </c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623"/>
      <c r="W10" s="623"/>
      <c r="X10" s="623"/>
      <c r="Y10" s="623"/>
      <c r="Z10" s="623"/>
      <c r="AA10" s="623"/>
      <c r="AB10" s="623"/>
      <c r="AC10" s="623"/>
      <c r="AD10" s="623"/>
      <c r="AE10" s="623"/>
      <c r="AH10" s="187">
        <v>6</v>
      </c>
      <c r="AI10" s="6" t="s">
        <v>248</v>
      </c>
    </row>
    <row r="11" spans="1:35" s="188" customFormat="1" ht="11.25" customHeight="1">
      <c r="A11" s="375"/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  <c r="P11" s="375"/>
      <c r="Q11" s="375"/>
      <c r="R11" s="192"/>
      <c r="S11" s="377"/>
      <c r="T11" s="377"/>
      <c r="U11" s="377"/>
      <c r="V11" s="377"/>
      <c r="W11" s="377"/>
      <c r="X11" s="193"/>
      <c r="Y11" s="194"/>
      <c r="Z11" s="195"/>
      <c r="AA11" s="196"/>
      <c r="AB11" s="196"/>
      <c r="AC11" s="194"/>
      <c r="AD11" s="194"/>
      <c r="AE11" s="197"/>
      <c r="AH11" s="187"/>
      <c r="AI11" s="6"/>
    </row>
    <row r="12" spans="1:35" s="188" customFormat="1" ht="30" customHeight="1">
      <c r="A12" s="628" t="s">
        <v>249</v>
      </c>
      <c r="B12" s="628"/>
      <c r="C12" s="628"/>
      <c r="D12" s="628"/>
      <c r="E12" s="628"/>
      <c r="F12" s="628"/>
      <c r="G12" s="628"/>
      <c r="H12" s="628"/>
      <c r="I12" s="628"/>
      <c r="J12" s="191" t="s">
        <v>246</v>
      </c>
      <c r="K12" s="623" t="s">
        <v>250</v>
      </c>
      <c r="L12" s="623"/>
      <c r="M12" s="623"/>
      <c r="N12" s="623"/>
      <c r="O12" s="623"/>
      <c r="P12" s="623"/>
      <c r="Q12" s="623"/>
      <c r="R12" s="623"/>
      <c r="S12" s="623"/>
      <c r="T12" s="623"/>
      <c r="U12" s="623"/>
      <c r="V12" s="623"/>
      <c r="W12" s="623"/>
      <c r="X12" s="623"/>
      <c r="Y12" s="623"/>
      <c r="Z12" s="623"/>
      <c r="AA12" s="623"/>
      <c r="AB12" s="623"/>
      <c r="AC12" s="623"/>
      <c r="AD12" s="623"/>
      <c r="AE12" s="623"/>
      <c r="AH12" s="187">
        <v>7</v>
      </c>
      <c r="AI12" s="6" t="s">
        <v>251</v>
      </c>
    </row>
    <row r="13" spans="1:35" s="188" customFormat="1" ht="8.25" customHeight="1">
      <c r="A13" s="198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H13" s="187"/>
      <c r="AI13" s="6"/>
    </row>
    <row r="14" spans="1:35" s="188" customFormat="1" ht="30" customHeight="1">
      <c r="A14" s="623" t="s">
        <v>252</v>
      </c>
      <c r="B14" s="623"/>
      <c r="C14" s="623"/>
      <c r="D14" s="623"/>
      <c r="E14" s="623"/>
      <c r="F14" s="623"/>
      <c r="G14" s="623"/>
      <c r="H14" s="623"/>
      <c r="I14" s="623"/>
      <c r="J14" s="191" t="s">
        <v>246</v>
      </c>
      <c r="K14" s="623" t="s">
        <v>253</v>
      </c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/>
      <c r="AH14" s="187"/>
      <c r="AI14" s="6"/>
    </row>
    <row r="15" spans="1:35" s="188" customFormat="1" ht="6" customHeight="1">
      <c r="A15" s="198"/>
      <c r="B15" s="198"/>
      <c r="C15" s="198"/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  <c r="O15" s="198"/>
      <c r="P15" s="198"/>
      <c r="Q15" s="198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H15" s="187"/>
      <c r="AI15" s="6"/>
    </row>
    <row r="16" spans="1:35" s="188" customFormat="1" ht="30" customHeight="1">
      <c r="A16" s="623" t="s">
        <v>254</v>
      </c>
      <c r="B16" s="623"/>
      <c r="C16" s="623"/>
      <c r="D16" s="623"/>
      <c r="E16" s="623"/>
      <c r="F16" s="623"/>
      <c r="G16" s="623"/>
      <c r="H16" s="623"/>
      <c r="I16" s="623"/>
      <c r="J16" s="191" t="s">
        <v>246</v>
      </c>
      <c r="K16" s="623"/>
      <c r="L16" s="623"/>
      <c r="M16" s="623"/>
      <c r="N16" s="623"/>
      <c r="O16" s="623"/>
      <c r="P16" s="623"/>
      <c r="Q16" s="623"/>
      <c r="R16" s="623"/>
      <c r="S16" s="623"/>
      <c r="T16" s="623"/>
      <c r="U16" s="623"/>
      <c r="V16" s="623"/>
      <c r="W16" s="623"/>
      <c r="X16" s="629" t="s">
        <v>255</v>
      </c>
      <c r="Y16" s="629"/>
      <c r="Z16" s="629"/>
      <c r="AA16" s="630" t="s">
        <v>495</v>
      </c>
      <c r="AB16" s="630"/>
      <c r="AC16" s="629"/>
      <c r="AD16" s="629"/>
      <c r="AE16" s="629"/>
      <c r="AH16" s="187"/>
      <c r="AI16" s="6"/>
    </row>
    <row r="17" spans="1:35" s="188" customFormat="1" ht="8.25" customHeight="1">
      <c r="A17" s="377"/>
      <c r="B17" s="377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189"/>
      <c r="S17" s="189"/>
      <c r="T17" s="189"/>
      <c r="U17" s="189"/>
      <c r="V17" s="189"/>
      <c r="W17" s="197"/>
      <c r="X17" s="194"/>
      <c r="Y17" s="197"/>
      <c r="Z17" s="197"/>
      <c r="AA17" s="197"/>
      <c r="AB17" s="197"/>
      <c r="AC17" s="197"/>
      <c r="AD17" s="197"/>
      <c r="AE17" s="197"/>
      <c r="AH17" s="187"/>
      <c r="AI17" s="6"/>
    </row>
    <row r="18" spans="1:35" s="188" customFormat="1" ht="40.5" customHeight="1">
      <c r="A18" s="623" t="s">
        <v>256</v>
      </c>
      <c r="B18" s="623"/>
      <c r="C18" s="623"/>
      <c r="D18" s="623"/>
      <c r="E18" s="623"/>
      <c r="F18" s="623"/>
      <c r="G18" s="623"/>
      <c r="H18" s="623"/>
      <c r="I18" s="623"/>
      <c r="J18" s="191" t="s">
        <v>246</v>
      </c>
      <c r="K18" s="623" t="s">
        <v>257</v>
      </c>
      <c r="L18" s="623"/>
      <c r="M18" s="623"/>
      <c r="N18" s="623"/>
      <c r="O18" s="623"/>
      <c r="P18" s="623"/>
      <c r="Q18" s="623"/>
      <c r="R18" s="623"/>
      <c r="S18" s="623"/>
      <c r="T18" s="623"/>
      <c r="U18" s="623"/>
      <c r="V18" s="623"/>
      <c r="W18" s="623"/>
      <c r="X18" s="197" t="s">
        <v>258</v>
      </c>
      <c r="Y18" s="191"/>
      <c r="Z18" s="191"/>
      <c r="AA18" s="191"/>
      <c r="AB18" s="191"/>
      <c r="AC18" s="191"/>
      <c r="AD18" s="191"/>
      <c r="AE18" s="191"/>
      <c r="AH18" s="187"/>
      <c r="AI18" s="6"/>
    </row>
    <row r="19" spans="1:35" s="188" customFormat="1" ht="8.25" customHeight="1">
      <c r="A19" s="199"/>
      <c r="B19" s="199"/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200"/>
      <c r="S19" s="200"/>
      <c r="T19" s="200"/>
      <c r="U19" s="200"/>
      <c r="V19" s="200"/>
      <c r="W19" s="200"/>
      <c r="X19" s="201"/>
      <c r="Y19" s="200"/>
      <c r="Z19" s="200"/>
      <c r="AA19" s="200"/>
      <c r="AB19" s="200"/>
      <c r="AC19" s="200"/>
      <c r="AD19" s="200"/>
      <c r="AE19" s="200"/>
      <c r="AH19" s="187"/>
      <c r="AI19" s="6"/>
    </row>
    <row r="20" spans="1:35" ht="21" customHeight="1">
      <c r="A20" s="617" t="s">
        <v>90</v>
      </c>
      <c r="B20" s="617" t="s">
        <v>259</v>
      </c>
      <c r="C20" s="619" t="s">
        <v>260</v>
      </c>
      <c r="D20" s="617" t="s">
        <v>465</v>
      </c>
      <c r="E20" s="617" t="s">
        <v>261</v>
      </c>
      <c r="F20" s="617" t="s">
        <v>262</v>
      </c>
      <c r="G20" s="619" t="s">
        <v>263</v>
      </c>
      <c r="H20" s="625" t="s">
        <v>264</v>
      </c>
      <c r="I20" s="617" t="s">
        <v>265</v>
      </c>
      <c r="J20" s="617" t="s">
        <v>241</v>
      </c>
      <c r="K20" s="625" t="s">
        <v>266</v>
      </c>
      <c r="L20" s="625" t="s">
        <v>267</v>
      </c>
      <c r="M20" s="627" t="s">
        <v>268</v>
      </c>
      <c r="N20" s="627" t="s">
        <v>269</v>
      </c>
      <c r="O20" s="625" t="s">
        <v>270</v>
      </c>
      <c r="P20" s="625" t="s">
        <v>271</v>
      </c>
      <c r="Q20" s="619" t="s">
        <v>272</v>
      </c>
      <c r="R20" s="624" t="s">
        <v>273</v>
      </c>
      <c r="S20" s="624"/>
      <c r="T20" s="624"/>
      <c r="U20" s="624"/>
      <c r="V20" s="624"/>
      <c r="W20" s="624"/>
      <c r="X20" s="624"/>
      <c r="Y20" s="624"/>
      <c r="Z20" s="619" t="s">
        <v>274</v>
      </c>
      <c r="AA20" s="619" t="s">
        <v>275</v>
      </c>
      <c r="AB20" s="617" t="s">
        <v>464</v>
      </c>
      <c r="AC20" s="619" t="s">
        <v>276</v>
      </c>
      <c r="AD20" s="619" t="s">
        <v>277</v>
      </c>
      <c r="AE20" s="619" t="s">
        <v>278</v>
      </c>
      <c r="AH20" s="187"/>
      <c r="AI20" s="6"/>
    </row>
    <row r="21" spans="1:31" ht="76.5" customHeight="1">
      <c r="A21" s="618"/>
      <c r="B21" s="618"/>
      <c r="C21" s="619"/>
      <c r="D21" s="618"/>
      <c r="E21" s="618"/>
      <c r="F21" s="618"/>
      <c r="G21" s="619"/>
      <c r="H21" s="626"/>
      <c r="I21" s="618"/>
      <c r="J21" s="618"/>
      <c r="K21" s="626"/>
      <c r="L21" s="626"/>
      <c r="M21" s="627"/>
      <c r="N21" s="627"/>
      <c r="O21" s="626"/>
      <c r="P21" s="626"/>
      <c r="Q21" s="619"/>
      <c r="R21" s="376" t="s">
        <v>279</v>
      </c>
      <c r="S21" s="376" t="s">
        <v>280</v>
      </c>
      <c r="T21" s="376" t="s">
        <v>281</v>
      </c>
      <c r="U21" s="376" t="s">
        <v>282</v>
      </c>
      <c r="V21" s="376" t="s">
        <v>283</v>
      </c>
      <c r="W21" s="374" t="s">
        <v>284</v>
      </c>
      <c r="X21" s="376" t="s">
        <v>285</v>
      </c>
      <c r="Y21" s="374" t="s">
        <v>286</v>
      </c>
      <c r="Z21" s="619"/>
      <c r="AA21" s="619"/>
      <c r="AB21" s="618"/>
      <c r="AC21" s="619"/>
      <c r="AD21" s="619"/>
      <c r="AE21" s="619"/>
    </row>
    <row r="22" spans="1:31" s="186" customFormat="1" ht="22.5" customHeight="1">
      <c r="A22" s="202">
        <v>1</v>
      </c>
      <c r="B22" s="202" t="s">
        <v>287</v>
      </c>
      <c r="C22" s="203">
        <v>2</v>
      </c>
      <c r="D22" s="204"/>
      <c r="E22" s="204">
        <v>3</v>
      </c>
      <c r="F22" s="204" t="s">
        <v>288</v>
      </c>
      <c r="G22" s="203">
        <v>4</v>
      </c>
      <c r="H22" s="203">
        <v>5</v>
      </c>
      <c r="I22" s="203">
        <v>6</v>
      </c>
      <c r="J22" s="203">
        <v>7</v>
      </c>
      <c r="K22" s="203">
        <v>8</v>
      </c>
      <c r="L22" s="203">
        <v>9</v>
      </c>
      <c r="M22" s="203">
        <v>10</v>
      </c>
      <c r="N22" s="203" t="s">
        <v>289</v>
      </c>
      <c r="O22" s="203" t="s">
        <v>290</v>
      </c>
      <c r="P22" s="203" t="s">
        <v>291</v>
      </c>
      <c r="Q22" s="203">
        <v>11</v>
      </c>
      <c r="R22" s="203">
        <v>12</v>
      </c>
      <c r="S22" s="203">
        <v>13</v>
      </c>
      <c r="T22" s="203">
        <v>14</v>
      </c>
      <c r="U22" s="203">
        <v>15</v>
      </c>
      <c r="V22" s="203">
        <v>16</v>
      </c>
      <c r="W22" s="205">
        <v>17</v>
      </c>
      <c r="X22" s="203">
        <v>18</v>
      </c>
      <c r="Y22" s="203">
        <v>19</v>
      </c>
      <c r="Z22" s="203">
        <v>20</v>
      </c>
      <c r="AA22" s="203">
        <v>21</v>
      </c>
      <c r="AB22" s="203">
        <v>22</v>
      </c>
      <c r="AC22" s="203">
        <v>23</v>
      </c>
      <c r="AD22" s="203">
        <v>24</v>
      </c>
      <c r="AE22" s="203">
        <v>25</v>
      </c>
    </row>
    <row r="23" spans="1:35" s="413" customFormat="1" ht="83.25" customHeight="1">
      <c r="A23" s="402">
        <v>1</v>
      </c>
      <c r="B23" s="402" t="s">
        <v>292</v>
      </c>
      <c r="C23" s="403" t="s">
        <v>293</v>
      </c>
      <c r="D23" s="403" t="s">
        <v>395</v>
      </c>
      <c r="E23" s="404">
        <v>760</v>
      </c>
      <c r="F23" s="405">
        <v>23560</v>
      </c>
      <c r="G23" s="406">
        <v>26</v>
      </c>
      <c r="H23" s="407"/>
      <c r="I23" s="405">
        <v>19760</v>
      </c>
      <c r="J23" s="405"/>
      <c r="K23" s="402"/>
      <c r="L23" s="402"/>
      <c r="M23" s="402"/>
      <c r="N23" s="402"/>
      <c r="O23" s="402">
        <v>1646</v>
      </c>
      <c r="P23" s="402">
        <v>950</v>
      </c>
      <c r="Q23" s="408">
        <v>22356</v>
      </c>
      <c r="R23" s="405">
        <v>1800</v>
      </c>
      <c r="S23" s="402">
        <v>149</v>
      </c>
      <c r="T23" s="402"/>
      <c r="U23" s="402"/>
      <c r="V23" s="402"/>
      <c r="W23" s="402"/>
      <c r="X23" s="405"/>
      <c r="Y23" s="408">
        <v>1949</v>
      </c>
      <c r="Z23" s="409">
        <v>20407</v>
      </c>
      <c r="AA23" s="405">
        <f>IF(I23&gt;15000,15000*13%,I23*13%)</f>
        <v>1950</v>
      </c>
      <c r="AB23" s="405">
        <f>IF(I23&gt;21000,21000*3.25%,I23*3.25%)</f>
        <v>642.20000000000005</v>
      </c>
      <c r="AC23" s="410" t="s">
        <v>462</v>
      </c>
      <c r="AD23" s="410" t="s">
        <v>496</v>
      </c>
      <c r="AE23" s="411" t="s">
        <v>461</v>
      </c>
      <c r="AF23" s="412"/>
      <c r="AG23" s="412"/>
      <c r="AH23" s="412"/>
      <c r="AI23" s="412"/>
    </row>
    <row r="24" spans="1:35" s="413" customFormat="1" ht="83.25" customHeight="1">
      <c r="A24" s="402">
        <f>A23+1</f>
        <v>2</v>
      </c>
      <c r="B24" s="402" t="s">
        <v>466</v>
      </c>
      <c r="C24" s="403" t="s">
        <v>487</v>
      </c>
      <c r="D24" s="403" t="s">
        <v>395</v>
      </c>
      <c r="E24" s="404">
        <v>674</v>
      </c>
      <c r="F24" s="405">
        <v>20894</v>
      </c>
      <c r="G24" s="406">
        <v>26</v>
      </c>
      <c r="H24" s="407"/>
      <c r="I24" s="405">
        <v>17524</v>
      </c>
      <c r="J24" s="405"/>
      <c r="K24" s="402"/>
      <c r="L24" s="402"/>
      <c r="M24" s="402"/>
      <c r="N24" s="402"/>
      <c r="O24" s="402">
        <v>1460</v>
      </c>
      <c r="P24" s="402">
        <v>843</v>
      </c>
      <c r="Q24" s="408">
        <v>19827</v>
      </c>
      <c r="R24" s="405">
        <v>1800</v>
      </c>
      <c r="S24" s="402">
        <v>132</v>
      </c>
      <c r="T24" s="402"/>
      <c r="U24" s="402"/>
      <c r="V24" s="402"/>
      <c r="W24" s="402"/>
      <c r="X24" s="405"/>
      <c r="Y24" s="408">
        <v>1932</v>
      </c>
      <c r="Z24" s="409">
        <v>17895</v>
      </c>
      <c r="AA24" s="405">
        <f t="shared" si="0" ref="AA24:AA64">IF(I24&gt;15000,15000*13%,I24*13%)</f>
        <v>1950</v>
      </c>
      <c r="AB24" s="405">
        <f>IF(I24&gt;21000,21000*3.25%,I24*3.25%)</f>
        <v>569.52999999999997</v>
      </c>
      <c r="AC24" s="410" t="s">
        <v>462</v>
      </c>
      <c r="AD24" s="410" t="s">
        <v>496</v>
      </c>
      <c r="AE24" s="411" t="s">
        <v>461</v>
      </c>
      <c r="AF24" s="412"/>
      <c r="AG24" s="412"/>
      <c r="AH24" s="412"/>
      <c r="AI24" s="412"/>
    </row>
    <row r="25" spans="1:35" s="413" customFormat="1" ht="83.25" customHeight="1" hidden="1">
      <c r="A25" s="402">
        <v>1</v>
      </c>
      <c r="B25" s="402" t="s">
        <v>214</v>
      </c>
      <c r="C25" s="403" t="s">
        <v>294</v>
      </c>
      <c r="D25" s="403" t="s">
        <v>351</v>
      </c>
      <c r="E25" s="404">
        <v>893</v>
      </c>
      <c r="F25" s="405">
        <v>27683</v>
      </c>
      <c r="G25" s="406">
        <v>26</v>
      </c>
      <c r="H25" s="407"/>
      <c r="I25" s="405">
        <v>23218</v>
      </c>
      <c r="J25" s="405"/>
      <c r="K25" s="402"/>
      <c r="L25" s="402"/>
      <c r="M25" s="402"/>
      <c r="N25" s="402"/>
      <c r="O25" s="402">
        <v>1934</v>
      </c>
      <c r="P25" s="402">
        <v>1117</v>
      </c>
      <c r="Q25" s="408">
        <v>26269</v>
      </c>
      <c r="R25" s="405">
        <v>1800</v>
      </c>
      <c r="S25" s="402"/>
      <c r="T25" s="402"/>
      <c r="U25" s="402"/>
      <c r="V25" s="402"/>
      <c r="W25" s="402"/>
      <c r="X25" s="405"/>
      <c r="Y25" s="408">
        <v>1800</v>
      </c>
      <c r="Z25" s="409">
        <v>24469</v>
      </c>
      <c r="AA25" s="405">
        <f t="shared" si="0"/>
        <v>1950</v>
      </c>
      <c r="AB25" s="405"/>
      <c r="AC25" s="410" t="s">
        <v>462</v>
      </c>
      <c r="AD25" s="410" t="s">
        <v>496</v>
      </c>
      <c r="AE25" s="411" t="s">
        <v>461</v>
      </c>
      <c r="AF25" s="412"/>
      <c r="AG25" s="412"/>
      <c r="AH25" s="412"/>
      <c r="AI25" s="412"/>
    </row>
    <row r="26" spans="1:35" s="413" customFormat="1" ht="83.25" customHeight="1">
      <c r="A26" s="402">
        <f t="shared" si="1" ref="A26:A63">A25+1</f>
        <v>2</v>
      </c>
      <c r="B26" s="402" t="s">
        <v>295</v>
      </c>
      <c r="C26" s="403" t="s">
        <v>296</v>
      </c>
      <c r="D26" s="403" t="s">
        <v>395</v>
      </c>
      <c r="E26" s="404">
        <v>760</v>
      </c>
      <c r="F26" s="405">
        <v>23560</v>
      </c>
      <c r="G26" s="406">
        <v>26</v>
      </c>
      <c r="H26" s="407"/>
      <c r="I26" s="405">
        <v>19760</v>
      </c>
      <c r="J26" s="405"/>
      <c r="K26" s="402"/>
      <c r="L26" s="402"/>
      <c r="M26" s="402"/>
      <c r="N26" s="402"/>
      <c r="O26" s="402">
        <v>1646</v>
      </c>
      <c r="P26" s="402">
        <v>950</v>
      </c>
      <c r="Q26" s="408">
        <v>22356</v>
      </c>
      <c r="R26" s="405">
        <v>1800</v>
      </c>
      <c r="S26" s="402">
        <v>149</v>
      </c>
      <c r="T26" s="402"/>
      <c r="U26" s="402"/>
      <c r="V26" s="402"/>
      <c r="W26" s="402"/>
      <c r="X26" s="405"/>
      <c r="Y26" s="408">
        <v>1949</v>
      </c>
      <c r="Z26" s="409">
        <v>20407</v>
      </c>
      <c r="AA26" s="405">
        <f t="shared" si="0"/>
        <v>1950</v>
      </c>
      <c r="AB26" s="405">
        <f>IF(I26&gt;21000,21000*3.25%,I26*3.25%)</f>
        <v>642.20000000000005</v>
      </c>
      <c r="AC26" s="410" t="s">
        <v>460</v>
      </c>
      <c r="AD26" s="410" t="s">
        <v>496</v>
      </c>
      <c r="AE26" s="411" t="s">
        <v>461</v>
      </c>
      <c r="AF26" s="412"/>
      <c r="AG26" s="412"/>
      <c r="AH26" s="412"/>
      <c r="AI26" s="412"/>
    </row>
    <row r="27" spans="1:35" s="413" customFormat="1" ht="83.25" customHeight="1">
      <c r="A27" s="402">
        <f t="shared" si="1"/>
        <v>3</v>
      </c>
      <c r="B27" s="402" t="s">
        <v>297</v>
      </c>
      <c r="C27" s="403" t="s">
        <v>298</v>
      </c>
      <c r="D27" s="403" t="s">
        <v>393</v>
      </c>
      <c r="E27" s="404">
        <v>981</v>
      </c>
      <c r="F27" s="405">
        <v>30411</v>
      </c>
      <c r="G27" s="406">
        <v>26</v>
      </c>
      <c r="H27" s="407">
        <v>6.1162079510703</v>
      </c>
      <c r="I27" s="405">
        <v>25506</v>
      </c>
      <c r="J27" s="405"/>
      <c r="K27" s="402">
        <v>1500</v>
      </c>
      <c r="L27" s="402"/>
      <c r="M27" s="402"/>
      <c r="N27" s="402"/>
      <c r="O27" s="402">
        <v>2125</v>
      </c>
      <c r="P27" s="402">
        <v>1227</v>
      </c>
      <c r="Q27" s="408">
        <v>30358</v>
      </c>
      <c r="R27" s="405">
        <v>1800</v>
      </c>
      <c r="S27" s="402"/>
      <c r="T27" s="402"/>
      <c r="U27" s="402"/>
      <c r="V27" s="402"/>
      <c r="W27" s="402"/>
      <c r="X27" s="405"/>
      <c r="Y27" s="408">
        <v>1800</v>
      </c>
      <c r="Z27" s="409">
        <v>28558</v>
      </c>
      <c r="AA27" s="405">
        <f t="shared" si="0"/>
        <v>1950</v>
      </c>
      <c r="AB27" s="405"/>
      <c r="AC27" s="410" t="s">
        <v>462</v>
      </c>
      <c r="AD27" s="410" t="s">
        <v>496</v>
      </c>
      <c r="AE27" s="411" t="s">
        <v>461</v>
      </c>
      <c r="AF27" s="412"/>
      <c r="AG27" s="412"/>
      <c r="AH27" s="412"/>
      <c r="AI27" s="412"/>
    </row>
    <row r="28" spans="1:35" s="413" customFormat="1" ht="83.25" customHeight="1" hidden="1">
      <c r="A28" s="402">
        <v>2</v>
      </c>
      <c r="B28" s="402" t="s">
        <v>223</v>
      </c>
      <c r="C28" s="403" t="s">
        <v>299</v>
      </c>
      <c r="D28" s="403" t="s">
        <v>352</v>
      </c>
      <c r="E28" s="404">
        <v>760</v>
      </c>
      <c r="F28" s="405">
        <v>23560</v>
      </c>
      <c r="G28" s="406">
        <v>26</v>
      </c>
      <c r="H28" s="407"/>
      <c r="I28" s="405">
        <v>19760</v>
      </c>
      <c r="J28" s="405"/>
      <c r="K28" s="402"/>
      <c r="L28" s="402"/>
      <c r="M28" s="402"/>
      <c r="N28" s="402"/>
      <c r="O28" s="402">
        <v>1646</v>
      </c>
      <c r="P28" s="402">
        <v>950</v>
      </c>
      <c r="Q28" s="408">
        <v>22356</v>
      </c>
      <c r="R28" s="405">
        <v>1800</v>
      </c>
      <c r="S28" s="402">
        <v>149</v>
      </c>
      <c r="T28" s="402"/>
      <c r="U28" s="402"/>
      <c r="V28" s="402"/>
      <c r="W28" s="402"/>
      <c r="X28" s="405"/>
      <c r="Y28" s="408">
        <v>1949</v>
      </c>
      <c r="Z28" s="409">
        <v>20407</v>
      </c>
      <c r="AA28" s="405">
        <f t="shared" si="0"/>
        <v>1950</v>
      </c>
      <c r="AB28" s="405">
        <f>IF(I28&gt;21000,21000*3.25%,I28*3.25%)</f>
        <v>642.20000000000005</v>
      </c>
      <c r="AC28" s="410" t="s">
        <v>462</v>
      </c>
      <c r="AD28" s="410" t="s">
        <v>496</v>
      </c>
      <c r="AE28" s="411" t="s">
        <v>461</v>
      </c>
      <c r="AF28" s="412"/>
      <c r="AG28" s="412"/>
      <c r="AH28" s="412"/>
      <c r="AI28" s="412"/>
    </row>
    <row r="29" spans="1:35" s="413" customFormat="1" ht="83.25" customHeight="1">
      <c r="A29" s="402">
        <f t="shared" si="1"/>
        <v>3</v>
      </c>
      <c r="B29" s="402" t="s">
        <v>300</v>
      </c>
      <c r="C29" s="403" t="s">
        <v>301</v>
      </c>
      <c r="D29" s="403" t="s">
        <v>394</v>
      </c>
      <c r="E29" s="404">
        <v>893</v>
      </c>
      <c r="F29" s="405">
        <v>27683</v>
      </c>
      <c r="G29" s="406">
        <v>26</v>
      </c>
      <c r="H29" s="407"/>
      <c r="I29" s="405">
        <v>23218</v>
      </c>
      <c r="J29" s="405"/>
      <c r="K29" s="402"/>
      <c r="L29" s="402"/>
      <c r="M29" s="402"/>
      <c r="N29" s="402"/>
      <c r="O29" s="402">
        <v>1934</v>
      </c>
      <c r="P29" s="402">
        <v>1117</v>
      </c>
      <c r="Q29" s="408">
        <v>26269</v>
      </c>
      <c r="R29" s="405">
        <v>1800</v>
      </c>
      <c r="S29" s="402"/>
      <c r="T29" s="402"/>
      <c r="U29" s="402"/>
      <c r="V29" s="402"/>
      <c r="W29" s="402"/>
      <c r="X29" s="405"/>
      <c r="Y29" s="408">
        <v>1800</v>
      </c>
      <c r="Z29" s="409">
        <v>24469</v>
      </c>
      <c r="AA29" s="405">
        <f t="shared" si="0"/>
        <v>1950</v>
      </c>
      <c r="AB29" s="405"/>
      <c r="AC29" s="410" t="s">
        <v>460</v>
      </c>
      <c r="AD29" s="410" t="s">
        <v>496</v>
      </c>
      <c r="AE29" s="411" t="s">
        <v>461</v>
      </c>
      <c r="AF29" s="412"/>
      <c r="AG29" s="412"/>
      <c r="AH29" s="412"/>
      <c r="AI29" s="412"/>
    </row>
    <row r="30" spans="1:35" s="413" customFormat="1" ht="83.25" customHeight="1" hidden="1">
      <c r="A30" s="402">
        <v>3</v>
      </c>
      <c r="B30" s="402" t="s">
        <v>212</v>
      </c>
      <c r="C30" s="403" t="s">
        <v>302</v>
      </c>
      <c r="D30" s="403" t="s">
        <v>350</v>
      </c>
      <c r="E30" s="404">
        <v>981</v>
      </c>
      <c r="F30" s="405">
        <v>30411</v>
      </c>
      <c r="G30" s="406">
        <v>26</v>
      </c>
      <c r="H30" s="407">
        <v>6.1162079510703</v>
      </c>
      <c r="I30" s="405">
        <v>25506</v>
      </c>
      <c r="J30" s="405"/>
      <c r="K30" s="402">
        <v>1500</v>
      </c>
      <c r="L30" s="402"/>
      <c r="M30" s="402"/>
      <c r="N30" s="402"/>
      <c r="O30" s="402">
        <v>2125</v>
      </c>
      <c r="P30" s="402">
        <v>1227</v>
      </c>
      <c r="Q30" s="408">
        <v>30358</v>
      </c>
      <c r="R30" s="405">
        <v>1800</v>
      </c>
      <c r="S30" s="402"/>
      <c r="T30" s="402"/>
      <c r="U30" s="402"/>
      <c r="V30" s="402"/>
      <c r="W30" s="402"/>
      <c r="X30" s="405"/>
      <c r="Y30" s="408">
        <v>1800</v>
      </c>
      <c r="Z30" s="409">
        <v>28558</v>
      </c>
      <c r="AA30" s="405">
        <f t="shared" si="0"/>
        <v>1950</v>
      </c>
      <c r="AB30" s="405"/>
      <c r="AC30" s="410" t="s">
        <v>460</v>
      </c>
      <c r="AD30" s="410" t="s">
        <v>496</v>
      </c>
      <c r="AE30" s="411" t="s">
        <v>461</v>
      </c>
      <c r="AF30" s="412"/>
      <c r="AG30" s="412"/>
      <c r="AH30" s="412"/>
      <c r="AI30" s="412"/>
    </row>
    <row r="31" spans="1:35" s="413" customFormat="1" ht="83.25" customHeight="1" hidden="1">
      <c r="A31" s="402">
        <v>4</v>
      </c>
      <c r="B31" s="402" t="s">
        <v>224</v>
      </c>
      <c r="C31" s="403" t="s">
        <v>303</v>
      </c>
      <c r="D31" s="403" t="s">
        <v>352</v>
      </c>
      <c r="E31" s="404">
        <v>760</v>
      </c>
      <c r="F31" s="405">
        <v>23560</v>
      </c>
      <c r="G31" s="406">
        <v>26</v>
      </c>
      <c r="H31" s="407"/>
      <c r="I31" s="405">
        <v>19760</v>
      </c>
      <c r="J31" s="405"/>
      <c r="K31" s="402"/>
      <c r="L31" s="402"/>
      <c r="M31" s="402"/>
      <c r="N31" s="402"/>
      <c r="O31" s="402">
        <v>1646</v>
      </c>
      <c r="P31" s="402">
        <v>950</v>
      </c>
      <c r="Q31" s="408">
        <v>22356</v>
      </c>
      <c r="R31" s="405">
        <v>1800</v>
      </c>
      <c r="S31" s="402">
        <v>149</v>
      </c>
      <c r="T31" s="402"/>
      <c r="U31" s="402"/>
      <c r="V31" s="402"/>
      <c r="W31" s="402"/>
      <c r="X31" s="405"/>
      <c r="Y31" s="408">
        <v>1949</v>
      </c>
      <c r="Z31" s="409">
        <v>20407</v>
      </c>
      <c r="AA31" s="405">
        <f t="shared" si="0"/>
        <v>1950</v>
      </c>
      <c r="AB31" s="405">
        <f>IF(I31&gt;21000,21000*3.25%,I31*3.25%)</f>
        <v>642.20000000000005</v>
      </c>
      <c r="AC31" s="410" t="s">
        <v>460</v>
      </c>
      <c r="AD31" s="410" t="s">
        <v>496</v>
      </c>
      <c r="AE31" s="411" t="s">
        <v>461</v>
      </c>
      <c r="AF31" s="412"/>
      <c r="AG31" s="412"/>
      <c r="AH31" s="412"/>
      <c r="AI31" s="412"/>
    </row>
    <row r="32" spans="1:35" s="413" customFormat="1" ht="83.25" customHeight="1">
      <c r="A32" s="402">
        <f t="shared" si="1"/>
        <v>5</v>
      </c>
      <c r="B32" s="402" t="s">
        <v>488</v>
      </c>
      <c r="C32" s="403" t="s">
        <v>482</v>
      </c>
      <c r="D32" s="403" t="s">
        <v>395</v>
      </c>
      <c r="E32" s="404">
        <v>760</v>
      </c>
      <c r="F32" s="405">
        <v>23560</v>
      </c>
      <c r="G32" s="406">
        <v>26</v>
      </c>
      <c r="H32" s="407"/>
      <c r="I32" s="405">
        <v>19760</v>
      </c>
      <c r="J32" s="405"/>
      <c r="K32" s="402"/>
      <c r="L32" s="402"/>
      <c r="M32" s="402"/>
      <c r="N32" s="402"/>
      <c r="O32" s="402">
        <v>1646</v>
      </c>
      <c r="P32" s="402">
        <v>950</v>
      </c>
      <c r="Q32" s="408">
        <v>22356</v>
      </c>
      <c r="R32" s="405">
        <v>1800</v>
      </c>
      <c r="S32" s="402">
        <v>149</v>
      </c>
      <c r="T32" s="402"/>
      <c r="U32" s="402"/>
      <c r="V32" s="402"/>
      <c r="W32" s="402"/>
      <c r="X32" s="405"/>
      <c r="Y32" s="408">
        <v>1949</v>
      </c>
      <c r="Z32" s="409">
        <v>20407</v>
      </c>
      <c r="AA32" s="405">
        <f t="shared" si="0"/>
        <v>1950</v>
      </c>
      <c r="AB32" s="405">
        <f>IF(I32&gt;21000,21000*3.25%,I32*3.25%)</f>
        <v>642.20000000000005</v>
      </c>
      <c r="AC32" s="410" t="s">
        <v>462</v>
      </c>
      <c r="AD32" s="410" t="s">
        <v>496</v>
      </c>
      <c r="AE32" s="411" t="s">
        <v>461</v>
      </c>
      <c r="AF32" s="412"/>
      <c r="AG32" s="412"/>
      <c r="AH32" s="412"/>
      <c r="AI32" s="412"/>
    </row>
    <row r="33" spans="1:35" s="413" customFormat="1" ht="83.25" customHeight="1">
      <c r="A33" s="402">
        <f t="shared" si="1"/>
        <v>6</v>
      </c>
      <c r="B33" s="402" t="s">
        <v>304</v>
      </c>
      <c r="C33" s="403" t="s">
        <v>305</v>
      </c>
      <c r="D33" s="403" t="s">
        <v>395</v>
      </c>
      <c r="E33" s="404">
        <v>760</v>
      </c>
      <c r="F33" s="405">
        <v>23560</v>
      </c>
      <c r="G33" s="406">
        <v>26</v>
      </c>
      <c r="H33" s="407"/>
      <c r="I33" s="405">
        <v>19760</v>
      </c>
      <c r="J33" s="405"/>
      <c r="K33" s="402"/>
      <c r="L33" s="402"/>
      <c r="M33" s="402"/>
      <c r="N33" s="402"/>
      <c r="O33" s="402">
        <v>1646</v>
      </c>
      <c r="P33" s="402">
        <v>950</v>
      </c>
      <c r="Q33" s="408">
        <v>22356</v>
      </c>
      <c r="R33" s="405">
        <v>1800</v>
      </c>
      <c r="S33" s="402">
        <v>149</v>
      </c>
      <c r="T33" s="402"/>
      <c r="U33" s="402"/>
      <c r="V33" s="402"/>
      <c r="W33" s="402"/>
      <c r="X33" s="405"/>
      <c r="Y33" s="408">
        <v>1949</v>
      </c>
      <c r="Z33" s="409">
        <v>20407</v>
      </c>
      <c r="AA33" s="405">
        <f t="shared" si="0"/>
        <v>1950</v>
      </c>
      <c r="AB33" s="405">
        <f>IF(I33&gt;21000,21000*3.25%,I33*3.25%)</f>
        <v>642.20000000000005</v>
      </c>
      <c r="AC33" s="410" t="s">
        <v>460</v>
      </c>
      <c r="AD33" s="410" t="s">
        <v>496</v>
      </c>
      <c r="AE33" s="411" t="s">
        <v>461</v>
      </c>
      <c r="AF33" s="412"/>
      <c r="AG33" s="412"/>
      <c r="AH33" s="412"/>
      <c r="AI33" s="412"/>
    </row>
    <row r="34" spans="1:35" s="413" customFormat="1" ht="83.25" customHeight="1">
      <c r="A34" s="402">
        <f t="shared" si="1"/>
        <v>7</v>
      </c>
      <c r="B34" s="402" t="s">
        <v>489</v>
      </c>
      <c r="C34" s="403" t="s">
        <v>490</v>
      </c>
      <c r="D34" s="403" t="s">
        <v>396</v>
      </c>
      <c r="E34" s="404">
        <v>674</v>
      </c>
      <c r="F34" s="405">
        <v>20894</v>
      </c>
      <c r="G34" s="406">
        <v>26</v>
      </c>
      <c r="H34" s="407"/>
      <c r="I34" s="405">
        <v>17524</v>
      </c>
      <c r="J34" s="405"/>
      <c r="K34" s="402"/>
      <c r="L34" s="402"/>
      <c r="M34" s="402"/>
      <c r="N34" s="402"/>
      <c r="O34" s="402">
        <v>1460</v>
      </c>
      <c r="P34" s="402">
        <v>843</v>
      </c>
      <c r="Q34" s="408">
        <v>19827</v>
      </c>
      <c r="R34" s="405">
        <v>1800</v>
      </c>
      <c r="S34" s="402">
        <v>132</v>
      </c>
      <c r="T34" s="402"/>
      <c r="U34" s="402"/>
      <c r="V34" s="402"/>
      <c r="W34" s="402"/>
      <c r="X34" s="405"/>
      <c r="Y34" s="408">
        <v>1932</v>
      </c>
      <c r="Z34" s="409">
        <v>17895</v>
      </c>
      <c r="AA34" s="405">
        <f>IF(I34&gt;15000,15000*13%,I34*13%)</f>
        <v>1950</v>
      </c>
      <c r="AB34" s="405">
        <f>IF(I34&gt;21000,21000*3.25%,I34*3.25%)</f>
        <v>569.52999999999997</v>
      </c>
      <c r="AC34" s="410" t="s">
        <v>462</v>
      </c>
      <c r="AD34" s="410" t="s">
        <v>496</v>
      </c>
      <c r="AE34" s="411" t="s">
        <v>461</v>
      </c>
      <c r="AF34" s="412"/>
      <c r="AG34" s="412"/>
      <c r="AH34" s="412"/>
      <c r="AI34" s="412"/>
    </row>
    <row r="35" spans="1:35" s="413" customFormat="1" ht="83.25" customHeight="1">
      <c r="A35" s="402">
        <f t="shared" si="1"/>
        <v>8</v>
      </c>
      <c r="B35" s="402" t="s">
        <v>306</v>
      </c>
      <c r="C35" s="403" t="s">
        <v>307</v>
      </c>
      <c r="D35" s="403" t="s">
        <v>394</v>
      </c>
      <c r="E35" s="404">
        <v>893</v>
      </c>
      <c r="F35" s="405">
        <v>27683</v>
      </c>
      <c r="G35" s="406">
        <v>26</v>
      </c>
      <c r="H35" s="407"/>
      <c r="I35" s="405">
        <v>23218</v>
      </c>
      <c r="J35" s="405"/>
      <c r="K35" s="402"/>
      <c r="L35" s="402"/>
      <c r="M35" s="402"/>
      <c r="N35" s="402"/>
      <c r="O35" s="402">
        <v>1934</v>
      </c>
      <c r="P35" s="402">
        <v>1117</v>
      </c>
      <c r="Q35" s="408">
        <v>26269</v>
      </c>
      <c r="R35" s="405">
        <v>1800</v>
      </c>
      <c r="S35" s="402"/>
      <c r="T35" s="402"/>
      <c r="U35" s="402"/>
      <c r="V35" s="402"/>
      <c r="W35" s="402"/>
      <c r="X35" s="405"/>
      <c r="Y35" s="408">
        <v>1800</v>
      </c>
      <c r="Z35" s="409">
        <v>24469</v>
      </c>
      <c r="AA35" s="405">
        <f t="shared" si="0"/>
        <v>1950</v>
      </c>
      <c r="AB35" s="405"/>
      <c r="AC35" s="410" t="s">
        <v>462</v>
      </c>
      <c r="AD35" s="410" t="s">
        <v>496</v>
      </c>
      <c r="AE35" s="411" t="s">
        <v>461</v>
      </c>
      <c r="AF35" s="412"/>
      <c r="AG35" s="412"/>
      <c r="AH35" s="412"/>
      <c r="AI35" s="412"/>
    </row>
    <row r="36" spans="1:35" s="413" customFormat="1" ht="83.25" customHeight="1" hidden="1">
      <c r="A36" s="402">
        <v>5</v>
      </c>
      <c r="B36" s="402" t="s">
        <v>225</v>
      </c>
      <c r="C36" s="403" t="s">
        <v>308</v>
      </c>
      <c r="D36" s="403" t="s">
        <v>352</v>
      </c>
      <c r="E36" s="404">
        <v>760</v>
      </c>
      <c r="F36" s="405">
        <v>23560</v>
      </c>
      <c r="G36" s="406">
        <v>26</v>
      </c>
      <c r="H36" s="407">
        <v>7.8947368421053001</v>
      </c>
      <c r="I36" s="405">
        <v>19760</v>
      </c>
      <c r="J36" s="405"/>
      <c r="K36" s="402">
        <v>1500</v>
      </c>
      <c r="L36" s="402"/>
      <c r="M36" s="402"/>
      <c r="N36" s="402"/>
      <c r="O36" s="402">
        <v>1646</v>
      </c>
      <c r="P36" s="402">
        <v>950</v>
      </c>
      <c r="Q36" s="408">
        <v>23856</v>
      </c>
      <c r="R36" s="405">
        <v>1800</v>
      </c>
      <c r="S36" s="402">
        <v>149</v>
      </c>
      <c r="T36" s="402"/>
      <c r="U36" s="402"/>
      <c r="V36" s="402"/>
      <c r="W36" s="402"/>
      <c r="X36" s="405"/>
      <c r="Y36" s="408">
        <v>1949</v>
      </c>
      <c r="Z36" s="409">
        <v>21907</v>
      </c>
      <c r="AA36" s="405">
        <f t="shared" si="0"/>
        <v>1950</v>
      </c>
      <c r="AB36" s="405">
        <f>IF(I36&gt;21000,21000*3.25%,I36*3.25%)</f>
        <v>642.20000000000005</v>
      </c>
      <c r="AC36" s="410" t="s">
        <v>460</v>
      </c>
      <c r="AD36" s="410" t="s">
        <v>496</v>
      </c>
      <c r="AE36" s="411" t="s">
        <v>461</v>
      </c>
      <c r="AF36" s="412"/>
      <c r="AG36" s="412"/>
      <c r="AH36" s="412"/>
      <c r="AI36" s="412"/>
    </row>
    <row r="37" spans="1:35" s="413" customFormat="1" ht="83.25" customHeight="1">
      <c r="A37" s="402">
        <f t="shared" si="1"/>
        <v>6</v>
      </c>
      <c r="B37" s="402" t="s">
        <v>309</v>
      </c>
      <c r="C37" s="403" t="s">
        <v>310</v>
      </c>
      <c r="D37" s="403" t="s">
        <v>395</v>
      </c>
      <c r="E37" s="404">
        <v>760</v>
      </c>
      <c r="F37" s="405">
        <v>23560</v>
      </c>
      <c r="G37" s="406">
        <v>26</v>
      </c>
      <c r="H37" s="407">
        <v>7.90</v>
      </c>
      <c r="I37" s="405">
        <v>19760</v>
      </c>
      <c r="J37" s="405"/>
      <c r="K37" s="402">
        <v>1501</v>
      </c>
      <c r="L37" s="402"/>
      <c r="M37" s="402"/>
      <c r="N37" s="402"/>
      <c r="O37" s="402">
        <v>1646</v>
      </c>
      <c r="P37" s="402">
        <v>950</v>
      </c>
      <c r="Q37" s="408">
        <v>23857</v>
      </c>
      <c r="R37" s="405">
        <v>1800</v>
      </c>
      <c r="S37" s="402">
        <v>149</v>
      </c>
      <c r="T37" s="402"/>
      <c r="U37" s="402"/>
      <c r="V37" s="402"/>
      <c r="W37" s="402"/>
      <c r="X37" s="405"/>
      <c r="Y37" s="408">
        <v>1949</v>
      </c>
      <c r="Z37" s="409">
        <v>21908</v>
      </c>
      <c r="AA37" s="405">
        <f t="shared" si="0"/>
        <v>1950</v>
      </c>
      <c r="AB37" s="405">
        <f>IF(I37&gt;21000,21000*3.25%,I37*3.25%)</f>
        <v>642.20000000000005</v>
      </c>
      <c r="AC37" s="410" t="s">
        <v>460</v>
      </c>
      <c r="AD37" s="410" t="s">
        <v>496</v>
      </c>
      <c r="AE37" s="411" t="s">
        <v>461</v>
      </c>
      <c r="AF37" s="412"/>
      <c r="AG37" s="412"/>
      <c r="AH37" s="412"/>
      <c r="AI37" s="412"/>
    </row>
    <row r="38" spans="1:35" s="413" customFormat="1" ht="83.25" customHeight="1" hidden="1">
      <c r="A38" s="402">
        <v>6</v>
      </c>
      <c r="B38" s="402" t="s">
        <v>213</v>
      </c>
      <c r="C38" s="403" t="s">
        <v>311</v>
      </c>
      <c r="D38" s="403" t="s">
        <v>350</v>
      </c>
      <c r="E38" s="404">
        <v>981</v>
      </c>
      <c r="F38" s="405">
        <v>30411</v>
      </c>
      <c r="G38" s="406">
        <v>26</v>
      </c>
      <c r="H38" s="407">
        <v>6.1162079510703</v>
      </c>
      <c r="I38" s="405">
        <v>25506</v>
      </c>
      <c r="J38" s="405"/>
      <c r="K38" s="402">
        <v>1500</v>
      </c>
      <c r="L38" s="402"/>
      <c r="M38" s="402"/>
      <c r="N38" s="402"/>
      <c r="O38" s="402">
        <v>2125</v>
      </c>
      <c r="P38" s="402">
        <v>1227</v>
      </c>
      <c r="Q38" s="408">
        <v>30358</v>
      </c>
      <c r="R38" s="405">
        <v>1800</v>
      </c>
      <c r="S38" s="402"/>
      <c r="T38" s="402"/>
      <c r="U38" s="402"/>
      <c r="V38" s="402"/>
      <c r="W38" s="402"/>
      <c r="X38" s="405"/>
      <c r="Y38" s="408">
        <v>1800</v>
      </c>
      <c r="Z38" s="409">
        <v>28558</v>
      </c>
      <c r="AA38" s="405">
        <f t="shared" si="0"/>
        <v>1950</v>
      </c>
      <c r="AB38" s="405"/>
      <c r="AC38" s="410" t="s">
        <v>460</v>
      </c>
      <c r="AD38" s="410" t="s">
        <v>496</v>
      </c>
      <c r="AE38" s="411" t="s">
        <v>461</v>
      </c>
      <c r="AF38" s="412"/>
      <c r="AG38" s="412"/>
      <c r="AH38" s="412"/>
      <c r="AI38" s="412"/>
    </row>
    <row r="39" spans="1:35" s="413" customFormat="1" ht="83.25" customHeight="1" hidden="1">
      <c r="A39" s="402">
        <v>7</v>
      </c>
      <c r="B39" s="402" t="s">
        <v>226</v>
      </c>
      <c r="C39" s="403" t="s">
        <v>312</v>
      </c>
      <c r="D39" s="403" t="s">
        <v>352</v>
      </c>
      <c r="E39" s="404">
        <v>760</v>
      </c>
      <c r="F39" s="405">
        <v>23560</v>
      </c>
      <c r="G39" s="406">
        <v>26</v>
      </c>
      <c r="H39" s="407"/>
      <c r="I39" s="405">
        <v>19760</v>
      </c>
      <c r="J39" s="405"/>
      <c r="K39" s="402"/>
      <c r="L39" s="402"/>
      <c r="M39" s="402"/>
      <c r="N39" s="402"/>
      <c r="O39" s="402">
        <v>1646</v>
      </c>
      <c r="P39" s="402">
        <v>950</v>
      </c>
      <c r="Q39" s="408">
        <v>22356</v>
      </c>
      <c r="R39" s="405">
        <v>1800</v>
      </c>
      <c r="S39" s="402">
        <v>149</v>
      </c>
      <c r="T39" s="402"/>
      <c r="U39" s="402"/>
      <c r="V39" s="402"/>
      <c r="W39" s="402"/>
      <c r="X39" s="405"/>
      <c r="Y39" s="408">
        <v>1949</v>
      </c>
      <c r="Z39" s="409">
        <v>20407</v>
      </c>
      <c r="AA39" s="405">
        <f t="shared" si="0"/>
        <v>1950</v>
      </c>
      <c r="AB39" s="405">
        <f>IF(I39&gt;21000,21000*3.25%,I39*3.25%)</f>
        <v>642.20000000000005</v>
      </c>
      <c r="AC39" s="410" t="s">
        <v>460</v>
      </c>
      <c r="AD39" s="410" t="s">
        <v>496</v>
      </c>
      <c r="AE39" s="411" t="s">
        <v>461</v>
      </c>
      <c r="AF39" s="412"/>
      <c r="AG39" s="412"/>
      <c r="AH39" s="412"/>
      <c r="AI39" s="412"/>
    </row>
    <row r="40" spans="1:35" s="413" customFormat="1" ht="83.25" customHeight="1">
      <c r="A40" s="402">
        <f t="shared" si="1"/>
        <v>8</v>
      </c>
      <c r="B40" s="402" t="s">
        <v>313</v>
      </c>
      <c r="C40" s="403" t="s">
        <v>314</v>
      </c>
      <c r="D40" s="403" t="s">
        <v>393</v>
      </c>
      <c r="E40" s="404">
        <v>981</v>
      </c>
      <c r="F40" s="405">
        <v>30411</v>
      </c>
      <c r="G40" s="406">
        <v>26</v>
      </c>
      <c r="H40" s="407">
        <v>6.1162079510703</v>
      </c>
      <c r="I40" s="405">
        <v>25506</v>
      </c>
      <c r="J40" s="405"/>
      <c r="K40" s="402">
        <v>1500</v>
      </c>
      <c r="L40" s="402"/>
      <c r="M40" s="402"/>
      <c r="N40" s="402"/>
      <c r="O40" s="402">
        <v>2125</v>
      </c>
      <c r="P40" s="402">
        <v>1227</v>
      </c>
      <c r="Q40" s="408">
        <v>30358</v>
      </c>
      <c r="R40" s="405">
        <v>1800</v>
      </c>
      <c r="S40" s="402"/>
      <c r="T40" s="402"/>
      <c r="U40" s="402"/>
      <c r="V40" s="402"/>
      <c r="W40" s="402"/>
      <c r="X40" s="405"/>
      <c r="Y40" s="408">
        <v>1800</v>
      </c>
      <c r="Z40" s="409">
        <v>28558</v>
      </c>
      <c r="AA40" s="405">
        <f t="shared" si="0"/>
        <v>1950</v>
      </c>
      <c r="AB40" s="405"/>
      <c r="AC40" s="410" t="s">
        <v>460</v>
      </c>
      <c r="AD40" s="410" t="s">
        <v>496</v>
      </c>
      <c r="AE40" s="411" t="s">
        <v>461</v>
      </c>
      <c r="AF40" s="412"/>
      <c r="AG40" s="412"/>
      <c r="AH40" s="412"/>
      <c r="AI40" s="412"/>
    </row>
    <row r="41" spans="1:35" s="413" customFormat="1" ht="83.25" customHeight="1">
      <c r="A41" s="402">
        <f t="shared" si="1"/>
        <v>9</v>
      </c>
      <c r="B41" s="402" t="s">
        <v>315</v>
      </c>
      <c r="C41" s="403" t="s">
        <v>316</v>
      </c>
      <c r="D41" s="403" t="s">
        <v>395</v>
      </c>
      <c r="E41" s="404">
        <v>760</v>
      </c>
      <c r="F41" s="405">
        <v>23560</v>
      </c>
      <c r="G41" s="406">
        <v>26</v>
      </c>
      <c r="H41" s="407"/>
      <c r="I41" s="405">
        <v>19760</v>
      </c>
      <c r="J41" s="405"/>
      <c r="K41" s="402"/>
      <c r="L41" s="402"/>
      <c r="M41" s="402"/>
      <c r="N41" s="402"/>
      <c r="O41" s="402">
        <v>1646</v>
      </c>
      <c r="P41" s="402">
        <v>950</v>
      </c>
      <c r="Q41" s="408">
        <v>22356</v>
      </c>
      <c r="R41" s="405">
        <v>1800</v>
      </c>
      <c r="S41" s="402">
        <v>149</v>
      </c>
      <c r="T41" s="402"/>
      <c r="U41" s="402"/>
      <c r="V41" s="402"/>
      <c r="W41" s="402"/>
      <c r="X41" s="405"/>
      <c r="Y41" s="408">
        <v>1949</v>
      </c>
      <c r="Z41" s="409">
        <v>20407</v>
      </c>
      <c r="AA41" s="405">
        <f t="shared" si="0"/>
        <v>1950</v>
      </c>
      <c r="AB41" s="405">
        <f>IF(I41&gt;21000,21000*3.25%,I41*3.25%)</f>
        <v>642.20000000000005</v>
      </c>
      <c r="AC41" s="410" t="s">
        <v>460</v>
      </c>
      <c r="AD41" s="410" t="s">
        <v>496</v>
      </c>
      <c r="AE41" s="411" t="s">
        <v>461</v>
      </c>
      <c r="AF41" s="412"/>
      <c r="AG41" s="412"/>
      <c r="AH41" s="412"/>
      <c r="AI41" s="412"/>
    </row>
    <row r="42" spans="1:35" s="413" customFormat="1" ht="83.25" customHeight="1">
      <c r="A42" s="402">
        <f t="shared" si="1"/>
        <v>10</v>
      </c>
      <c r="B42" s="402" t="s">
        <v>317</v>
      </c>
      <c r="C42" s="403" t="s">
        <v>318</v>
      </c>
      <c r="D42" s="403" t="s">
        <v>394</v>
      </c>
      <c r="E42" s="404">
        <v>893</v>
      </c>
      <c r="F42" s="405">
        <v>27683</v>
      </c>
      <c r="G42" s="406">
        <v>26</v>
      </c>
      <c r="H42" s="407"/>
      <c r="I42" s="405">
        <v>23218</v>
      </c>
      <c r="J42" s="405"/>
      <c r="K42" s="402"/>
      <c r="L42" s="402"/>
      <c r="M42" s="402"/>
      <c r="N42" s="402"/>
      <c r="O42" s="402">
        <v>1934</v>
      </c>
      <c r="P42" s="402">
        <v>1117</v>
      </c>
      <c r="Q42" s="408">
        <v>26269</v>
      </c>
      <c r="R42" s="405">
        <v>1800</v>
      </c>
      <c r="S42" s="402"/>
      <c r="T42" s="402"/>
      <c r="U42" s="402"/>
      <c r="V42" s="402"/>
      <c r="W42" s="402"/>
      <c r="X42" s="405"/>
      <c r="Y42" s="408">
        <v>1800</v>
      </c>
      <c r="Z42" s="409">
        <v>24469</v>
      </c>
      <c r="AA42" s="405">
        <f t="shared" si="0"/>
        <v>1950</v>
      </c>
      <c r="AB42" s="405"/>
      <c r="AC42" s="410" t="s">
        <v>460</v>
      </c>
      <c r="AD42" s="410" t="s">
        <v>496</v>
      </c>
      <c r="AE42" s="411" t="s">
        <v>461</v>
      </c>
      <c r="AF42" s="412"/>
      <c r="AG42" s="412"/>
      <c r="AH42" s="412"/>
      <c r="AI42" s="412"/>
    </row>
    <row r="43" spans="1:35" s="413" customFormat="1" ht="83.25" customHeight="1">
      <c r="A43" s="402">
        <f t="shared" si="1"/>
        <v>11</v>
      </c>
      <c r="B43" s="402" t="s">
        <v>319</v>
      </c>
      <c r="C43" s="403" t="s">
        <v>320</v>
      </c>
      <c r="D43" s="403" t="s">
        <v>394</v>
      </c>
      <c r="E43" s="404">
        <v>893</v>
      </c>
      <c r="F43" s="405">
        <v>27683</v>
      </c>
      <c r="G43" s="406">
        <v>26</v>
      </c>
      <c r="H43" s="407"/>
      <c r="I43" s="405">
        <v>23218</v>
      </c>
      <c r="J43" s="405"/>
      <c r="K43" s="402"/>
      <c r="L43" s="402"/>
      <c r="M43" s="402"/>
      <c r="N43" s="402"/>
      <c r="O43" s="402">
        <v>1934</v>
      </c>
      <c r="P43" s="402">
        <v>1117</v>
      </c>
      <c r="Q43" s="408">
        <v>26269</v>
      </c>
      <c r="R43" s="405">
        <v>1800</v>
      </c>
      <c r="S43" s="402"/>
      <c r="T43" s="402"/>
      <c r="U43" s="402"/>
      <c r="V43" s="402"/>
      <c r="W43" s="402"/>
      <c r="X43" s="405"/>
      <c r="Y43" s="408">
        <v>1800</v>
      </c>
      <c r="Z43" s="409">
        <v>24469</v>
      </c>
      <c r="AA43" s="405">
        <f t="shared" si="0"/>
        <v>1950</v>
      </c>
      <c r="AB43" s="405"/>
      <c r="AC43" s="410" t="s">
        <v>462</v>
      </c>
      <c r="AD43" s="410" t="s">
        <v>496</v>
      </c>
      <c r="AE43" s="411" t="s">
        <v>461</v>
      </c>
      <c r="AF43" s="412"/>
      <c r="AG43" s="412"/>
      <c r="AH43" s="412"/>
      <c r="AI43" s="412"/>
    </row>
    <row r="44" spans="1:35" s="413" customFormat="1" ht="83.25" customHeight="1" hidden="1">
      <c r="A44" s="402">
        <v>8</v>
      </c>
      <c r="B44" s="402" t="s">
        <v>227</v>
      </c>
      <c r="C44" s="403" t="s">
        <v>321</v>
      </c>
      <c r="D44" s="403" t="s">
        <v>352</v>
      </c>
      <c r="E44" s="404">
        <v>760</v>
      </c>
      <c r="F44" s="405">
        <v>23560</v>
      </c>
      <c r="G44" s="406">
        <v>26</v>
      </c>
      <c r="H44" s="407"/>
      <c r="I44" s="405">
        <v>19760</v>
      </c>
      <c r="J44" s="405"/>
      <c r="K44" s="402"/>
      <c r="L44" s="402"/>
      <c r="M44" s="402"/>
      <c r="N44" s="402"/>
      <c r="O44" s="402">
        <v>1646</v>
      </c>
      <c r="P44" s="402">
        <v>950</v>
      </c>
      <c r="Q44" s="408">
        <v>22356</v>
      </c>
      <c r="R44" s="405">
        <v>1800</v>
      </c>
      <c r="S44" s="402">
        <v>149</v>
      </c>
      <c r="T44" s="402"/>
      <c r="U44" s="402"/>
      <c r="V44" s="402"/>
      <c r="W44" s="402"/>
      <c r="X44" s="405"/>
      <c r="Y44" s="408">
        <v>1949</v>
      </c>
      <c r="Z44" s="409">
        <v>20407</v>
      </c>
      <c r="AA44" s="405">
        <f t="shared" si="0"/>
        <v>1950</v>
      </c>
      <c r="AB44" s="405">
        <f>IF(I44&gt;21000,21000*3.25%,I44*3.25%)</f>
        <v>642.20000000000005</v>
      </c>
      <c r="AC44" s="410" t="s">
        <v>460</v>
      </c>
      <c r="AD44" s="410" t="s">
        <v>496</v>
      </c>
      <c r="AE44" s="411" t="s">
        <v>461</v>
      </c>
      <c r="AF44" s="412"/>
      <c r="AG44" s="412"/>
      <c r="AH44" s="412"/>
      <c r="AI44" s="412"/>
    </row>
    <row r="45" spans="1:35" s="413" customFormat="1" ht="83.25" customHeight="1" hidden="1">
      <c r="A45" s="402">
        <v>9</v>
      </c>
      <c r="B45" s="402" t="s">
        <v>232</v>
      </c>
      <c r="C45" s="403" t="s">
        <v>322</v>
      </c>
      <c r="D45" s="403" t="s">
        <v>353</v>
      </c>
      <c r="E45" s="404">
        <v>674</v>
      </c>
      <c r="F45" s="405">
        <v>20894</v>
      </c>
      <c r="G45" s="406">
        <v>26</v>
      </c>
      <c r="H45" s="407">
        <v>8.9020771513353001</v>
      </c>
      <c r="I45" s="405">
        <v>17524</v>
      </c>
      <c r="J45" s="405"/>
      <c r="K45" s="402">
        <v>1500</v>
      </c>
      <c r="L45" s="402"/>
      <c r="M45" s="402"/>
      <c r="N45" s="402"/>
      <c r="O45" s="402">
        <v>1460</v>
      </c>
      <c r="P45" s="402">
        <v>843</v>
      </c>
      <c r="Q45" s="408">
        <v>21327</v>
      </c>
      <c r="R45" s="405">
        <v>1800</v>
      </c>
      <c r="S45" s="402">
        <v>132</v>
      </c>
      <c r="T45" s="402"/>
      <c r="U45" s="402"/>
      <c r="V45" s="402"/>
      <c r="W45" s="402"/>
      <c r="X45" s="405"/>
      <c r="Y45" s="408">
        <v>1932</v>
      </c>
      <c r="Z45" s="409">
        <v>19395</v>
      </c>
      <c r="AA45" s="405">
        <f t="shared" si="0"/>
        <v>1950</v>
      </c>
      <c r="AB45" s="405">
        <f>IF(I45&gt;21000,21000*3.25%,I45*3.25%)</f>
        <v>569.52999999999997</v>
      </c>
      <c r="AC45" s="410" t="s">
        <v>460</v>
      </c>
      <c r="AD45" s="410" t="s">
        <v>496</v>
      </c>
      <c r="AE45" s="411" t="s">
        <v>461</v>
      </c>
      <c r="AF45" s="412"/>
      <c r="AG45" s="412"/>
      <c r="AH45" s="412"/>
      <c r="AI45" s="412"/>
    </row>
    <row r="46" spans="1:35" s="413" customFormat="1" ht="83.25" customHeight="1" hidden="1">
      <c r="A46" s="402">
        <v>10</v>
      </c>
      <c r="B46" s="402" t="s">
        <v>228</v>
      </c>
      <c r="C46" s="403" t="s">
        <v>323</v>
      </c>
      <c r="D46" s="403" t="s">
        <v>352</v>
      </c>
      <c r="E46" s="404">
        <v>760</v>
      </c>
      <c r="F46" s="405">
        <v>23560</v>
      </c>
      <c r="G46" s="406">
        <v>26</v>
      </c>
      <c r="H46" s="407"/>
      <c r="I46" s="405">
        <v>19760</v>
      </c>
      <c r="J46" s="405"/>
      <c r="K46" s="402"/>
      <c r="L46" s="402"/>
      <c r="M46" s="402"/>
      <c r="N46" s="402"/>
      <c r="O46" s="402">
        <v>1646</v>
      </c>
      <c r="P46" s="402">
        <v>950</v>
      </c>
      <c r="Q46" s="408">
        <v>22356</v>
      </c>
      <c r="R46" s="405">
        <v>1800</v>
      </c>
      <c r="S46" s="402">
        <v>149</v>
      </c>
      <c r="T46" s="402"/>
      <c r="U46" s="402"/>
      <c r="V46" s="402"/>
      <c r="W46" s="402"/>
      <c r="X46" s="405"/>
      <c r="Y46" s="408">
        <v>1949</v>
      </c>
      <c r="Z46" s="409">
        <v>20407</v>
      </c>
      <c r="AA46" s="405">
        <f t="shared" si="0"/>
        <v>1950</v>
      </c>
      <c r="AB46" s="405">
        <f>IF(I46&gt;21000,21000*3.25%,I46*3.25%)</f>
        <v>642.20000000000005</v>
      </c>
      <c r="AC46" s="410" t="s">
        <v>462</v>
      </c>
      <c r="AD46" s="410" t="s">
        <v>496</v>
      </c>
      <c r="AE46" s="411" t="s">
        <v>461</v>
      </c>
      <c r="AF46" s="412"/>
      <c r="AG46" s="412"/>
      <c r="AH46" s="412"/>
      <c r="AI46" s="412"/>
    </row>
    <row r="47" spans="1:35" s="413" customFormat="1" ht="83.25" customHeight="1" hidden="1">
      <c r="A47" s="402">
        <v>11</v>
      </c>
      <c r="B47" s="402" t="s">
        <v>215</v>
      </c>
      <c r="C47" s="403" t="s">
        <v>324</v>
      </c>
      <c r="D47" s="403" t="s">
        <v>351</v>
      </c>
      <c r="E47" s="404">
        <v>893</v>
      </c>
      <c r="F47" s="405">
        <v>27683</v>
      </c>
      <c r="G47" s="406">
        <v>26</v>
      </c>
      <c r="H47" s="407"/>
      <c r="I47" s="405">
        <v>23218</v>
      </c>
      <c r="J47" s="405"/>
      <c r="K47" s="402"/>
      <c r="L47" s="402"/>
      <c r="M47" s="402"/>
      <c r="N47" s="402"/>
      <c r="O47" s="402">
        <v>1934</v>
      </c>
      <c r="P47" s="402">
        <v>1117</v>
      </c>
      <c r="Q47" s="408">
        <v>26269</v>
      </c>
      <c r="R47" s="405">
        <v>1800</v>
      </c>
      <c r="S47" s="402"/>
      <c r="T47" s="402"/>
      <c r="U47" s="402"/>
      <c r="V47" s="402"/>
      <c r="W47" s="402"/>
      <c r="X47" s="405"/>
      <c r="Y47" s="408">
        <v>1800</v>
      </c>
      <c r="Z47" s="409">
        <v>24469</v>
      </c>
      <c r="AA47" s="405">
        <f t="shared" si="0"/>
        <v>1950</v>
      </c>
      <c r="AB47" s="405"/>
      <c r="AC47" s="410" t="s">
        <v>462</v>
      </c>
      <c r="AD47" s="410" t="s">
        <v>496</v>
      </c>
      <c r="AE47" s="411" t="s">
        <v>461</v>
      </c>
      <c r="AF47" s="412"/>
      <c r="AG47" s="412"/>
      <c r="AH47" s="412"/>
      <c r="AI47" s="412"/>
    </row>
    <row r="48" spans="1:35" s="413" customFormat="1" ht="83.25" customHeight="1" hidden="1">
      <c r="A48" s="402">
        <v>12</v>
      </c>
      <c r="B48" s="402" t="s">
        <v>216</v>
      </c>
      <c r="C48" s="403" t="s">
        <v>325</v>
      </c>
      <c r="D48" s="403" t="s">
        <v>351</v>
      </c>
      <c r="E48" s="404">
        <v>893</v>
      </c>
      <c r="F48" s="405">
        <v>27683</v>
      </c>
      <c r="G48" s="406">
        <v>26</v>
      </c>
      <c r="H48" s="407"/>
      <c r="I48" s="405">
        <v>23218</v>
      </c>
      <c r="J48" s="405"/>
      <c r="K48" s="402"/>
      <c r="L48" s="402"/>
      <c r="M48" s="402"/>
      <c r="N48" s="402"/>
      <c r="O48" s="402">
        <v>1934</v>
      </c>
      <c r="P48" s="402">
        <v>1117</v>
      </c>
      <c r="Q48" s="408">
        <v>26269</v>
      </c>
      <c r="R48" s="405">
        <v>1800</v>
      </c>
      <c r="S48" s="402"/>
      <c r="T48" s="402"/>
      <c r="U48" s="402"/>
      <c r="V48" s="402"/>
      <c r="W48" s="402"/>
      <c r="X48" s="405"/>
      <c r="Y48" s="408">
        <v>1800</v>
      </c>
      <c r="Z48" s="409">
        <v>24469</v>
      </c>
      <c r="AA48" s="405">
        <f t="shared" si="0"/>
        <v>1950</v>
      </c>
      <c r="AB48" s="405"/>
      <c r="AC48" s="410" t="s">
        <v>460</v>
      </c>
      <c r="AD48" s="410" t="s">
        <v>496</v>
      </c>
      <c r="AE48" s="411" t="s">
        <v>461</v>
      </c>
      <c r="AF48" s="412"/>
      <c r="AG48" s="412"/>
      <c r="AH48" s="412"/>
      <c r="AI48" s="412"/>
    </row>
    <row r="49" spans="1:35" s="413" customFormat="1" ht="83.25" customHeight="1">
      <c r="A49" s="402">
        <f t="shared" si="1"/>
        <v>13</v>
      </c>
      <c r="B49" s="402" t="s">
        <v>326</v>
      </c>
      <c r="C49" s="403" t="s">
        <v>327</v>
      </c>
      <c r="D49" s="403" t="s">
        <v>395</v>
      </c>
      <c r="E49" s="404">
        <v>760</v>
      </c>
      <c r="F49" s="405">
        <v>23560</v>
      </c>
      <c r="G49" s="406">
        <v>26</v>
      </c>
      <c r="H49" s="407"/>
      <c r="I49" s="405">
        <v>19760</v>
      </c>
      <c r="J49" s="405"/>
      <c r="K49" s="402"/>
      <c r="L49" s="402"/>
      <c r="M49" s="402"/>
      <c r="N49" s="402"/>
      <c r="O49" s="402">
        <v>1646</v>
      </c>
      <c r="P49" s="402">
        <v>950</v>
      </c>
      <c r="Q49" s="408">
        <v>22356</v>
      </c>
      <c r="R49" s="405">
        <v>1800</v>
      </c>
      <c r="S49" s="402">
        <v>149</v>
      </c>
      <c r="T49" s="402"/>
      <c r="U49" s="402"/>
      <c r="V49" s="402"/>
      <c r="W49" s="402"/>
      <c r="X49" s="405"/>
      <c r="Y49" s="408">
        <v>1949</v>
      </c>
      <c r="Z49" s="409">
        <v>20407</v>
      </c>
      <c r="AA49" s="405">
        <f t="shared" si="0"/>
        <v>1950</v>
      </c>
      <c r="AB49" s="405">
        <f>IF(I49&gt;21000,21000*3.25%,I49*3.25%)</f>
        <v>642.20000000000005</v>
      </c>
      <c r="AC49" s="410" t="s">
        <v>462</v>
      </c>
      <c r="AD49" s="410" t="s">
        <v>496</v>
      </c>
      <c r="AE49" s="411" t="s">
        <v>461</v>
      </c>
      <c r="AF49" s="412"/>
      <c r="AG49" s="412"/>
      <c r="AH49" s="412"/>
      <c r="AI49" s="412"/>
    </row>
    <row r="50" spans="1:35" s="413" customFormat="1" ht="83.25" customHeight="1" hidden="1">
      <c r="A50" s="402">
        <v>13</v>
      </c>
      <c r="B50" s="402" t="s">
        <v>217</v>
      </c>
      <c r="C50" s="403" t="s">
        <v>328</v>
      </c>
      <c r="D50" s="403" t="s">
        <v>351</v>
      </c>
      <c r="E50" s="404">
        <v>893</v>
      </c>
      <c r="F50" s="405">
        <v>27683</v>
      </c>
      <c r="G50" s="406">
        <v>26</v>
      </c>
      <c r="H50" s="407"/>
      <c r="I50" s="405">
        <v>23218</v>
      </c>
      <c r="J50" s="405"/>
      <c r="K50" s="402"/>
      <c r="L50" s="402"/>
      <c r="M50" s="402"/>
      <c r="N50" s="402"/>
      <c r="O50" s="402">
        <v>1934</v>
      </c>
      <c r="P50" s="402">
        <v>1117</v>
      </c>
      <c r="Q50" s="408">
        <v>26269</v>
      </c>
      <c r="R50" s="405">
        <v>1800</v>
      </c>
      <c r="S50" s="402"/>
      <c r="T50" s="402"/>
      <c r="U50" s="402"/>
      <c r="V50" s="402"/>
      <c r="W50" s="402"/>
      <c r="X50" s="405"/>
      <c r="Y50" s="408">
        <v>1800</v>
      </c>
      <c r="Z50" s="409">
        <v>24469</v>
      </c>
      <c r="AA50" s="405">
        <f t="shared" si="0"/>
        <v>1950</v>
      </c>
      <c r="AB50" s="405"/>
      <c r="AC50" s="410" t="s">
        <v>462</v>
      </c>
      <c r="AD50" s="410" t="s">
        <v>496</v>
      </c>
      <c r="AE50" s="411" t="s">
        <v>461</v>
      </c>
      <c r="AF50" s="412"/>
      <c r="AG50" s="412"/>
      <c r="AH50" s="412"/>
      <c r="AI50" s="412"/>
    </row>
    <row r="51" spans="1:35" s="413" customFormat="1" ht="83.25" customHeight="1">
      <c r="A51" s="402">
        <f t="shared" si="1"/>
        <v>14</v>
      </c>
      <c r="B51" s="402" t="s">
        <v>329</v>
      </c>
      <c r="C51" s="403" t="s">
        <v>330</v>
      </c>
      <c r="D51" s="403" t="s">
        <v>394</v>
      </c>
      <c r="E51" s="404">
        <v>893</v>
      </c>
      <c r="F51" s="405">
        <v>27683</v>
      </c>
      <c r="G51" s="406">
        <v>26</v>
      </c>
      <c r="H51" s="407"/>
      <c r="I51" s="405">
        <v>23218</v>
      </c>
      <c r="J51" s="405"/>
      <c r="K51" s="402"/>
      <c r="L51" s="402"/>
      <c r="M51" s="402"/>
      <c r="N51" s="402"/>
      <c r="O51" s="402">
        <v>1934</v>
      </c>
      <c r="P51" s="402">
        <v>1117</v>
      </c>
      <c r="Q51" s="408">
        <v>26269</v>
      </c>
      <c r="R51" s="405">
        <v>1800</v>
      </c>
      <c r="S51" s="402"/>
      <c r="T51" s="402"/>
      <c r="U51" s="402"/>
      <c r="V51" s="402"/>
      <c r="W51" s="402"/>
      <c r="X51" s="405"/>
      <c r="Y51" s="408">
        <v>1800</v>
      </c>
      <c r="Z51" s="409">
        <v>24469</v>
      </c>
      <c r="AA51" s="405">
        <f t="shared" si="0"/>
        <v>1950</v>
      </c>
      <c r="AB51" s="405"/>
      <c r="AC51" s="410" t="s">
        <v>460</v>
      </c>
      <c r="AD51" s="410" t="s">
        <v>496</v>
      </c>
      <c r="AE51" s="411" t="s">
        <v>461</v>
      </c>
      <c r="AF51" s="412"/>
      <c r="AG51" s="412"/>
      <c r="AH51" s="412"/>
      <c r="AI51" s="412"/>
    </row>
    <row r="52" spans="1:35" s="413" customFormat="1" ht="83.25" customHeight="1" hidden="1">
      <c r="A52" s="402">
        <v>14</v>
      </c>
      <c r="B52" s="402" t="s">
        <v>229</v>
      </c>
      <c r="C52" s="403" t="s">
        <v>331</v>
      </c>
      <c r="D52" s="403" t="s">
        <v>352</v>
      </c>
      <c r="E52" s="404">
        <v>760</v>
      </c>
      <c r="F52" s="405">
        <v>23560</v>
      </c>
      <c r="G52" s="406">
        <v>26</v>
      </c>
      <c r="H52" s="407"/>
      <c r="I52" s="405">
        <v>19760</v>
      </c>
      <c r="J52" s="405"/>
      <c r="K52" s="402"/>
      <c r="L52" s="402"/>
      <c r="M52" s="402"/>
      <c r="N52" s="402"/>
      <c r="O52" s="402">
        <v>1646</v>
      </c>
      <c r="P52" s="402">
        <v>950</v>
      </c>
      <c r="Q52" s="408">
        <v>22356</v>
      </c>
      <c r="R52" s="405">
        <v>1800</v>
      </c>
      <c r="S52" s="402">
        <v>149</v>
      </c>
      <c r="T52" s="402"/>
      <c r="U52" s="402"/>
      <c r="V52" s="402"/>
      <c r="W52" s="402"/>
      <c r="X52" s="405"/>
      <c r="Y52" s="408">
        <v>1949</v>
      </c>
      <c r="Z52" s="409">
        <v>20407</v>
      </c>
      <c r="AA52" s="405">
        <f t="shared" si="0"/>
        <v>1950</v>
      </c>
      <c r="AB52" s="405">
        <f>IF(I52&gt;21000,21000*3.25%,I52*3.25%)</f>
        <v>642.20000000000005</v>
      </c>
      <c r="AC52" s="410" t="s">
        <v>462</v>
      </c>
      <c r="AD52" s="410" t="s">
        <v>496</v>
      </c>
      <c r="AE52" s="411" t="s">
        <v>461</v>
      </c>
      <c r="AF52" s="412"/>
      <c r="AG52" s="412"/>
      <c r="AH52" s="412"/>
      <c r="AI52" s="412"/>
    </row>
    <row r="53" spans="1:35" s="413" customFormat="1" ht="83.25" customHeight="1" hidden="1">
      <c r="A53" s="402">
        <v>15</v>
      </c>
      <c r="B53" s="402" t="s">
        <v>218</v>
      </c>
      <c r="C53" s="403" t="s">
        <v>332</v>
      </c>
      <c r="D53" s="403" t="s">
        <v>351</v>
      </c>
      <c r="E53" s="404">
        <v>893</v>
      </c>
      <c r="F53" s="405">
        <v>27683</v>
      </c>
      <c r="G53" s="406">
        <v>26</v>
      </c>
      <c r="H53" s="407">
        <v>29.12</v>
      </c>
      <c r="I53" s="405">
        <v>23218</v>
      </c>
      <c r="J53" s="405"/>
      <c r="K53" s="402">
        <v>6501</v>
      </c>
      <c r="L53" s="402"/>
      <c r="M53" s="402"/>
      <c r="N53" s="402"/>
      <c r="O53" s="402">
        <v>1934</v>
      </c>
      <c r="P53" s="402">
        <v>1117</v>
      </c>
      <c r="Q53" s="408">
        <v>32770</v>
      </c>
      <c r="R53" s="405">
        <v>1800</v>
      </c>
      <c r="S53" s="402"/>
      <c r="T53" s="402"/>
      <c r="U53" s="402"/>
      <c r="V53" s="402"/>
      <c r="W53" s="402"/>
      <c r="X53" s="405"/>
      <c r="Y53" s="408">
        <v>1800</v>
      </c>
      <c r="Z53" s="409">
        <v>30970</v>
      </c>
      <c r="AA53" s="405">
        <f t="shared" si="0"/>
        <v>1950</v>
      </c>
      <c r="AB53" s="405"/>
      <c r="AC53" s="410" t="s">
        <v>462</v>
      </c>
      <c r="AD53" s="410" t="s">
        <v>496</v>
      </c>
      <c r="AE53" s="411" t="s">
        <v>461</v>
      </c>
      <c r="AF53" s="412"/>
      <c r="AG53" s="412"/>
      <c r="AH53" s="412"/>
      <c r="AI53" s="412"/>
    </row>
    <row r="54" spans="1:35" s="413" customFormat="1" ht="83.25" customHeight="1" hidden="1">
      <c r="A54" s="402">
        <v>16</v>
      </c>
      <c r="B54" s="402" t="s">
        <v>230</v>
      </c>
      <c r="C54" s="403" t="s">
        <v>333</v>
      </c>
      <c r="D54" s="403" t="s">
        <v>352</v>
      </c>
      <c r="E54" s="404">
        <v>760</v>
      </c>
      <c r="F54" s="405">
        <v>23560</v>
      </c>
      <c r="G54" s="406">
        <v>26</v>
      </c>
      <c r="H54" s="407"/>
      <c r="I54" s="405">
        <v>19760</v>
      </c>
      <c r="J54" s="405"/>
      <c r="K54" s="402"/>
      <c r="L54" s="402"/>
      <c r="M54" s="402"/>
      <c r="N54" s="402"/>
      <c r="O54" s="402">
        <v>1646</v>
      </c>
      <c r="P54" s="402">
        <v>950</v>
      </c>
      <c r="Q54" s="408">
        <v>22356</v>
      </c>
      <c r="R54" s="405">
        <v>1800</v>
      </c>
      <c r="S54" s="402">
        <v>149</v>
      </c>
      <c r="T54" s="402"/>
      <c r="U54" s="402"/>
      <c r="V54" s="402"/>
      <c r="W54" s="402"/>
      <c r="X54" s="405"/>
      <c r="Y54" s="408">
        <v>1949</v>
      </c>
      <c r="Z54" s="409">
        <v>20407</v>
      </c>
      <c r="AA54" s="405">
        <f t="shared" si="0"/>
        <v>1950</v>
      </c>
      <c r="AB54" s="405">
        <f>IF(I54&gt;21000,21000*3.25%,I54*3.25%)</f>
        <v>642.20000000000005</v>
      </c>
      <c r="AC54" s="410" t="s">
        <v>462</v>
      </c>
      <c r="AD54" s="410" t="s">
        <v>496</v>
      </c>
      <c r="AE54" s="411" t="s">
        <v>461</v>
      </c>
      <c r="AF54" s="412"/>
      <c r="AG54" s="412"/>
      <c r="AH54" s="412"/>
      <c r="AI54" s="412"/>
    </row>
    <row r="55" spans="1:35" s="413" customFormat="1" ht="83.25" customHeight="1">
      <c r="A55" s="402">
        <f t="shared" si="1"/>
        <v>17</v>
      </c>
      <c r="B55" s="402" t="s">
        <v>334</v>
      </c>
      <c r="C55" s="403" t="s">
        <v>335</v>
      </c>
      <c r="D55" s="403" t="s">
        <v>394</v>
      </c>
      <c r="E55" s="404">
        <v>893</v>
      </c>
      <c r="F55" s="405">
        <v>27683</v>
      </c>
      <c r="G55" s="406">
        <v>26</v>
      </c>
      <c r="H55" s="407"/>
      <c r="I55" s="405">
        <v>23218</v>
      </c>
      <c r="J55" s="405"/>
      <c r="K55" s="402"/>
      <c r="L55" s="402"/>
      <c r="M55" s="402"/>
      <c r="N55" s="402"/>
      <c r="O55" s="402">
        <v>1934</v>
      </c>
      <c r="P55" s="402">
        <v>1117</v>
      </c>
      <c r="Q55" s="408">
        <v>26269</v>
      </c>
      <c r="R55" s="405">
        <v>1800</v>
      </c>
      <c r="S55" s="402"/>
      <c r="T55" s="402"/>
      <c r="U55" s="402"/>
      <c r="V55" s="402"/>
      <c r="W55" s="402"/>
      <c r="X55" s="405"/>
      <c r="Y55" s="408">
        <v>1800</v>
      </c>
      <c r="Z55" s="409">
        <v>24469</v>
      </c>
      <c r="AA55" s="405">
        <f t="shared" si="0"/>
        <v>1950</v>
      </c>
      <c r="AB55" s="405"/>
      <c r="AC55" s="410" t="s">
        <v>460</v>
      </c>
      <c r="AD55" s="410" t="s">
        <v>496</v>
      </c>
      <c r="AE55" s="411" t="s">
        <v>461</v>
      </c>
      <c r="AF55" s="412"/>
      <c r="AG55" s="412"/>
      <c r="AH55" s="412"/>
      <c r="AI55" s="412"/>
    </row>
    <row r="56" spans="1:35" s="413" customFormat="1" ht="83.25" customHeight="1" hidden="1">
      <c r="A56" s="402">
        <v>17</v>
      </c>
      <c r="B56" s="402" t="s">
        <v>219</v>
      </c>
      <c r="C56" s="403" t="s">
        <v>336</v>
      </c>
      <c r="D56" s="403" t="s">
        <v>351</v>
      </c>
      <c r="E56" s="404">
        <v>893</v>
      </c>
      <c r="F56" s="405">
        <v>27683</v>
      </c>
      <c r="G56" s="406">
        <v>26</v>
      </c>
      <c r="H56" s="407"/>
      <c r="I56" s="405">
        <v>23218</v>
      </c>
      <c r="J56" s="405"/>
      <c r="K56" s="402"/>
      <c r="L56" s="402"/>
      <c r="M56" s="402"/>
      <c r="N56" s="402"/>
      <c r="O56" s="402">
        <v>1934</v>
      </c>
      <c r="P56" s="402">
        <v>1117</v>
      </c>
      <c r="Q56" s="408">
        <v>26269</v>
      </c>
      <c r="R56" s="405">
        <v>1800</v>
      </c>
      <c r="S56" s="402"/>
      <c r="T56" s="402"/>
      <c r="U56" s="402"/>
      <c r="V56" s="402"/>
      <c r="W56" s="402"/>
      <c r="X56" s="405"/>
      <c r="Y56" s="408">
        <v>1800</v>
      </c>
      <c r="Z56" s="409">
        <v>24469</v>
      </c>
      <c r="AA56" s="405">
        <f t="shared" si="0"/>
        <v>1950</v>
      </c>
      <c r="AB56" s="405"/>
      <c r="AC56" s="410" t="s">
        <v>462</v>
      </c>
      <c r="AD56" s="410" t="s">
        <v>496</v>
      </c>
      <c r="AE56" s="411" t="s">
        <v>461</v>
      </c>
      <c r="AF56" s="412"/>
      <c r="AG56" s="412"/>
      <c r="AH56" s="412"/>
      <c r="AI56" s="412"/>
    </row>
    <row r="57" spans="1:35" s="413" customFormat="1" ht="83.25" customHeight="1" hidden="1">
      <c r="A57" s="402">
        <v>18</v>
      </c>
      <c r="B57" s="402" t="s">
        <v>222</v>
      </c>
      <c r="C57" s="403" t="s">
        <v>337</v>
      </c>
      <c r="D57" s="403" t="s">
        <v>351</v>
      </c>
      <c r="E57" s="404">
        <v>893</v>
      </c>
      <c r="F57" s="405">
        <v>27683</v>
      </c>
      <c r="G57" s="406">
        <v>26</v>
      </c>
      <c r="H57" s="407">
        <v>6.7189249720045003</v>
      </c>
      <c r="I57" s="405">
        <v>23218</v>
      </c>
      <c r="J57" s="405"/>
      <c r="K57" s="402">
        <v>1500</v>
      </c>
      <c r="L57" s="402"/>
      <c r="M57" s="402"/>
      <c r="N57" s="402"/>
      <c r="O57" s="402">
        <v>1934</v>
      </c>
      <c r="P57" s="402">
        <v>1117</v>
      </c>
      <c r="Q57" s="408">
        <v>27769</v>
      </c>
      <c r="R57" s="405">
        <v>1800</v>
      </c>
      <c r="S57" s="402"/>
      <c r="T57" s="402"/>
      <c r="U57" s="402"/>
      <c r="V57" s="402"/>
      <c r="W57" s="402"/>
      <c r="X57" s="405"/>
      <c r="Y57" s="408">
        <v>1800</v>
      </c>
      <c r="Z57" s="409">
        <v>25969</v>
      </c>
      <c r="AA57" s="405">
        <f t="shared" si="0"/>
        <v>1950</v>
      </c>
      <c r="AB57" s="405"/>
      <c r="AC57" s="410" t="s">
        <v>460</v>
      </c>
      <c r="AD57" s="410" t="s">
        <v>496</v>
      </c>
      <c r="AE57" s="411" t="s">
        <v>461</v>
      </c>
      <c r="AF57" s="412"/>
      <c r="AG57" s="412"/>
      <c r="AH57" s="412"/>
      <c r="AI57" s="412"/>
    </row>
    <row r="58" spans="1:35" s="413" customFormat="1" ht="83.25" customHeight="1">
      <c r="A58" s="402">
        <f t="shared" si="1"/>
        <v>19</v>
      </c>
      <c r="B58" s="402" t="s">
        <v>338</v>
      </c>
      <c r="C58" s="403" t="s">
        <v>339</v>
      </c>
      <c r="D58" s="403" t="s">
        <v>394</v>
      </c>
      <c r="E58" s="404">
        <v>893</v>
      </c>
      <c r="F58" s="405">
        <v>27683</v>
      </c>
      <c r="G58" s="406">
        <v>26</v>
      </c>
      <c r="H58" s="407"/>
      <c r="I58" s="405">
        <v>23218</v>
      </c>
      <c r="J58" s="405"/>
      <c r="K58" s="402"/>
      <c r="L58" s="402"/>
      <c r="M58" s="402"/>
      <c r="N58" s="402"/>
      <c r="O58" s="402">
        <v>1934</v>
      </c>
      <c r="P58" s="402">
        <v>1117</v>
      </c>
      <c r="Q58" s="408">
        <v>26269</v>
      </c>
      <c r="R58" s="405">
        <v>1800</v>
      </c>
      <c r="S58" s="402"/>
      <c r="T58" s="402"/>
      <c r="U58" s="402"/>
      <c r="V58" s="402"/>
      <c r="W58" s="402"/>
      <c r="X58" s="405"/>
      <c r="Y58" s="408">
        <v>1800</v>
      </c>
      <c r="Z58" s="409">
        <v>24469</v>
      </c>
      <c r="AA58" s="405">
        <f t="shared" si="0"/>
        <v>1950</v>
      </c>
      <c r="AB58" s="405"/>
      <c r="AC58" s="410" t="s">
        <v>462</v>
      </c>
      <c r="AD58" s="410" t="s">
        <v>496</v>
      </c>
      <c r="AE58" s="411" t="s">
        <v>461</v>
      </c>
      <c r="AF58" s="412"/>
      <c r="AG58" s="412"/>
      <c r="AH58" s="412"/>
      <c r="AI58" s="412"/>
    </row>
    <row r="59" spans="1:35" s="413" customFormat="1" ht="83.25" customHeight="1">
      <c r="A59" s="402">
        <f t="shared" si="1"/>
        <v>20</v>
      </c>
      <c r="B59" s="402" t="s">
        <v>340</v>
      </c>
      <c r="C59" s="403" t="s">
        <v>341</v>
      </c>
      <c r="D59" s="403" t="s">
        <v>395</v>
      </c>
      <c r="E59" s="404">
        <v>760</v>
      </c>
      <c r="F59" s="405">
        <v>23560</v>
      </c>
      <c r="G59" s="406">
        <v>26</v>
      </c>
      <c r="H59" s="407"/>
      <c r="I59" s="405">
        <v>19760</v>
      </c>
      <c r="J59" s="405"/>
      <c r="K59" s="402"/>
      <c r="L59" s="402"/>
      <c r="M59" s="402"/>
      <c r="N59" s="402"/>
      <c r="O59" s="402">
        <v>1646</v>
      </c>
      <c r="P59" s="402">
        <v>950</v>
      </c>
      <c r="Q59" s="408">
        <v>22356</v>
      </c>
      <c r="R59" s="405">
        <v>1800</v>
      </c>
      <c r="S59" s="402">
        <v>149</v>
      </c>
      <c r="T59" s="402"/>
      <c r="U59" s="402"/>
      <c r="V59" s="402"/>
      <c r="W59" s="402"/>
      <c r="X59" s="405"/>
      <c r="Y59" s="408">
        <v>1949</v>
      </c>
      <c r="Z59" s="409">
        <v>20407</v>
      </c>
      <c r="AA59" s="405">
        <f t="shared" si="0"/>
        <v>1950</v>
      </c>
      <c r="AB59" s="405">
        <f>IF(I59&gt;21000,21000*3.25%,I59*3.25%)</f>
        <v>642.20000000000005</v>
      </c>
      <c r="AC59" s="410" t="s">
        <v>462</v>
      </c>
      <c r="AD59" s="410" t="s">
        <v>496</v>
      </c>
      <c r="AE59" s="411" t="s">
        <v>461</v>
      </c>
      <c r="AF59" s="412"/>
      <c r="AG59" s="412"/>
      <c r="AH59" s="412"/>
      <c r="AI59" s="412"/>
    </row>
    <row r="60" spans="1:35" s="413" customFormat="1" ht="83.25" customHeight="1">
      <c r="A60" s="402">
        <f t="shared" si="1"/>
        <v>21</v>
      </c>
      <c r="B60" s="402" t="s">
        <v>342</v>
      </c>
      <c r="C60" s="403" t="s">
        <v>343</v>
      </c>
      <c r="D60" s="403" t="s">
        <v>394</v>
      </c>
      <c r="E60" s="404">
        <v>893</v>
      </c>
      <c r="F60" s="405">
        <v>27683</v>
      </c>
      <c r="G60" s="406">
        <v>26</v>
      </c>
      <c r="H60" s="407"/>
      <c r="I60" s="405">
        <v>23218</v>
      </c>
      <c r="J60" s="405"/>
      <c r="K60" s="402"/>
      <c r="L60" s="402"/>
      <c r="M60" s="402"/>
      <c r="N60" s="402"/>
      <c r="O60" s="402">
        <v>1934</v>
      </c>
      <c r="P60" s="402">
        <v>1117</v>
      </c>
      <c r="Q60" s="408">
        <v>26269</v>
      </c>
      <c r="R60" s="405">
        <v>1800</v>
      </c>
      <c r="S60" s="402"/>
      <c r="T60" s="402"/>
      <c r="U60" s="402"/>
      <c r="V60" s="402"/>
      <c r="W60" s="402"/>
      <c r="X60" s="405"/>
      <c r="Y60" s="408">
        <v>1800</v>
      </c>
      <c r="Z60" s="409">
        <v>24469</v>
      </c>
      <c r="AA60" s="405">
        <f t="shared" si="0"/>
        <v>1950</v>
      </c>
      <c r="AB60" s="405"/>
      <c r="AC60" s="410" t="s">
        <v>462</v>
      </c>
      <c r="AD60" s="410" t="s">
        <v>496</v>
      </c>
      <c r="AE60" s="411" t="s">
        <v>461</v>
      </c>
      <c r="AF60" s="412"/>
      <c r="AG60" s="412"/>
      <c r="AH60" s="412"/>
      <c r="AI60" s="412"/>
    </row>
    <row r="61" spans="1:35" s="413" customFormat="1" ht="83.25" customHeight="1" hidden="1">
      <c r="A61" s="402">
        <v>19</v>
      </c>
      <c r="B61" s="402" t="s">
        <v>220</v>
      </c>
      <c r="C61" s="403" t="s">
        <v>344</v>
      </c>
      <c r="D61" s="403" t="s">
        <v>351</v>
      </c>
      <c r="E61" s="404">
        <v>893</v>
      </c>
      <c r="F61" s="405">
        <v>27683</v>
      </c>
      <c r="G61" s="406">
        <v>26</v>
      </c>
      <c r="H61" s="407">
        <v>6.7189249720045003</v>
      </c>
      <c r="I61" s="405">
        <v>23218</v>
      </c>
      <c r="J61" s="405"/>
      <c r="K61" s="402">
        <v>1500</v>
      </c>
      <c r="L61" s="402"/>
      <c r="M61" s="402"/>
      <c r="N61" s="402"/>
      <c r="O61" s="402">
        <v>1934</v>
      </c>
      <c r="P61" s="402">
        <v>1117</v>
      </c>
      <c r="Q61" s="408">
        <v>27769</v>
      </c>
      <c r="R61" s="405">
        <v>1800</v>
      </c>
      <c r="S61" s="402"/>
      <c r="T61" s="402"/>
      <c r="U61" s="402"/>
      <c r="V61" s="402"/>
      <c r="W61" s="402"/>
      <c r="X61" s="405"/>
      <c r="Y61" s="408">
        <v>1800</v>
      </c>
      <c r="Z61" s="409">
        <v>25969</v>
      </c>
      <c r="AA61" s="405">
        <f t="shared" si="0"/>
        <v>1950</v>
      </c>
      <c r="AB61" s="405"/>
      <c r="AC61" s="410" t="s">
        <v>462</v>
      </c>
      <c r="AD61" s="410" t="s">
        <v>496</v>
      </c>
      <c r="AE61" s="411" t="s">
        <v>461</v>
      </c>
      <c r="AF61" s="412"/>
      <c r="AG61" s="412"/>
      <c r="AH61" s="412"/>
      <c r="AI61" s="412"/>
    </row>
    <row r="62" spans="1:35" s="413" customFormat="1" ht="83.25" customHeight="1" hidden="1">
      <c r="A62" s="402">
        <v>20</v>
      </c>
      <c r="B62" s="402" t="s">
        <v>221</v>
      </c>
      <c r="C62" s="403" t="s">
        <v>345</v>
      </c>
      <c r="D62" s="403" t="s">
        <v>351</v>
      </c>
      <c r="E62" s="404">
        <v>893</v>
      </c>
      <c r="F62" s="405">
        <v>27683</v>
      </c>
      <c r="G62" s="406">
        <v>26</v>
      </c>
      <c r="H62" s="407"/>
      <c r="I62" s="405">
        <v>23218</v>
      </c>
      <c r="J62" s="405"/>
      <c r="K62" s="402"/>
      <c r="L62" s="402"/>
      <c r="M62" s="402"/>
      <c r="N62" s="402"/>
      <c r="O62" s="402">
        <v>1934</v>
      </c>
      <c r="P62" s="402">
        <v>1117</v>
      </c>
      <c r="Q62" s="408">
        <v>26269</v>
      </c>
      <c r="R62" s="405">
        <v>1800</v>
      </c>
      <c r="S62" s="402"/>
      <c r="T62" s="402"/>
      <c r="U62" s="402"/>
      <c r="V62" s="402"/>
      <c r="W62" s="402"/>
      <c r="X62" s="405"/>
      <c r="Y62" s="408">
        <v>1800</v>
      </c>
      <c r="Z62" s="409">
        <v>24469</v>
      </c>
      <c r="AA62" s="405">
        <f t="shared" si="0"/>
        <v>1950</v>
      </c>
      <c r="AB62" s="405"/>
      <c r="AC62" s="410" t="s">
        <v>462</v>
      </c>
      <c r="AD62" s="410" t="s">
        <v>496</v>
      </c>
      <c r="AE62" s="411" t="s">
        <v>461</v>
      </c>
      <c r="AF62" s="412"/>
      <c r="AG62" s="412"/>
      <c r="AH62" s="412"/>
      <c r="AI62" s="412"/>
    </row>
    <row r="63" spans="1:35" s="413" customFormat="1" ht="83.25" customHeight="1" thickBot="1">
      <c r="A63" s="402">
        <f t="shared" si="1"/>
        <v>21</v>
      </c>
      <c r="B63" s="402" t="s">
        <v>346</v>
      </c>
      <c r="C63" s="403" t="s">
        <v>347</v>
      </c>
      <c r="D63" s="403" t="s">
        <v>394</v>
      </c>
      <c r="E63" s="404">
        <v>893</v>
      </c>
      <c r="F63" s="405">
        <v>27683</v>
      </c>
      <c r="G63" s="406">
        <v>26</v>
      </c>
      <c r="H63" s="407"/>
      <c r="I63" s="405">
        <v>23218</v>
      </c>
      <c r="J63" s="405"/>
      <c r="K63" s="402"/>
      <c r="L63" s="402"/>
      <c r="M63" s="402"/>
      <c r="N63" s="402"/>
      <c r="O63" s="402">
        <v>1934</v>
      </c>
      <c r="P63" s="402">
        <v>1117</v>
      </c>
      <c r="Q63" s="408">
        <v>26269</v>
      </c>
      <c r="R63" s="405">
        <v>1800</v>
      </c>
      <c r="S63" s="402"/>
      <c r="T63" s="402"/>
      <c r="U63" s="402"/>
      <c r="V63" s="402"/>
      <c r="W63" s="402"/>
      <c r="X63" s="405"/>
      <c r="Y63" s="408">
        <v>1800</v>
      </c>
      <c r="Z63" s="409">
        <v>24469</v>
      </c>
      <c r="AA63" s="405">
        <f t="shared" si="0"/>
        <v>1950</v>
      </c>
      <c r="AB63" s="405"/>
      <c r="AC63" s="410" t="s">
        <v>462</v>
      </c>
      <c r="AD63" s="410" t="s">
        <v>496</v>
      </c>
      <c r="AE63" s="411" t="s">
        <v>461</v>
      </c>
      <c r="AF63" s="412"/>
      <c r="AG63" s="412"/>
      <c r="AH63" s="412"/>
      <c r="AI63" s="412"/>
    </row>
    <row r="64" spans="1:35" s="413" customFormat="1" ht="83.25" customHeight="1" hidden="1" thickBot="1">
      <c r="A64" s="402">
        <v>21</v>
      </c>
      <c r="B64" s="402" t="s">
        <v>231</v>
      </c>
      <c r="C64" s="403" t="s">
        <v>348</v>
      </c>
      <c r="D64" s="403" t="s">
        <v>352</v>
      </c>
      <c r="E64" s="404">
        <v>760</v>
      </c>
      <c r="F64" s="405">
        <v>23560</v>
      </c>
      <c r="G64" s="406">
        <v>26</v>
      </c>
      <c r="H64" s="407"/>
      <c r="I64" s="405">
        <v>19760</v>
      </c>
      <c r="J64" s="405"/>
      <c r="K64" s="402"/>
      <c r="L64" s="402"/>
      <c r="M64" s="402"/>
      <c r="N64" s="402"/>
      <c r="O64" s="402">
        <v>1646</v>
      </c>
      <c r="P64" s="402">
        <v>950</v>
      </c>
      <c r="Q64" s="408">
        <v>22356</v>
      </c>
      <c r="R64" s="405">
        <v>1800</v>
      </c>
      <c r="S64" s="402">
        <v>149</v>
      </c>
      <c r="T64" s="402"/>
      <c r="U64" s="402"/>
      <c r="V64" s="402"/>
      <c r="W64" s="402"/>
      <c r="X64" s="405"/>
      <c r="Y64" s="408">
        <v>1949</v>
      </c>
      <c r="Z64" s="409">
        <v>20407</v>
      </c>
      <c r="AA64" s="405">
        <f t="shared" si="0"/>
        <v>1950</v>
      </c>
      <c r="AB64" s="405">
        <f>IF(I64&gt;21000,21000*3.25%,I64*3.25%)</f>
        <v>642.20000000000005</v>
      </c>
      <c r="AC64" s="410" t="s">
        <v>462</v>
      </c>
      <c r="AD64" s="410" t="s">
        <v>496</v>
      </c>
      <c r="AE64" s="411" t="s">
        <v>461</v>
      </c>
      <c r="AF64" s="412"/>
      <c r="AG64" s="412"/>
      <c r="AH64" s="412"/>
      <c r="AI64" s="412"/>
    </row>
    <row r="65" spans="1:31" s="379" customFormat="1" ht="30" customHeight="1" thickBot="1">
      <c r="A65" s="397"/>
      <c r="B65" s="398"/>
      <c r="C65" s="399" t="s">
        <v>142</v>
      </c>
      <c r="D65" s="399"/>
      <c r="E65" s="400">
        <f>SUM(E23:E64)</f>
        <v>34940</v>
      </c>
      <c r="F65" s="400">
        <f t="shared" si="2" ref="F65:AB65">SUM(F23:F64)</f>
        <v>1083140</v>
      </c>
      <c r="G65" s="400">
        <f t="shared" si="2"/>
        <v>1092</v>
      </c>
      <c r="H65" s="400">
        <f t="shared" si="2"/>
        <v>91.71949574173081</v>
      </c>
      <c r="I65" s="400">
        <f t="shared" si="2"/>
        <v>908440</v>
      </c>
      <c r="J65" s="400">
        <f t="shared" si="2"/>
        <v>0</v>
      </c>
      <c r="K65" s="400">
        <f>SUM(K23:K64)</f>
        <v>20002</v>
      </c>
      <c r="L65" s="400">
        <f t="shared" si="2"/>
        <v>0</v>
      </c>
      <c r="M65" s="400">
        <f t="shared" si="2"/>
        <v>0</v>
      </c>
      <c r="N65" s="400">
        <f t="shared" si="2"/>
        <v>0</v>
      </c>
      <c r="O65" s="400">
        <f t="shared" si="2"/>
        <v>75674</v>
      </c>
      <c r="P65" s="400">
        <f t="shared" si="2"/>
        <v>43693</v>
      </c>
      <c r="Q65" s="400">
        <f t="shared" si="2"/>
        <v>1047809</v>
      </c>
      <c r="R65" s="400">
        <f t="shared" si="2"/>
        <v>75600</v>
      </c>
      <c r="S65" s="400">
        <f t="shared" si="2"/>
        <v>2929</v>
      </c>
      <c r="T65" s="400">
        <f t="shared" si="2"/>
        <v>0</v>
      </c>
      <c r="U65" s="400">
        <f t="shared" si="2"/>
        <v>0</v>
      </c>
      <c r="V65" s="400">
        <f t="shared" si="2"/>
        <v>0</v>
      </c>
      <c r="W65" s="400">
        <f t="shared" si="2"/>
        <v>0</v>
      </c>
      <c r="X65" s="400">
        <f t="shared" si="2"/>
        <v>0</v>
      </c>
      <c r="Y65" s="400">
        <f t="shared" si="2"/>
        <v>78529</v>
      </c>
      <c r="Z65" s="400">
        <f t="shared" si="2"/>
        <v>969280</v>
      </c>
      <c r="AA65" s="400">
        <f t="shared" si="2"/>
        <v>81900</v>
      </c>
      <c r="AB65" s="400">
        <f t="shared" si="2"/>
        <v>12625.990000000003</v>
      </c>
      <c r="AC65" s="401"/>
      <c r="AD65" s="401"/>
      <c r="AE65" s="401"/>
    </row>
    <row r="66" spans="3:28" s="379" customFormat="1" ht="30" customHeight="1">
      <c r="C66" s="206"/>
      <c r="D66" s="206"/>
      <c r="E66" s="207"/>
      <c r="F66" s="207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  <c r="X66" s="208"/>
      <c r="Y66" s="208"/>
      <c r="Z66" s="208"/>
      <c r="AA66" s="208"/>
      <c r="AB66" s="208"/>
    </row>
    <row r="67" spans="17:26" ht="12.75">
      <c r="Q67" s="209">
        <v>519669</v>
      </c>
      <c r="Z67" s="209"/>
    </row>
    <row r="68" spans="17:17" s="210" customFormat="1" ht="18.75">
      <c r="Q68" s="210">
        <v>47299</v>
      </c>
    </row>
    <row r="69" spans="17:17" ht="12.75">
      <c r="Q69" s="392">
        <f>Q68+Q67</f>
        <v>566968</v>
      </c>
    </row>
  </sheetData>
  <sheetProtection/>
  <autoFilter ref="A22:AI65">
    <filterColumn colId="3">
      <filters blank="1">
        <filter val="Highly Skilled - CTCK"/>
        <filter val="Semi Skilled - CTCK"/>
        <filter val="Skilled - CTCK"/>
        <filter val="Unskilled - CTCK"/>
      </filters>
    </filterColumn>
  </autoFilter>
  <mergeCells count="55">
    <mergeCell ref="A5:H5"/>
    <mergeCell ref="I5:M5"/>
    <mergeCell ref="N5:T5"/>
    <mergeCell ref="U5:Y5"/>
    <mergeCell ref="A1:AE1"/>
    <mergeCell ref="A2:AE2"/>
    <mergeCell ref="U8:Y8"/>
    <mergeCell ref="A10:I10"/>
    <mergeCell ref="A6:H6"/>
    <mergeCell ref="I6:M7"/>
    <mergeCell ref="N6:T7"/>
    <mergeCell ref="U6:Y7"/>
    <mergeCell ref="A7:H7"/>
    <mergeCell ref="A8:H8"/>
    <mergeCell ref="I8:M8"/>
    <mergeCell ref="N8:T8"/>
    <mergeCell ref="I20:I21"/>
    <mergeCell ref="A12:I12"/>
    <mergeCell ref="A14:I14"/>
    <mergeCell ref="A16:I16"/>
    <mergeCell ref="K16:W16"/>
    <mergeCell ref="X16:Z16"/>
    <mergeCell ref="K14:AE14"/>
    <mergeCell ref="AA16:AE16"/>
    <mergeCell ref="AB20:AB21"/>
    <mergeCell ref="O20:O21"/>
    <mergeCell ref="A18:I18"/>
    <mergeCell ref="K18:W18"/>
    <mergeCell ref="A20:A21"/>
    <mergeCell ref="B20:B21"/>
    <mergeCell ref="C20:C21"/>
    <mergeCell ref="E20:E21"/>
    <mergeCell ref="F20:F21"/>
    <mergeCell ref="G20:G21"/>
    <mergeCell ref="H20:H21"/>
    <mergeCell ref="P20:P21"/>
    <mergeCell ref="Q20:Q21"/>
    <mergeCell ref="R20:Y20"/>
    <mergeCell ref="Z20:Z21"/>
    <mergeCell ref="AA20:AA21"/>
    <mergeCell ref="J20:J21"/>
    <mergeCell ref="K20:K21"/>
    <mergeCell ref="L20:L21"/>
    <mergeCell ref="M20:M21"/>
    <mergeCell ref="N20:N21"/>
    <mergeCell ref="D20:D21"/>
    <mergeCell ref="AE20:AE21"/>
    <mergeCell ref="A4:AE4"/>
    <mergeCell ref="Z5:AE5"/>
    <mergeCell ref="Z6:AE7"/>
    <mergeCell ref="Z8:AE8"/>
    <mergeCell ref="K10:AE10"/>
    <mergeCell ref="K12:AE12"/>
    <mergeCell ref="AC20:AC21"/>
    <mergeCell ref="AD20:AD21"/>
  </mergeCells>
  <pageMargins left="0.75" right="0.5" top="1" bottom="0.75" header="0.3" footer="0.3"/>
  <pageSetup fitToHeight="0" horizontalDpi="300" verticalDpi="300" orientation="portrait" paperSize="1" scale="21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BF1D438-C6B7-42B8-9543-8BC0FCF6B9AB}">
  <sheetPr codeName="Sheet8"/>
  <dimension ref="A1:F20"/>
  <sheetViews>
    <sheetView workbookViewId="0" topLeftCell="A1">
      <selection pane="topLeft" activeCell="D3" sqref="D3"/>
    </sheetView>
  </sheetViews>
  <sheetFormatPr defaultRowHeight="12.75"/>
  <cols>
    <col min="1" max="1" width="30" bestFit="1" customWidth="1"/>
    <col min="2" max="2" width="25.5714285714286" bestFit="1" customWidth="1"/>
    <col min="3" max="3" width="23.1428571428571" bestFit="1" customWidth="1"/>
    <col min="4" max="4" width="18.5714285714286" bestFit="1" customWidth="1"/>
    <col min="5" max="5" width="22" bestFit="1" customWidth="1"/>
    <col min="6" max="6" width="7.57142857142857" bestFit="1" customWidth="1"/>
  </cols>
  <sheetData>
    <row r="1" spans="1:6" ht="12.75">
      <c r="A1" s="31" t="s">
        <v>354</v>
      </c>
      <c r="B1" s="369" t="str">
        <f t="array" ref="B1:E1">'FORM B'!AA16:AD16</f>
        <v>01 Oct 2025 To 31 Oct 2025</v>
      </c>
      <c r="C1">
        <v>0</v>
      </c>
      <c r="D1">
        <v>0</v>
      </c>
      <c r="E1" s="31">
        <v>0</v>
      </c>
      <c r="F1" s="31"/>
    </row>
    <row r="2" spans="1:6" ht="12.75">
      <c r="A2" s="31" t="s">
        <v>362</v>
      </c>
      <c r="B2" s="369" t="s">
        <v>500</v>
      </c>
      <c r="C2" s="31" t="s">
        <v>363</v>
      </c>
      <c r="D2" s="31" t="s">
        <v>501</v>
      </c>
      <c r="E2" s="31"/>
      <c r="F2" s="31"/>
    </row>
    <row r="3" spans="1:6" ht="12.75">
      <c r="A3" s="31" t="s">
        <v>355</v>
      </c>
      <c r="B3" s="370" t="s">
        <v>497</v>
      </c>
      <c r="E3" s="31"/>
      <c r="F3" s="211"/>
    </row>
    <row r="4" spans="1:6" ht="12.75">
      <c r="A4" s="31" t="s">
        <v>82</v>
      </c>
      <c r="B4" s="371">
        <v>45964</v>
      </c>
      <c r="E4" s="31"/>
      <c r="F4" s="212"/>
    </row>
    <row r="5" spans="1:5" ht="12.75">
      <c r="A5" s="31" t="s">
        <v>356</v>
      </c>
      <c r="B5" s="372">
        <v>19</v>
      </c>
      <c r="C5" t="str">
        <f>A5&amp;B5</f>
        <v>RA BILL NO-19</v>
      </c>
      <c r="E5" s="31"/>
    </row>
    <row r="6" spans="1:6" ht="12.75">
      <c r="A6" s="31" t="s">
        <v>22</v>
      </c>
      <c r="B6" s="373">
        <v>45964</v>
      </c>
      <c r="E6" s="31"/>
      <c r="F6" s="213"/>
    </row>
    <row r="7" spans="1:6" ht="12.75">
      <c r="A7" s="31"/>
      <c r="B7" s="213"/>
      <c r="E7" s="31"/>
      <c r="F7" s="213"/>
    </row>
    <row r="8" spans="1:5" ht="12.75">
      <c r="A8" s="31" t="s">
        <v>364</v>
      </c>
      <c r="B8">
        <v>26</v>
      </c>
      <c r="E8" s="31"/>
    </row>
    <row r="9" spans="1:5" ht="12.75">
      <c r="A9" s="31"/>
      <c r="E9" s="31"/>
    </row>
    <row r="11" spans="2:6" ht="12.75">
      <c r="B11" t="s">
        <v>350</v>
      </c>
      <c r="C11" t="s">
        <v>351</v>
      </c>
      <c r="D11" t="s">
        <v>352</v>
      </c>
      <c r="E11" t="s">
        <v>353</v>
      </c>
      <c r="F11" s="213"/>
    </row>
    <row r="12" spans="1:5" ht="12.75">
      <c r="A12" s="31" t="s">
        <v>361</v>
      </c>
      <c r="B12">
        <v>915</v>
      </c>
      <c r="C12">
        <v>832</v>
      </c>
      <c r="D12">
        <v>709</v>
      </c>
      <c r="E12">
        <v>628</v>
      </c>
    </row>
    <row r="13" spans="1:6" ht="12.75">
      <c r="A13" s="214" t="s">
        <v>498</v>
      </c>
      <c r="B13">
        <v>981</v>
      </c>
      <c r="C13">
        <v>893</v>
      </c>
      <c r="D13">
        <v>760</v>
      </c>
      <c r="E13" s="31">
        <v>674</v>
      </c>
      <c r="F13" s="168"/>
    </row>
    <row r="15" spans="1:4" ht="12.75">
      <c r="A15" t="s">
        <v>357</v>
      </c>
      <c r="B15">
        <v>4302507009884</v>
      </c>
      <c r="C15" t="s">
        <v>358</v>
      </c>
      <c r="D15" s="367">
        <v>4425132462029</v>
      </c>
    </row>
    <row r="16" spans="1:4" ht="12.75">
      <c r="A16" t="s">
        <v>359</v>
      </c>
      <c r="B16" s="384" t="s">
        <v>477</v>
      </c>
      <c r="C16" t="s">
        <v>359</v>
      </c>
      <c r="D16" s="389">
        <v>15645</v>
      </c>
    </row>
    <row r="17" spans="1:4" ht="12.75">
      <c r="A17" t="s">
        <v>360</v>
      </c>
      <c r="B17" s="366">
        <v>45882</v>
      </c>
      <c r="C17" t="s">
        <v>360</v>
      </c>
      <c r="D17" s="366">
        <v>45883</v>
      </c>
    </row>
    <row r="19" spans="1:4" ht="12.75">
      <c r="A19" s="31" t="s">
        <v>457</v>
      </c>
      <c r="B19" s="168">
        <f t="array" ref="B19:D19">'Tax Invoice (BBSR)'!J45:L45</f>
        <v>928068</v>
      </c>
      <c r="C19">
        <v>0</v>
      </c>
      <c r="D19">
        <v>0</v>
      </c>
    </row>
    <row r="20" spans="1:4" ht="12.75">
      <c r="A20" s="31" t="s">
        <v>458</v>
      </c>
      <c r="B20" s="168">
        <f t="array" ref="B20:D20">'Tax Invoice (CTCK)'!J44:L44</f>
        <v>915087.54599999997</v>
      </c>
      <c r="C20">
        <v>0</v>
      </c>
      <c r="D20">
        <v>0</v>
      </c>
    </row>
  </sheetData>
  <sheetProtection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1" name="">
              <controlPr defaultSize="0" print="0" autoLine="0" autoPict="0" macro="[0]!BBSR">
                <anchor moveWithCells="1" sizeWithCells="1">
                  <from>
                    <xdr:col>6</xdr:col>
                    <xdr:colOff>219075</xdr:colOff>
                    <xdr:row>0</xdr:row>
                    <xdr:rowOff>142949</xdr:rowOff>
                  </from>
                  <to>
                    <xdr:col>11</xdr:col>
                    <xdr:colOff>114300</xdr:colOff>
                    <xdr:row>10</xdr:row>
                    <xdr:rowOff>114486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2" name="">
              <controlPr defaultSize="0" print="0" autoLine="0" autoPict="0" macro="[0]!CTCK">
                <anchor moveWithCells="1" sizeWithCells="1">
                  <from>
                    <xdr:col>6</xdr:col>
                    <xdr:colOff>228600</xdr:colOff>
                    <xdr:row>11</xdr:row>
                    <xdr:rowOff>95510</xdr:rowOff>
                  </from>
                  <to>
                    <xdr:col>11</xdr:col>
                    <xdr:colOff>123825</xdr:colOff>
                    <xdr:row>21</xdr:row>
                    <xdr:rowOff>66415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699B71D-3D2F-4156-9796-F7A5C46CB9AB}">
  <sheetPr codeName="Sheet9">
    <pageSetUpPr fitToPage="1"/>
  </sheetPr>
  <dimension ref="A1:L150"/>
  <sheetViews>
    <sheetView view="pageBreakPreview" zoomScale="115" zoomScaleNormal="100" zoomScaleSheetLayoutView="115" workbookViewId="0" topLeftCell="A1">
      <selection pane="topLeft" activeCell="B1" sqref="B1"/>
    </sheetView>
  </sheetViews>
  <sheetFormatPr defaultRowHeight="12.75"/>
  <cols>
    <col min="2" max="2" width="11.5714285714286" customWidth="1"/>
    <col min="3" max="3" width="8.28571428571429" customWidth="1"/>
    <col min="4" max="4" width="7.85714285714286" customWidth="1"/>
    <col min="7" max="7" width="12.4285714285714" customWidth="1"/>
    <col min="8" max="8" width="6.28571428571429" customWidth="1"/>
    <col min="9" max="9" width="12.1428571428571" customWidth="1"/>
    <col min="11" max="11" width="13.4285714285714" customWidth="1"/>
  </cols>
  <sheetData>
    <row r="1" spans="7:9" ht="15">
      <c r="G1" s="339"/>
      <c r="I1" s="339" t="s">
        <v>398</v>
      </c>
    </row>
    <row r="2" spans="7:9" ht="15">
      <c r="G2" s="339"/>
      <c r="I2" s="339" t="s">
        <v>399</v>
      </c>
    </row>
    <row r="3" spans="7:9" ht="15">
      <c r="G3" s="339"/>
      <c r="I3" s="339" t="s">
        <v>400</v>
      </c>
    </row>
    <row r="4" spans="7:9" ht="15">
      <c r="G4" s="339"/>
      <c r="I4" s="339" t="s">
        <v>401</v>
      </c>
    </row>
    <row r="5" spans="7:9" ht="15">
      <c r="G5" s="339"/>
      <c r="I5" s="339" t="s">
        <v>402</v>
      </c>
    </row>
    <row r="6" spans="7:9" ht="15">
      <c r="G6" s="339"/>
      <c r="I6" s="339" t="s">
        <v>403</v>
      </c>
    </row>
    <row r="8" spans="1:11" ht="15.75" customHeight="1">
      <c r="A8" s="667" t="s">
        <v>404</v>
      </c>
      <c r="B8" s="667"/>
      <c r="C8" s="667"/>
      <c r="D8" s="667"/>
      <c r="E8" s="667"/>
      <c r="F8" s="667"/>
      <c r="G8" s="667"/>
      <c r="H8" s="667"/>
      <c r="I8" s="667"/>
      <c r="J8" s="667"/>
      <c r="K8" s="667"/>
    </row>
    <row r="9" spans="2:11" ht="12.75">
      <c r="B9" s="340"/>
      <c r="C9" s="340"/>
      <c r="D9" s="340"/>
      <c r="E9" s="340"/>
      <c r="F9" s="340"/>
      <c r="G9" s="341"/>
      <c r="J9" s="668" t="s">
        <v>405</v>
      </c>
      <c r="K9" s="668"/>
    </row>
    <row r="10" spans="1:11" ht="21" customHeight="1">
      <c r="A10" s="669" t="str">
        <f>"Subject: Particulars of PF Contribution for the Month of "&amp;'Working Sheet'!B3</f>
        <v>Subject: Particulars of PF Contribution for the Month of OCTOBER-2025</v>
      </c>
      <c r="B10" s="669"/>
      <c r="C10" s="669"/>
      <c r="D10" s="669"/>
      <c r="E10" s="669"/>
      <c r="F10" s="669"/>
      <c r="G10" s="669"/>
      <c r="H10" s="669"/>
      <c r="I10" s="669"/>
      <c r="J10" s="669"/>
      <c r="K10" s="669"/>
    </row>
    <row r="11" spans="1:6" ht="15">
      <c r="A11" s="342" t="s">
        <v>406</v>
      </c>
      <c r="B11" s="342"/>
      <c r="C11" s="342"/>
      <c r="D11" s="342"/>
      <c r="E11" s="342"/>
      <c r="F11" s="342"/>
    </row>
    <row r="12" spans="1:5" ht="15.75">
      <c r="A12" s="343" t="s">
        <v>407</v>
      </c>
      <c r="B12" s="343"/>
      <c r="C12" s="343"/>
      <c r="D12" s="343"/>
      <c r="E12" s="343"/>
    </row>
    <row r="13" spans="1:4" ht="15.75">
      <c r="A13" s="343" t="s">
        <v>408</v>
      </c>
      <c r="B13" s="344"/>
      <c r="C13" s="344"/>
      <c r="D13" s="344"/>
    </row>
    <row r="14" spans="1:4" ht="15.75">
      <c r="A14" s="343" t="s">
        <v>409</v>
      </c>
      <c r="B14" s="344"/>
      <c r="C14" s="344"/>
      <c r="D14" s="344"/>
    </row>
    <row r="15" spans="1:4" ht="15.75">
      <c r="A15" s="343" t="s">
        <v>410</v>
      </c>
      <c r="B15" s="344"/>
      <c r="C15" s="344"/>
      <c r="D15" s="344"/>
    </row>
    <row r="16" spans="1:12" ht="15.75">
      <c r="A16" s="343" t="s">
        <v>411</v>
      </c>
      <c r="B16" s="344"/>
      <c r="C16" s="344"/>
      <c r="D16" s="344"/>
      <c r="L16" s="31"/>
    </row>
    <row r="17" spans="1:12" ht="15.75">
      <c r="A17" s="343" t="s">
        <v>412</v>
      </c>
      <c r="B17" s="344"/>
      <c r="C17" s="344"/>
      <c r="D17" s="344"/>
      <c r="L17" s="31"/>
    </row>
    <row r="18" spans="1:5" ht="15.75">
      <c r="A18" s="343" t="s">
        <v>443</v>
      </c>
      <c r="B18" s="343"/>
      <c r="C18" s="343"/>
      <c r="D18" s="343"/>
      <c r="E18" s="343"/>
    </row>
    <row r="19" spans="1:4" ht="15.75">
      <c r="A19" s="343" t="s">
        <v>444</v>
      </c>
      <c r="B19" s="344"/>
      <c r="C19" s="344"/>
      <c r="D19" s="344"/>
    </row>
    <row r="20" spans="1:4" ht="15.75">
      <c r="A20" s="345" t="s">
        <v>445</v>
      </c>
      <c r="B20" s="345"/>
      <c r="C20" s="345"/>
      <c r="D20" s="345"/>
    </row>
    <row r="21" spans="1:4" ht="15.75">
      <c r="A21" s="193" t="s">
        <v>413</v>
      </c>
      <c r="B21" s="193"/>
      <c r="C21" s="193"/>
      <c r="D21" s="193"/>
    </row>
    <row r="22" spans="1:5" ht="15.75">
      <c r="A22" s="193" t="s">
        <v>446</v>
      </c>
      <c r="B22" s="193"/>
      <c r="C22" s="193"/>
      <c r="D22" s="193"/>
      <c r="E22" s="193"/>
    </row>
    <row r="23" spans="1:1" ht="15.75">
      <c r="A23" s="31" t="s">
        <v>476</v>
      </c>
    </row>
    <row r="24" spans="1:4" ht="15.75">
      <c r="A24" s="346" t="s">
        <v>447</v>
      </c>
      <c r="B24" s="346"/>
      <c r="C24" s="346"/>
      <c r="D24" s="346"/>
    </row>
    <row r="25" spans="1:4" ht="15.75">
      <c r="A25" s="391" t="s">
        <v>478</v>
      </c>
      <c r="B25" s="346"/>
      <c r="C25" s="346"/>
      <c r="D25" s="346"/>
    </row>
    <row r="26" spans="1:5" ht="15.75">
      <c r="A26" s="346" t="s">
        <v>414</v>
      </c>
      <c r="B26" s="346"/>
      <c r="C26" s="346"/>
      <c r="D26" s="346"/>
      <c r="E26" s="346"/>
    </row>
    <row r="27" spans="1:9" ht="15.75">
      <c r="A27" s="197" t="str">
        <f>"      (a)  EPF Challan No. "&amp;'Working Sheet'!B15</f>
        <v xml:space="preserve">      (a)  EPF Challan No. 4302507009884</v>
      </c>
      <c r="B27" s="197"/>
      <c r="C27" s="197"/>
      <c r="D27" s="197"/>
      <c r="E27" s="347"/>
      <c r="F27" s="197" t="s">
        <v>415</v>
      </c>
      <c r="G27" s="383" t="str">
        <f>'Working Sheet'!B16</f>
        <v>1,57,500.00</v>
      </c>
      <c r="H27" s="197" t="s">
        <v>360</v>
      </c>
      <c r="I27" s="348">
        <f>'Working Sheet'!B17</f>
        <v>45882</v>
      </c>
    </row>
    <row r="28" spans="1:6" ht="15.75">
      <c r="A28" s="670" t="s">
        <v>416</v>
      </c>
      <c r="B28" s="670"/>
      <c r="C28" s="670"/>
      <c r="D28" s="670"/>
      <c r="E28" s="670"/>
      <c r="F28" s="670"/>
    </row>
    <row r="29" spans="1:9" ht="15.75">
      <c r="A29" s="197" t="str">
        <f>"      (a)  ESI Challan No. "&amp;'Working Sheet'!D15</f>
        <v xml:space="preserve">      (a)  ESI Challan No. 4425132462029</v>
      </c>
      <c r="B29" s="197"/>
      <c r="C29" s="193"/>
      <c r="F29" s="197" t="s">
        <v>415</v>
      </c>
      <c r="G29" s="347">
        <f>'Working Sheet'!D16</f>
        <v>15645</v>
      </c>
      <c r="H29" s="197" t="s">
        <v>360</v>
      </c>
      <c r="I29" s="348">
        <f>'Working Sheet'!D17</f>
        <v>45883</v>
      </c>
    </row>
    <row r="30" spans="1:6" ht="15.75">
      <c r="A30" s="670"/>
      <c r="B30" s="670"/>
      <c r="C30" s="670"/>
      <c r="D30" s="670"/>
      <c r="E30" s="670"/>
      <c r="F30" s="670"/>
    </row>
    <row r="32" spans="1:11" ht="15">
      <c r="A32" s="671" t="s">
        <v>417</v>
      </c>
      <c r="B32" s="672"/>
      <c r="C32" s="673"/>
      <c r="D32" s="671" t="s">
        <v>418</v>
      </c>
      <c r="E32" s="672"/>
      <c r="F32" s="672"/>
      <c r="G32" s="673"/>
      <c r="H32" s="674" t="s">
        <v>419</v>
      </c>
      <c r="I32" s="674"/>
      <c r="J32" s="674"/>
      <c r="K32" s="674"/>
    </row>
    <row r="33" spans="1:11" ht="15.75">
      <c r="A33" s="660" t="s">
        <v>420</v>
      </c>
      <c r="B33" s="660"/>
      <c r="C33" s="660"/>
      <c r="D33" s="661">
        <v>2</v>
      </c>
      <c r="E33" s="662"/>
      <c r="F33" s="662"/>
      <c r="G33" s="663"/>
      <c r="H33" s="659">
        <f>'Working Sheet'!E13</f>
        <v>674</v>
      </c>
      <c r="I33" s="659"/>
      <c r="J33" s="659"/>
      <c r="K33" s="659"/>
    </row>
    <row r="34" spans="1:11" ht="15.75" customHeight="1">
      <c r="A34" s="664" t="s">
        <v>421</v>
      </c>
      <c r="B34" s="665"/>
      <c r="C34" s="666"/>
      <c r="D34" s="656">
        <v>18</v>
      </c>
      <c r="E34" s="657"/>
      <c r="F34" s="657"/>
      <c r="G34" s="658"/>
      <c r="H34" s="659">
        <f>'Working Sheet'!D13</f>
        <v>760</v>
      </c>
      <c r="I34" s="659"/>
      <c r="J34" s="659"/>
      <c r="K34" s="659"/>
    </row>
    <row r="35" spans="1:11" ht="15.75">
      <c r="A35" s="653" t="s">
        <v>422</v>
      </c>
      <c r="B35" s="654"/>
      <c r="C35" s="655"/>
      <c r="D35" s="656">
        <v>18</v>
      </c>
      <c r="E35" s="657"/>
      <c r="F35" s="657"/>
      <c r="G35" s="658"/>
      <c r="H35" s="659">
        <f>'Working Sheet'!C13</f>
        <v>893</v>
      </c>
      <c r="I35" s="659"/>
      <c r="J35" s="659"/>
      <c r="K35" s="659"/>
    </row>
    <row r="36" spans="1:11" ht="15.75" customHeight="1">
      <c r="A36" s="653" t="s">
        <v>423</v>
      </c>
      <c r="B36" s="654"/>
      <c r="C36" s="655"/>
      <c r="D36" s="656">
        <v>4</v>
      </c>
      <c r="E36" s="657"/>
      <c r="F36" s="657"/>
      <c r="G36" s="658"/>
      <c r="H36" s="659">
        <f>'Working Sheet'!B13</f>
        <v>981</v>
      </c>
      <c r="I36" s="659"/>
      <c r="J36" s="659"/>
      <c r="K36" s="659"/>
    </row>
    <row r="37" spans="1:11" ht="15.75">
      <c r="A37" s="647" t="s">
        <v>424</v>
      </c>
      <c r="B37" s="647"/>
      <c r="C37" s="647"/>
      <c r="D37" s="648">
        <f>SUM(D33:E36)</f>
        <v>42</v>
      </c>
      <c r="E37" s="649"/>
      <c r="F37" s="649"/>
      <c r="G37" s="650"/>
      <c r="H37" s="651"/>
      <c r="I37" s="651"/>
      <c r="J37" s="651"/>
      <c r="K37" s="651"/>
    </row>
    <row r="39" spans="1:4" ht="15.75">
      <c r="A39" s="349"/>
      <c r="B39" s="349"/>
      <c r="C39" s="349"/>
      <c r="D39" s="30" t="s">
        <v>425</v>
      </c>
    </row>
    <row r="42" spans="1:4" ht="21" customHeight="1">
      <c r="A42" s="350" t="s">
        <v>426</v>
      </c>
      <c r="B42" s="652" t="s">
        <v>448</v>
      </c>
      <c r="C42" s="652"/>
      <c r="D42" s="340"/>
    </row>
    <row r="43" spans="1:4" ht="15.75">
      <c r="A43" s="350" t="s">
        <v>427</v>
      </c>
      <c r="B43" s="351">
        <f>'Working Sheet'!B17</f>
        <v>45882</v>
      </c>
      <c r="C43" s="340"/>
      <c r="D43" s="340"/>
    </row>
    <row r="44" spans="1:4" ht="15.75">
      <c r="A44" s="350"/>
      <c r="B44" s="351"/>
      <c r="C44" s="340"/>
      <c r="D44" s="340"/>
    </row>
    <row r="45" spans="1:4" ht="15.75">
      <c r="A45" s="350"/>
      <c r="B45" s="351"/>
      <c r="C45" s="340"/>
      <c r="D45" s="340"/>
    </row>
    <row r="46" spans="1:4" ht="15.75">
      <c r="A46" s="350"/>
      <c r="B46" s="351"/>
      <c r="C46" s="340"/>
      <c r="D46" s="340"/>
    </row>
    <row r="47" spans="1:4" ht="15.75">
      <c r="A47" s="350"/>
      <c r="B47" s="351"/>
      <c r="C47" s="340"/>
      <c r="D47" s="340"/>
    </row>
    <row r="48" spans="1:4" ht="15.75">
      <c r="A48" s="350"/>
      <c r="B48" s="351"/>
      <c r="C48" s="340"/>
      <c r="D48" s="340"/>
    </row>
    <row r="50" spans="6:9" ht="15">
      <c r="F50" s="339"/>
      <c r="I50" s="339" t="s">
        <v>398</v>
      </c>
    </row>
    <row r="51" spans="6:9" ht="15">
      <c r="F51" s="339"/>
      <c r="I51" s="339" t="s">
        <v>399</v>
      </c>
    </row>
    <row r="52" spans="6:9" ht="15">
      <c r="F52" s="339"/>
      <c r="I52" s="339" t="s">
        <v>400</v>
      </c>
    </row>
    <row r="53" spans="6:9" ht="15">
      <c r="F53" s="339"/>
      <c r="I53" s="339" t="s">
        <v>401</v>
      </c>
    </row>
    <row r="54" spans="6:9" ht="15">
      <c r="F54" s="339"/>
      <c r="I54" s="339" t="s">
        <v>402</v>
      </c>
    </row>
    <row r="55" spans="6:9" ht="15">
      <c r="F55" s="339"/>
      <c r="I55" s="339" t="s">
        <v>403</v>
      </c>
    </row>
    <row r="56" spans="7:9" ht="15.75">
      <c r="G56" s="352"/>
      <c r="I56" s="352"/>
    </row>
    <row r="57" spans="1:11" ht="15">
      <c r="A57" s="353" t="str">
        <f>"Invoice No.: "&amp;'Working Sheet'!B2</f>
        <v>Invoice No.: SSI/1190</v>
      </c>
      <c r="G57" s="354"/>
      <c r="H57" s="645">
        <f>'Working Sheet'!B4</f>
        <v>45964</v>
      </c>
      <c r="I57" s="645"/>
      <c r="J57" s="645"/>
      <c r="K57" s="645"/>
    </row>
    <row r="58" spans="1:1" ht="15.75">
      <c r="A58" s="355"/>
    </row>
    <row r="59" spans="1:1" ht="15.75">
      <c r="A59" s="356" t="s">
        <v>449</v>
      </c>
    </row>
    <row r="60" spans="1:1" ht="15.75">
      <c r="A60" s="356" t="s">
        <v>450</v>
      </c>
    </row>
    <row r="61" spans="1:5" ht="15.75" customHeight="1">
      <c r="A61" s="356" t="s">
        <v>451</v>
      </c>
      <c r="B61" s="357"/>
      <c r="C61" s="357"/>
      <c r="D61" s="357"/>
      <c r="E61" s="357"/>
    </row>
    <row r="62" spans="1:1" ht="12.75">
      <c r="A62" s="358"/>
    </row>
    <row r="63" spans="1:11" ht="15">
      <c r="A63" s="646" t="s">
        <v>481</v>
      </c>
      <c r="B63" s="646"/>
      <c r="C63" s="646"/>
      <c r="D63" s="646"/>
      <c r="E63" s="646"/>
      <c r="F63" s="646"/>
      <c r="G63" s="646"/>
      <c r="H63" s="646"/>
      <c r="I63" s="646"/>
      <c r="J63" s="646"/>
      <c r="K63" s="646"/>
    </row>
    <row r="64" spans="1:11" ht="15">
      <c r="A64" s="646" t="s">
        <v>452</v>
      </c>
      <c r="B64" s="646"/>
      <c r="C64" s="646"/>
      <c r="D64" s="646"/>
      <c r="E64" s="646"/>
      <c r="F64" s="646"/>
      <c r="G64" s="646"/>
      <c r="H64" s="646"/>
      <c r="I64" s="646"/>
      <c r="J64" s="646"/>
      <c r="K64" s="646"/>
    </row>
    <row r="65" spans="1:1" ht="15.75">
      <c r="A65" s="355"/>
    </row>
    <row r="66" spans="1:1" ht="14.25">
      <c r="A66" s="359" t="str">
        <f>"Subject: "&amp;'Working Sheet'!C5&amp;" – Invoice No. "&amp;'Working Sheet'!B2&amp;" for the Month of "&amp;'Working Sheet'!B3&amp;" for hiring of arc services for fire and safety"</f>
        <v>Subject: RA BILL NO-19 – Invoice No. SSI/1190 for the Month of OCTOBER-2025 for hiring of arc services for fire and safety</v>
      </c>
    </row>
    <row r="67" spans="1:1" ht="14.25">
      <c r="A67" s="359" t="s">
        <v>454</v>
      </c>
    </row>
    <row r="69" spans="1:1" ht="14.25">
      <c r="A69" s="359" t="s">
        <v>456</v>
      </c>
    </row>
    <row r="70" spans="1:9" ht="15.75">
      <c r="A70" s="355"/>
      <c r="B70" s="339"/>
      <c r="C70" s="339"/>
      <c r="D70" s="339"/>
      <c r="E70" s="339"/>
      <c r="F70" s="339"/>
      <c r="G70" s="339"/>
      <c r="H70" s="339"/>
      <c r="I70" s="339"/>
    </row>
    <row r="71" spans="1:9" ht="15">
      <c r="A71" s="359" t="s">
        <v>428</v>
      </c>
      <c r="B71" s="339"/>
      <c r="C71" s="339"/>
      <c r="D71" s="339"/>
      <c r="E71" s="339"/>
      <c r="F71" s="339"/>
      <c r="G71" s="339"/>
      <c r="H71" s="339"/>
      <c r="I71" s="339"/>
    </row>
    <row r="72" spans="1:9" ht="15">
      <c r="A72" s="359"/>
      <c r="B72" s="339"/>
      <c r="C72" s="339"/>
      <c r="D72" s="339"/>
      <c r="E72" s="339"/>
      <c r="F72" s="339"/>
      <c r="G72" s="339"/>
      <c r="H72" s="339"/>
      <c r="I72" s="339"/>
    </row>
    <row r="73" spans="1:9" ht="15">
      <c r="A73" s="359" t="str">
        <f>"We are submitting "&amp;'Working Sheet'!C5&amp;", Invoice No.- "&amp;'Working Sheet'!B2&amp;" for the period of "&amp;'Working Sheet'!B1&amp;" for hiring of arc services"</f>
        <v>We are submitting RA BILL NO-19, Invoice No.- SSI/1190 for the period of 01 Oct 2025 To 31 Oct 2025 for hiring of arc services</v>
      </c>
      <c r="B73" s="339"/>
      <c r="C73" s="339"/>
      <c r="D73" s="339"/>
      <c r="E73" s="339"/>
      <c r="F73" s="339"/>
      <c r="G73" s="339"/>
      <c r="H73" s="339"/>
      <c r="I73" s="339"/>
    </row>
    <row r="74" spans="1:9" ht="15">
      <c r="A74" s="359" t="s">
        <v>453</v>
      </c>
      <c r="B74" s="339"/>
      <c r="C74" s="339"/>
      <c r="D74" s="339"/>
      <c r="E74" s="339"/>
      <c r="F74" s="339"/>
      <c r="G74" s="339"/>
      <c r="H74" s="339"/>
      <c r="I74" s="339"/>
    </row>
    <row r="75" spans="1:9" ht="15">
      <c r="A75" s="359"/>
      <c r="B75" s="339"/>
      <c r="C75" s="339"/>
      <c r="D75" s="339"/>
      <c r="E75" s="339"/>
      <c r="F75" s="339"/>
      <c r="G75" s="339"/>
      <c r="H75" s="339"/>
      <c r="I75" s="339"/>
    </row>
    <row r="76" spans="1:5" ht="14.25">
      <c r="A76" s="359" t="str">
        <f>"The  total  bill  amount  is  INR  "&amp;'Working Sheet'!B19</f>
        <v>The  total  bill  amount  is  INR  928068</v>
      </c>
      <c r="E76" s="360" t="str">
        <f>[1]!SpellNumber('Working Sheet'!B19)</f>
        <v xml:space="preserve">Rupees Nine Lakh TwentyEight Thousand SixtyEight Only </v>
      </c>
    </row>
    <row r="77" spans="1:1" ht="15.75">
      <c r="A77" s="355"/>
    </row>
    <row r="78" spans="1:1" ht="14.25">
      <c r="A78" s="359" t="s">
        <v>429</v>
      </c>
    </row>
    <row r="79" spans="1:2" ht="15">
      <c r="A79" s="359" t="s">
        <v>430</v>
      </c>
      <c r="B79" s="339"/>
    </row>
    <row r="80" spans="1:2" ht="15">
      <c r="A80" s="359" t="s">
        <v>431</v>
      </c>
      <c r="B80" s="339"/>
    </row>
    <row r="81" spans="1:2" ht="15">
      <c r="A81" s="359" t="s">
        <v>432</v>
      </c>
      <c r="B81" s="339"/>
    </row>
    <row r="82" spans="1:2" ht="15">
      <c r="A82" s="359" t="s">
        <v>433</v>
      </c>
      <c r="B82" s="339"/>
    </row>
    <row r="83" spans="1:2" ht="15">
      <c r="A83" s="359" t="s">
        <v>434</v>
      </c>
      <c r="B83" s="339"/>
    </row>
    <row r="85" spans="1:1" ht="14.25">
      <c r="A85" s="359" t="s">
        <v>435</v>
      </c>
    </row>
    <row r="87" spans="1:3" ht="15">
      <c r="A87" s="359" t="s">
        <v>436</v>
      </c>
      <c r="B87" s="339"/>
      <c r="C87" s="339"/>
    </row>
    <row r="88" spans="1:3" ht="15">
      <c r="A88" s="359" t="s">
        <v>437</v>
      </c>
      <c r="B88" s="339"/>
      <c r="C88" s="339"/>
    </row>
    <row r="89" spans="1:3" ht="15">
      <c r="A89" s="359" t="s">
        <v>398</v>
      </c>
      <c r="B89" s="339"/>
      <c r="C89" s="339"/>
    </row>
    <row r="90" spans="1:3" ht="15">
      <c r="A90" s="359" t="s">
        <v>438</v>
      </c>
      <c r="B90" s="339"/>
      <c r="C90" s="339"/>
    </row>
    <row r="93" spans="1:1" ht="14.25">
      <c r="A93" s="359"/>
    </row>
    <row r="94" spans="1:1" ht="14.25">
      <c r="A94" s="359"/>
    </row>
    <row r="95" spans="1:1" ht="14.25">
      <c r="A95" s="359"/>
    </row>
    <row r="96" spans="1:1" ht="14.25">
      <c r="A96" s="359" t="s">
        <v>439</v>
      </c>
    </row>
    <row r="97" spans="1:1" ht="14.25">
      <c r="A97" s="359" t="s">
        <v>440</v>
      </c>
    </row>
    <row r="98" spans="1:1" ht="14.25">
      <c r="A98" s="359" t="s">
        <v>441</v>
      </c>
    </row>
    <row r="99" spans="1:1" ht="14.25">
      <c r="A99" s="359" t="s">
        <v>442</v>
      </c>
    </row>
    <row r="100" spans="1:1" ht="14.25">
      <c r="A100" s="359"/>
    </row>
    <row r="101" spans="6:9" ht="15">
      <c r="F101" s="339"/>
      <c r="I101" s="339" t="s">
        <v>398</v>
      </c>
    </row>
    <row r="102" spans="6:9" ht="15">
      <c r="F102" s="339"/>
      <c r="I102" s="339" t="s">
        <v>399</v>
      </c>
    </row>
    <row r="103" spans="6:9" ht="15">
      <c r="F103" s="339"/>
      <c r="I103" s="339" t="s">
        <v>400</v>
      </c>
    </row>
    <row r="104" spans="6:9" ht="15">
      <c r="F104" s="339"/>
      <c r="I104" s="339" t="s">
        <v>401</v>
      </c>
    </row>
    <row r="105" spans="6:9" ht="15">
      <c r="F105" s="339"/>
      <c r="I105" s="339" t="s">
        <v>402</v>
      </c>
    </row>
    <row r="106" spans="6:9" ht="15">
      <c r="F106" s="339"/>
      <c r="I106" s="339" t="s">
        <v>403</v>
      </c>
    </row>
    <row r="107" spans="7:9" ht="15.75">
      <c r="G107" s="352"/>
      <c r="I107" s="352"/>
    </row>
    <row r="108" spans="1:11" ht="15">
      <c r="A108" s="353" t="str">
        <f>"Invoice No.: "&amp;'Working Sheet'!D2</f>
        <v>Invoice No.: SSI/1191</v>
      </c>
      <c r="G108" s="354"/>
      <c r="H108" s="645">
        <f>'Working Sheet'!B4</f>
        <v>45964</v>
      </c>
      <c r="I108" s="645"/>
      <c r="J108" s="645"/>
      <c r="K108" s="645"/>
    </row>
    <row r="109" spans="1:1" ht="15.75">
      <c r="A109" s="355"/>
    </row>
    <row r="110" spans="1:1" ht="15.75">
      <c r="A110" s="356" t="s">
        <v>449</v>
      </c>
    </row>
    <row r="111" spans="1:1" ht="15.75">
      <c r="A111" s="356" t="s">
        <v>450</v>
      </c>
    </row>
    <row r="112" spans="1:5" ht="15.75">
      <c r="A112" s="356" t="s">
        <v>451</v>
      </c>
      <c r="B112" s="357"/>
      <c r="C112" s="357"/>
      <c r="D112" s="357"/>
      <c r="E112" s="357"/>
    </row>
    <row r="113" spans="1:1" ht="12.75">
      <c r="A113" s="358"/>
    </row>
    <row r="114" spans="1:11" ht="15">
      <c r="A114" s="646" t="s">
        <v>485</v>
      </c>
      <c r="B114" s="646"/>
      <c r="C114" s="646"/>
      <c r="D114" s="646"/>
      <c r="E114" s="646"/>
      <c r="F114" s="646"/>
      <c r="G114" s="646"/>
      <c r="H114" s="646"/>
      <c r="I114" s="646"/>
      <c r="J114" s="646"/>
      <c r="K114" s="646"/>
    </row>
    <row r="115" spans="1:11" ht="15">
      <c r="A115" s="646" t="s">
        <v>455</v>
      </c>
      <c r="B115" s="646"/>
      <c r="C115" s="646"/>
      <c r="D115" s="646"/>
      <c r="E115" s="646"/>
      <c r="F115" s="646"/>
      <c r="G115" s="646"/>
      <c r="H115" s="646"/>
      <c r="I115" s="646"/>
      <c r="J115" s="646"/>
      <c r="K115" s="646"/>
    </row>
    <row r="116" spans="1:1" ht="15.75">
      <c r="A116" s="355"/>
    </row>
    <row r="117" spans="1:1" ht="14.25">
      <c r="A117" s="359" t="str">
        <f>"Subject: "&amp;'Working Sheet'!C5&amp;" – Invoice No. "&amp;'Working Sheet'!D2&amp;" for the Month of "&amp;'Working Sheet'!B3&amp;" for hiring of arc services for fire and safety"</f>
        <v>Subject: RA BILL NO-19 – Invoice No. SSI/1191 for the Month of OCTOBER-2025 for hiring of arc services for fire and safety</v>
      </c>
    </row>
    <row r="118" spans="1:1" ht="14.25">
      <c r="A118" s="359" t="s">
        <v>454</v>
      </c>
    </row>
    <row r="120" spans="1:1" ht="14.25">
      <c r="A120" s="359" t="s">
        <v>456</v>
      </c>
    </row>
    <row r="121" spans="1:9" ht="15.75">
      <c r="A121" s="355"/>
      <c r="B121" s="339"/>
      <c r="C121" s="339"/>
      <c r="D121" s="339"/>
      <c r="E121" s="339"/>
      <c r="F121" s="339"/>
      <c r="G121" s="339"/>
      <c r="H121" s="339"/>
      <c r="I121" s="339"/>
    </row>
    <row r="122" spans="1:9" ht="15">
      <c r="A122" s="359" t="s">
        <v>428</v>
      </c>
      <c r="B122" s="339"/>
      <c r="C122" s="339"/>
      <c r="D122" s="339"/>
      <c r="E122" s="339"/>
      <c r="F122" s="339"/>
      <c r="G122" s="339"/>
      <c r="H122" s="339"/>
      <c r="I122" s="339"/>
    </row>
    <row r="123" spans="1:9" ht="15">
      <c r="A123" s="359"/>
      <c r="B123" s="339"/>
      <c r="C123" s="339"/>
      <c r="D123" s="339"/>
      <c r="E123" s="339"/>
      <c r="F123" s="339"/>
      <c r="G123" s="339"/>
      <c r="H123" s="339"/>
      <c r="I123" s="339"/>
    </row>
    <row r="124" spans="1:9" ht="15">
      <c r="A124" s="359" t="str">
        <f>"We are submitting "&amp;'Working Sheet'!C5&amp;", Invoice No.- "&amp;'Working Sheet'!D2&amp;" for the period of "&amp;'Working Sheet'!B1&amp;" for hiring of arc services"</f>
        <v>We are submitting RA BILL NO-19, Invoice No.- SSI/1191 for the period of 01 Oct 2025 To 31 Oct 2025 for hiring of arc services</v>
      </c>
      <c r="B124" s="339"/>
      <c r="C124" s="339"/>
      <c r="D124" s="339"/>
      <c r="E124" s="339"/>
      <c r="F124" s="339"/>
      <c r="G124" s="339"/>
      <c r="H124" s="339"/>
      <c r="I124" s="339"/>
    </row>
    <row r="125" spans="1:9" ht="15">
      <c r="A125" s="359" t="s">
        <v>453</v>
      </c>
      <c r="B125" s="339"/>
      <c r="C125" s="339"/>
      <c r="D125" s="339"/>
      <c r="E125" s="339"/>
      <c r="F125" s="339"/>
      <c r="G125" s="339"/>
      <c r="H125" s="339"/>
      <c r="I125" s="339"/>
    </row>
    <row r="126" spans="1:9" ht="15">
      <c r="A126" s="359"/>
      <c r="B126" s="339"/>
      <c r="C126" s="339"/>
      <c r="D126" s="339"/>
      <c r="E126" s="339"/>
      <c r="F126" s="339"/>
      <c r="G126" s="339"/>
      <c r="H126" s="339"/>
      <c r="I126" s="339"/>
    </row>
    <row r="127" spans="1:5" ht="14.25">
      <c r="A127" s="359" t="str">
        <f>"The  total  bill  amount  is  INR  "&amp;'Working Sheet'!B20</f>
        <v>The  total  bill  amount  is  INR  915087.546</v>
      </c>
      <c r="E127" s="360" t="str">
        <f>[1]!SpellNumber('Working Sheet'!B20)</f>
        <v xml:space="preserve">Rupees Nine Lakh Fifteen Thousand EightySeven Paise FiftyFive Only </v>
      </c>
    </row>
    <row r="128" spans="1:1" ht="15.75">
      <c r="A128" s="355"/>
    </row>
    <row r="129" spans="1:1" ht="14.25">
      <c r="A129" s="359" t="s">
        <v>429</v>
      </c>
    </row>
    <row r="130" spans="1:2" ht="15">
      <c r="A130" s="359" t="s">
        <v>430</v>
      </c>
      <c r="B130" s="339"/>
    </row>
    <row r="131" spans="1:2" ht="15">
      <c r="A131" s="359" t="s">
        <v>431</v>
      </c>
      <c r="B131" s="339"/>
    </row>
    <row r="132" spans="1:2" ht="15">
      <c r="A132" s="359" t="s">
        <v>432</v>
      </c>
      <c r="B132" s="339"/>
    </row>
    <row r="133" spans="1:2" ht="15">
      <c r="A133" s="359" t="s">
        <v>433</v>
      </c>
      <c r="B133" s="339"/>
    </row>
    <row r="134" spans="1:2" ht="15">
      <c r="A134" s="359" t="s">
        <v>434</v>
      </c>
      <c r="B134" s="339"/>
    </row>
    <row r="136" spans="1:1" ht="14.25">
      <c r="A136" s="359" t="s">
        <v>435</v>
      </c>
    </row>
    <row r="138" spans="1:3" ht="15">
      <c r="A138" s="359" t="s">
        <v>436</v>
      </c>
      <c r="B138" s="339"/>
      <c r="C138" s="339"/>
    </row>
    <row r="139" spans="1:3" ht="15">
      <c r="A139" s="359" t="s">
        <v>437</v>
      </c>
      <c r="B139" s="339"/>
      <c r="C139" s="339"/>
    </row>
    <row r="140" spans="1:3" ht="15">
      <c r="A140" s="359" t="s">
        <v>398</v>
      </c>
      <c r="B140" s="339"/>
      <c r="C140" s="339"/>
    </row>
    <row r="141" spans="1:3" ht="15">
      <c r="A141" s="359" t="s">
        <v>438</v>
      </c>
      <c r="B141" s="339"/>
      <c r="C141" s="339"/>
    </row>
    <row r="144" spans="1:1" ht="14.25">
      <c r="A144" s="359"/>
    </row>
    <row r="145" spans="1:1" ht="14.25">
      <c r="A145" s="359"/>
    </row>
    <row r="146" spans="1:1" ht="14.25">
      <c r="A146" s="359"/>
    </row>
    <row r="147" spans="1:1" ht="14.25">
      <c r="A147" s="359" t="s">
        <v>439</v>
      </c>
    </row>
    <row r="148" spans="1:1" ht="14.25">
      <c r="A148" s="359" t="s">
        <v>440</v>
      </c>
    </row>
    <row r="149" spans="1:1" ht="14.25">
      <c r="A149" s="359" t="s">
        <v>441</v>
      </c>
    </row>
    <row r="150" spans="1:1" ht="14.25">
      <c r="A150" s="359" t="s">
        <v>442</v>
      </c>
    </row>
  </sheetData>
  <sheetProtection/>
  <mergeCells count="30">
    <mergeCell ref="A8:K8"/>
    <mergeCell ref="J9:K9"/>
    <mergeCell ref="A10:K10"/>
    <mergeCell ref="A28:F28"/>
    <mergeCell ref="A30:F30"/>
    <mergeCell ref="A32:C32"/>
    <mergeCell ref="D32:G32"/>
    <mergeCell ref="H32:K32"/>
    <mergeCell ref="A33:C33"/>
    <mergeCell ref="D33:G33"/>
    <mergeCell ref="H33:K33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H108:K108"/>
    <mergeCell ref="A114:K114"/>
    <mergeCell ref="A64:K64"/>
    <mergeCell ref="A115:K115"/>
    <mergeCell ref="A37:C37"/>
    <mergeCell ref="D37:G37"/>
    <mergeCell ref="H37:K37"/>
    <mergeCell ref="B42:C42"/>
    <mergeCell ref="H57:K57"/>
    <mergeCell ref="A63:K63"/>
  </mergeCells>
  <hyperlinks>
    <hyperlink ref="I54" r:id="rId1" display="E-mail: snsitech@gmail.com  "/>
    <hyperlink ref="I55" r:id="rId2" display="Website: www.snsinfotech.com"/>
    <hyperlink ref="I5" r:id="rId3" display="E-mail: snsitech@gmail.com  "/>
    <hyperlink ref="I6" r:id="rId4" display="Website: www.snsinfotech.com"/>
    <hyperlink ref="I105" r:id="rId5" display="E-mail: snsitech@gmail.com  "/>
    <hyperlink ref="I106" r:id="rId6" display="Website: www.snsinfotech.com"/>
  </hyperlinks>
  <pageMargins left="0.5" right="0.25" top="0.75" bottom="0.75" header="0.3" footer="0.3"/>
  <pageSetup fitToHeight="0" orientation="portrait" paperSize="1" scale="92" r:id="rId8"/>
  <rowBreaks count="2" manualBreakCount="2">
    <brk id="49" max="255" man="1"/>
    <brk id="99" max="255" man="1"/>
  </rowBreaks>
  <drawing r:id="rId7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E7B7CB3-C976-4F13-8276-3EF4E0CCB9AB}">
  <sheetPr codeName="Sheet11">
    <pageSetUpPr fitToPage="1"/>
  </sheetPr>
  <dimension ref="A1:M57"/>
  <sheetViews>
    <sheetView view="pageBreakPreview" zoomScale="68" zoomScaleNormal="69" zoomScaleSheetLayoutView="68" zoomScalePageLayoutView="75" workbookViewId="0" topLeftCell="A37">
      <selection pane="topLeft" activeCell="A47" sqref="A47:L47"/>
    </sheetView>
  </sheetViews>
  <sheetFormatPr defaultRowHeight="12.75"/>
  <cols>
    <col min="1" max="4" width="11.8571428571429" style="216" customWidth="1"/>
    <col min="5" max="5" width="11.1428571428571" style="216" customWidth="1"/>
    <col min="6" max="9" width="12.8571428571429" style="216" customWidth="1"/>
    <col min="10" max="10" width="13.1428571428571" style="216" bestFit="1" customWidth="1"/>
    <col min="11" max="11" width="12.8571428571429" style="216" customWidth="1"/>
    <col min="12" max="12" width="14.5714285714286" style="216" customWidth="1"/>
    <col min="13" max="16384" width="9.14285714285714" style="216"/>
  </cols>
  <sheetData>
    <row r="1" spans="1:12" ht="18" customHeight="1">
      <c r="A1" s="337"/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5"/>
    </row>
    <row r="2" spans="1:12" ht="18" customHeight="1">
      <c r="A2" s="334"/>
      <c r="L2" s="333"/>
    </row>
    <row r="3" spans="1:12" ht="18" customHeight="1">
      <c r="A3" s="334"/>
      <c r="L3" s="333"/>
    </row>
    <row r="4" spans="1:12" ht="18" customHeight="1">
      <c r="A4" s="334"/>
      <c r="L4" s="333"/>
    </row>
    <row r="5" spans="1:12" ht="18" customHeight="1">
      <c r="A5" s="334"/>
      <c r="L5" s="333"/>
    </row>
    <row r="6" spans="1:12" ht="18" customHeight="1">
      <c r="A6" s="334"/>
      <c r="L6" s="333"/>
    </row>
    <row r="7" spans="1:12" ht="18" customHeight="1">
      <c r="A7" s="334"/>
      <c r="L7" s="333"/>
    </row>
    <row r="8" spans="1:12" ht="18" customHeight="1">
      <c r="A8" s="334"/>
      <c r="L8" s="333"/>
    </row>
    <row r="9" spans="1:12" ht="18" customHeight="1">
      <c r="A9" s="332"/>
      <c r="B9" s="331"/>
      <c r="C9" s="331"/>
      <c r="D9" s="331"/>
      <c r="E9" s="331"/>
      <c r="F9" s="331"/>
      <c r="G9" s="331"/>
      <c r="H9" s="331"/>
      <c r="I9" s="331"/>
      <c r="J9" s="331"/>
      <c r="K9" s="331"/>
      <c r="L9" s="330"/>
    </row>
    <row r="10" spans="1:12" ht="18" customHeight="1">
      <c r="A10" s="329"/>
      <c r="B10" s="328"/>
      <c r="C10" s="328"/>
      <c r="D10" s="328"/>
      <c r="E10" s="328"/>
      <c r="F10" s="328"/>
      <c r="G10" s="328"/>
      <c r="H10" s="328"/>
      <c r="I10" s="328"/>
      <c r="J10" s="328"/>
      <c r="K10" s="328"/>
      <c r="L10" s="327"/>
    </row>
    <row r="11" spans="1:12" ht="15" customHeight="1">
      <c r="A11" s="675" t="s">
        <v>190</v>
      </c>
      <c r="B11" s="676"/>
      <c r="C11" s="676"/>
      <c r="D11" s="676"/>
      <c r="E11" s="676"/>
      <c r="F11" s="676"/>
      <c r="G11" s="676"/>
      <c r="H11" s="676"/>
      <c r="I11" s="676"/>
      <c r="J11" s="677"/>
      <c r="K11" s="684" t="s">
        <v>18</v>
      </c>
      <c r="L11" s="684"/>
    </row>
    <row r="12" spans="1:12" ht="15" customHeight="1">
      <c r="A12" s="678"/>
      <c r="B12" s="679"/>
      <c r="C12" s="679"/>
      <c r="D12" s="679"/>
      <c r="E12" s="679"/>
      <c r="F12" s="679"/>
      <c r="G12" s="679"/>
      <c r="H12" s="679"/>
      <c r="I12" s="679"/>
      <c r="J12" s="680"/>
      <c r="K12" s="684" t="s">
        <v>19</v>
      </c>
      <c r="L12" s="684"/>
    </row>
    <row r="13" spans="1:12" ht="15" customHeight="1">
      <c r="A13" s="681"/>
      <c r="B13" s="682"/>
      <c r="C13" s="682"/>
      <c r="D13" s="682"/>
      <c r="E13" s="682"/>
      <c r="F13" s="682"/>
      <c r="G13" s="682"/>
      <c r="H13" s="682"/>
      <c r="I13" s="682"/>
      <c r="J13" s="683"/>
      <c r="K13" s="685" t="s">
        <v>20</v>
      </c>
      <c r="L13" s="685"/>
    </row>
    <row r="14" spans="1:12" ht="15" customHeight="1">
      <c r="A14" s="686" t="s">
        <v>21</v>
      </c>
      <c r="B14" s="687"/>
      <c r="C14" s="696" t="str">
        <f>'Working Sheet'!D2</f>
        <v>SSI/1191</v>
      </c>
      <c r="D14" s="697"/>
      <c r="E14" s="697"/>
      <c r="F14" s="698"/>
      <c r="G14" s="694" t="s">
        <v>22</v>
      </c>
      <c r="H14" s="687"/>
      <c r="I14" s="688">
        <f>'Working Sheet'!B4</f>
        <v>45964</v>
      </c>
      <c r="J14" s="688"/>
      <c r="K14" s="688"/>
      <c r="L14" s="689"/>
    </row>
    <row r="15" spans="1:12" ht="15" customHeight="1">
      <c r="A15" s="690" t="s">
        <v>23</v>
      </c>
      <c r="B15" s="691"/>
      <c r="C15" s="690" t="s">
        <v>43</v>
      </c>
      <c r="D15" s="695"/>
      <c r="E15" s="695"/>
      <c r="F15" s="691"/>
      <c r="G15" s="695" t="s">
        <v>24</v>
      </c>
      <c r="H15" s="691"/>
      <c r="I15" s="692" t="s">
        <v>129</v>
      </c>
      <c r="J15" s="692"/>
      <c r="K15" s="692"/>
      <c r="L15" s="693"/>
    </row>
    <row r="16" spans="1:12" ht="15" customHeight="1">
      <c r="A16" s="690" t="s">
        <v>25</v>
      </c>
      <c r="B16" s="691"/>
      <c r="C16" s="702" t="str">
        <f>'Working Sheet'!B1</f>
        <v>01 Oct 2025 To 31 Oct 2025</v>
      </c>
      <c r="D16" s="703"/>
      <c r="E16" s="703"/>
      <c r="F16" s="704"/>
      <c r="G16" s="695" t="s">
        <v>26</v>
      </c>
      <c r="H16" s="691"/>
      <c r="I16" s="692" t="s">
        <v>106</v>
      </c>
      <c r="J16" s="692"/>
      <c r="K16" s="692"/>
      <c r="L16" s="693"/>
    </row>
    <row r="17" spans="1:13" ht="15" customHeight="1">
      <c r="A17" s="699" t="s">
        <v>27</v>
      </c>
      <c r="B17" s="700"/>
      <c r="C17" s="699" t="s">
        <v>128</v>
      </c>
      <c r="D17" s="701"/>
      <c r="E17" s="701"/>
      <c r="F17" s="700"/>
      <c r="G17" s="701" t="s">
        <v>28</v>
      </c>
      <c r="H17" s="700"/>
      <c r="I17" s="701" t="s">
        <v>122</v>
      </c>
      <c r="J17" s="701"/>
      <c r="K17" s="701"/>
      <c r="L17" s="700"/>
      <c r="M17" s="326"/>
    </row>
    <row r="18" spans="1:12" ht="4.5" customHeight="1">
      <c r="A18" s="325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3"/>
    </row>
    <row r="19" spans="1:12" ht="15" customHeight="1">
      <c r="A19" s="705" t="s">
        <v>70</v>
      </c>
      <c r="B19" s="706"/>
      <c r="C19" s="706"/>
      <c r="D19" s="706"/>
      <c r="E19" s="706"/>
      <c r="F19" s="706"/>
      <c r="G19" s="707" t="s">
        <v>69</v>
      </c>
      <c r="H19" s="706"/>
      <c r="I19" s="706"/>
      <c r="J19" s="706"/>
      <c r="K19" s="706"/>
      <c r="L19" s="708"/>
    </row>
    <row r="20" spans="1:12" ht="15" customHeight="1">
      <c r="A20" s="686" t="s">
        <v>189</v>
      </c>
      <c r="B20" s="687"/>
      <c r="C20" s="709" t="s">
        <v>186</v>
      </c>
      <c r="D20" s="710"/>
      <c r="E20" s="710"/>
      <c r="F20" s="711"/>
      <c r="G20" s="686" t="s">
        <v>189</v>
      </c>
      <c r="H20" s="687"/>
      <c r="I20" s="709" t="s">
        <v>187</v>
      </c>
      <c r="J20" s="710"/>
      <c r="K20" s="710"/>
      <c r="L20" s="711"/>
    </row>
    <row r="21" spans="1:12" ht="15" customHeight="1">
      <c r="A21" s="690" t="s">
        <v>188</v>
      </c>
      <c r="B21" s="691"/>
      <c r="C21" s="712" t="s">
        <v>123</v>
      </c>
      <c r="D21" s="713"/>
      <c r="E21" s="713"/>
      <c r="F21" s="714"/>
      <c r="G21" s="690" t="s">
        <v>188</v>
      </c>
      <c r="H21" s="691"/>
      <c r="I21" s="712" t="s">
        <v>182</v>
      </c>
      <c r="J21" s="713"/>
      <c r="K21" s="713"/>
      <c r="L21" s="714"/>
    </row>
    <row r="22" spans="1:12" ht="15" customHeight="1">
      <c r="A22" s="690"/>
      <c r="B22" s="691"/>
      <c r="C22" s="712" t="s">
        <v>124</v>
      </c>
      <c r="D22" s="713"/>
      <c r="E22" s="713"/>
      <c r="F22" s="714"/>
      <c r="G22" s="690"/>
      <c r="H22" s="691"/>
      <c r="I22" s="712" t="s">
        <v>183</v>
      </c>
      <c r="J22" s="713"/>
      <c r="K22" s="713"/>
      <c r="L22" s="714"/>
    </row>
    <row r="23" spans="1:12" ht="15" customHeight="1">
      <c r="A23" s="690"/>
      <c r="B23" s="691"/>
      <c r="C23" s="712" t="s">
        <v>185</v>
      </c>
      <c r="D23" s="713"/>
      <c r="E23" s="713"/>
      <c r="F23" s="714"/>
      <c r="G23" s="690"/>
      <c r="H23" s="691"/>
      <c r="I23" s="712" t="s">
        <v>193</v>
      </c>
      <c r="J23" s="713"/>
      <c r="K23" s="713"/>
      <c r="L23" s="714"/>
    </row>
    <row r="24" spans="1:12" ht="15" customHeight="1">
      <c r="A24" s="690" t="s">
        <v>30</v>
      </c>
      <c r="B24" s="691"/>
      <c r="C24" s="712" t="s">
        <v>184</v>
      </c>
      <c r="D24" s="713"/>
      <c r="E24" s="713"/>
      <c r="F24" s="714"/>
      <c r="G24" s="690" t="s">
        <v>31</v>
      </c>
      <c r="H24" s="691"/>
      <c r="I24" s="702" t="s">
        <v>59</v>
      </c>
      <c r="J24" s="703"/>
      <c r="K24" s="703"/>
      <c r="L24" s="704"/>
    </row>
    <row r="25" spans="1:12" ht="15" customHeight="1">
      <c r="A25" s="690" t="s">
        <v>31</v>
      </c>
      <c r="B25" s="691"/>
      <c r="C25" s="702" t="s">
        <v>125</v>
      </c>
      <c r="D25" s="703"/>
      <c r="E25" s="703"/>
      <c r="F25" s="704"/>
      <c r="G25" s="690" t="s">
        <v>23</v>
      </c>
      <c r="H25" s="691"/>
      <c r="I25" s="712" t="s">
        <v>43</v>
      </c>
      <c r="J25" s="713"/>
      <c r="K25" s="713"/>
      <c r="L25" s="714"/>
    </row>
    <row r="26" spans="1:12" ht="15" customHeight="1">
      <c r="A26" s="699" t="s">
        <v>32</v>
      </c>
      <c r="B26" s="700"/>
      <c r="C26" s="718" t="s">
        <v>129</v>
      </c>
      <c r="D26" s="719"/>
      <c r="E26" s="719"/>
      <c r="F26" s="720"/>
      <c r="G26" s="699" t="s">
        <v>32</v>
      </c>
      <c r="H26" s="700"/>
      <c r="I26" s="715" t="s">
        <v>62</v>
      </c>
      <c r="J26" s="716"/>
      <c r="K26" s="716"/>
      <c r="L26" s="717"/>
    </row>
    <row r="27" spans="1:12" ht="4.35" customHeight="1">
      <c r="A27" s="322"/>
      <c r="B27" s="260"/>
      <c r="C27" s="260"/>
      <c r="D27" s="260"/>
      <c r="E27" s="260"/>
      <c r="F27" s="260"/>
      <c r="G27" s="260"/>
      <c r="H27" s="260"/>
      <c r="I27" s="260"/>
      <c r="J27" s="260"/>
      <c r="K27" s="260"/>
      <c r="L27" s="321"/>
    </row>
    <row r="28" spans="1:12" ht="29.45" customHeight="1">
      <c r="A28" s="758" t="str">
        <f>"HIRING OF ARC SERVICES FOR FIRE AND SAFETY ALONG WITH ERV AND FIRE BIKE FOR CGD BHUBANESWAR &amp; CGD CUTTACK "&amp;'Working Sheet'!B3</f>
        <v>HIRING OF ARC SERVICES FOR FIRE AND SAFETY ALONG WITH ERV AND FIRE BIKE FOR CGD BHUBANESWAR &amp; CGD CUTTACK OCTOBER-2025</v>
      </c>
      <c r="B28" s="759"/>
      <c r="C28" s="759"/>
      <c r="D28" s="759"/>
      <c r="E28" s="759"/>
      <c r="F28" s="759"/>
      <c r="G28" s="759"/>
      <c r="H28" s="759"/>
      <c r="I28" s="759"/>
      <c r="J28" s="759"/>
      <c r="K28" s="759"/>
      <c r="L28" s="760"/>
    </row>
    <row r="29" spans="1:12" ht="39.95" customHeight="1">
      <c r="A29" s="314" t="s">
        <v>33</v>
      </c>
      <c r="B29" s="761" t="s">
        <v>34</v>
      </c>
      <c r="C29" s="762"/>
      <c r="D29" s="763"/>
      <c r="E29" s="314" t="s">
        <v>35</v>
      </c>
      <c r="F29" s="314" t="s">
        <v>36</v>
      </c>
      <c r="G29" s="314" t="s">
        <v>2</v>
      </c>
      <c r="H29" s="314" t="s">
        <v>37</v>
      </c>
      <c r="I29" s="314" t="s">
        <v>38</v>
      </c>
      <c r="J29" s="314" t="s">
        <v>39</v>
      </c>
      <c r="K29" s="314" t="s">
        <v>40</v>
      </c>
      <c r="L29" s="314" t="s">
        <v>41</v>
      </c>
    </row>
    <row r="30" spans="1:12" ht="23.25">
      <c r="A30" s="320"/>
      <c r="B30" s="764" t="s">
        <v>392</v>
      </c>
      <c r="C30" s="765"/>
      <c r="D30" s="766"/>
      <c r="E30" s="319"/>
      <c r="F30" s="319"/>
      <c r="G30" s="319"/>
      <c r="H30" s="319"/>
      <c r="I30" s="319"/>
      <c r="J30" s="319"/>
      <c r="K30" s="319"/>
      <c r="L30" s="319"/>
    </row>
    <row r="31" spans="1:12" ht="18.6" customHeight="1">
      <c r="A31" s="317">
        <v>1</v>
      </c>
      <c r="B31" s="744" t="str">
        <f>'AOC (CTCK)'!C13</f>
        <v xml:space="preserve">HIRING OF HIGHSKILLED MANPOWER </v>
      </c>
      <c r="C31" s="745"/>
      <c r="D31" s="746"/>
      <c r="E31" s="318"/>
      <c r="F31" s="317">
        <v>998519</v>
      </c>
      <c r="G31" s="317" t="str">
        <f>'AOC (CTCK)'!D13</f>
        <v xml:space="preserve">MAD </v>
      </c>
      <c r="H31" s="315">
        <f>'AOC (CTCK)'!J13</f>
        <v>2</v>
      </c>
      <c r="I31" s="315">
        <v>1</v>
      </c>
      <c r="J31" s="315">
        <f>'AOC (CTCK)'!K13</f>
        <v>68059.320000000007</v>
      </c>
      <c r="K31" s="316">
        <v>0</v>
      </c>
      <c r="L31" s="315">
        <f>J31-K31</f>
        <v>68059.320000000007</v>
      </c>
    </row>
    <row r="32" spans="1:12" ht="15.75">
      <c r="A32" s="394">
        <v>2</v>
      </c>
      <c r="B32" s="744" t="str">
        <f>'AOC (CTCK)'!C14</f>
        <v>HIRING OF SKILLED  MANPOWER</v>
      </c>
      <c r="C32" s="745"/>
      <c r="D32" s="746"/>
      <c r="E32" s="318"/>
      <c r="F32" s="394">
        <v>998519</v>
      </c>
      <c r="G32" s="394" t="str">
        <f>'AOC (CTCK)'!D14</f>
        <v xml:space="preserve">MAD </v>
      </c>
      <c r="H32" s="315">
        <f>'AOC (CTCK)'!J14</f>
        <v>9</v>
      </c>
      <c r="I32" s="315">
        <v>1</v>
      </c>
      <c r="J32" s="315">
        <f>'AOC (CTCK)'!K14</f>
        <v>278214.39000000001</v>
      </c>
      <c r="K32" s="316">
        <v>0</v>
      </c>
      <c r="L32" s="315">
        <f>J32-K32</f>
        <v>278214.39000000001</v>
      </c>
    </row>
    <row r="33" spans="1:12" ht="15.75">
      <c r="A33" s="394">
        <v>3</v>
      </c>
      <c r="B33" s="744" t="str">
        <f>'AOC (CTCK)'!C15</f>
        <v xml:space="preserve">HIRING OF SEMI SKILLED MANPOWER </v>
      </c>
      <c r="C33" s="745"/>
      <c r="D33" s="746"/>
      <c r="E33" s="318"/>
      <c r="F33" s="394">
        <v>998519</v>
      </c>
      <c r="G33" s="394" t="str">
        <f>'AOC (CTCK)'!D15</f>
        <v xml:space="preserve">MAD </v>
      </c>
      <c r="H33" s="315">
        <f>'AOC (CTCK)'!J15</f>
        <v>9</v>
      </c>
      <c r="I33" s="315">
        <v>1</v>
      </c>
      <c r="J33" s="315">
        <f>'AOC (CTCK)'!K15</f>
        <v>238332.14999999999</v>
      </c>
      <c r="K33" s="316">
        <v>0</v>
      </c>
      <c r="L33" s="315">
        <f t="shared" si="0" ref="L33:L38">J33-K33</f>
        <v>238332.14999999999</v>
      </c>
    </row>
    <row r="34" spans="1:12" ht="15.75">
      <c r="A34" s="394">
        <v>4</v>
      </c>
      <c r="B34" s="744" t="str">
        <f>'AOC (CTCK)'!C16</f>
        <v xml:space="preserve">HIRING OF UNSKILLED MANPOWER </v>
      </c>
      <c r="C34" s="745"/>
      <c r="D34" s="746"/>
      <c r="E34" s="318"/>
      <c r="F34" s="394">
        <v>998519</v>
      </c>
      <c r="G34" s="394" t="str">
        <f>'AOC (CTCK)'!D16</f>
        <v xml:space="preserve">MAD </v>
      </c>
      <c r="H34" s="315">
        <f>'AOC (CTCK)'!J16</f>
        <v>1</v>
      </c>
      <c r="I34" s="315">
        <v>1</v>
      </c>
      <c r="J34" s="315">
        <f>'AOC (CTCK)'!K16</f>
        <v>23611.009999999998</v>
      </c>
      <c r="K34" s="316">
        <v>0</v>
      </c>
      <c r="L34" s="315">
        <f t="shared" si="0"/>
        <v>23611.009999999998</v>
      </c>
    </row>
    <row r="35" spans="1:12" ht="15.75">
      <c r="A35" s="394">
        <v>5</v>
      </c>
      <c r="B35" s="744" t="str">
        <f>'AOC (CTCK)'!C17</f>
        <v xml:space="preserve">HIRING OF SERVICES OF 01 nos ERV </v>
      </c>
      <c r="C35" s="745"/>
      <c r="D35" s="746"/>
      <c r="E35" s="318"/>
      <c r="F35" s="394">
        <v>998519</v>
      </c>
      <c r="G35" s="394" t="str">
        <f>'AOC (CTCK)'!D17</f>
        <v>MON</v>
      </c>
      <c r="H35" s="315">
        <f>'AOC (CTCK)'!J17</f>
        <v>1</v>
      </c>
      <c r="I35" s="315">
        <v>1</v>
      </c>
      <c r="J35" s="315">
        <f>'AOC (CTCK)'!K17</f>
        <v>101694.91</v>
      </c>
      <c r="K35" s="316">
        <v>0</v>
      </c>
      <c r="L35" s="315">
        <f t="shared" si="0"/>
        <v>101694.91</v>
      </c>
    </row>
    <row r="36" spans="1:12" ht="15.75">
      <c r="A36" s="394">
        <v>6</v>
      </c>
      <c r="B36" s="744" t="str">
        <f>'AOC (CTCK)'!C18</f>
        <v xml:space="preserve">HIRING OF SERVICES OF 01 nos FIRE BIKE </v>
      </c>
      <c r="C36" s="745"/>
      <c r="D36" s="746"/>
      <c r="E36" s="318"/>
      <c r="F36" s="394">
        <v>998519</v>
      </c>
      <c r="G36" s="394" t="str">
        <f>'AOC (CTCK)'!D18</f>
        <v>MON</v>
      </c>
      <c r="H36" s="315">
        <f>'AOC (CTCK)'!J18</f>
        <v>1</v>
      </c>
      <c r="I36" s="315">
        <v>1</v>
      </c>
      <c r="J36" s="315">
        <f>'AOC (CTCK)'!K18</f>
        <v>21186.439999999999</v>
      </c>
      <c r="K36" s="316">
        <v>0</v>
      </c>
      <c r="L36" s="315">
        <f t="shared" si="0"/>
        <v>21186.439999999999</v>
      </c>
    </row>
    <row r="37" spans="1:12" ht="15.75">
      <c r="A37" s="394">
        <v>7</v>
      </c>
      <c r="B37" s="744" t="str">
        <f>'AOC (CTCK)'!C19</f>
        <v>SERVICE CHARGES @10%</v>
      </c>
      <c r="C37" s="745"/>
      <c r="D37" s="746"/>
      <c r="E37" s="318"/>
      <c r="F37" s="394">
        <v>998519</v>
      </c>
      <c r="G37" s="394" t="str">
        <f>'AOC (CTCK)'!D19</f>
        <v>LS</v>
      </c>
      <c r="H37" s="315">
        <f>'AOC (CTCK)'!J19</f>
        <v>0</v>
      </c>
      <c r="I37" s="315">
        <v>1</v>
      </c>
      <c r="J37" s="315">
        <f>'AOC (CTCK)'!K19</f>
        <v>0</v>
      </c>
      <c r="K37" s="316">
        <v>0</v>
      </c>
      <c r="L37" s="315">
        <f t="shared" si="0"/>
        <v>0</v>
      </c>
    </row>
    <row r="38" spans="1:12" ht="15.75">
      <c r="A38" s="394">
        <v>8</v>
      </c>
      <c r="B38" s="744" t="str">
        <f>'AOC (CTCK)'!C20</f>
        <v>WAGE REVISION REIMBURSEMENT</v>
      </c>
      <c r="C38" s="745"/>
      <c r="D38" s="746"/>
      <c r="E38" s="318"/>
      <c r="F38" s="394">
        <v>998519</v>
      </c>
      <c r="G38" s="394" t="str">
        <f>'AOC (CTCK)'!D20</f>
        <v>LS</v>
      </c>
      <c r="H38" s="315">
        <f>'AOC (CTCK)'!J20</f>
        <v>44399.700399999994</v>
      </c>
      <c r="I38" s="315">
        <v>1</v>
      </c>
      <c r="J38" s="315">
        <f>'AOC (CTCK)'!K20</f>
        <v>44399.700399999994</v>
      </c>
      <c r="K38" s="316">
        <v>0</v>
      </c>
      <c r="L38" s="315">
        <f t="shared" si="0"/>
        <v>44399.700399999994</v>
      </c>
    </row>
    <row r="39" spans="1:12" ht="39.95" customHeight="1">
      <c r="A39" s="314"/>
      <c r="B39" s="755" t="s">
        <v>42</v>
      </c>
      <c r="C39" s="756"/>
      <c r="D39" s="757"/>
      <c r="E39" s="314"/>
      <c r="F39" s="314"/>
      <c r="G39" s="314"/>
      <c r="H39" s="314"/>
      <c r="I39" s="314"/>
      <c r="J39" s="314"/>
      <c r="K39" s="314"/>
      <c r="L39" s="313">
        <f>SUM(L31:L38)</f>
        <v>775497.92039999994</v>
      </c>
    </row>
    <row r="40" spans="1:12" ht="4.35" customHeight="1">
      <c r="A40" s="721"/>
      <c r="B40" s="722"/>
      <c r="C40" s="722"/>
      <c r="D40" s="722"/>
      <c r="E40" s="722"/>
      <c r="F40" s="722"/>
      <c r="G40" s="722"/>
      <c r="H40" s="722"/>
      <c r="I40" s="722"/>
      <c r="J40" s="722"/>
      <c r="K40" s="722"/>
      <c r="L40" s="723"/>
    </row>
    <row r="41" spans="1:12" ht="30" customHeight="1">
      <c r="A41" s="730" t="s">
        <v>180</v>
      </c>
      <c r="B41" s="730"/>
      <c r="C41" s="730"/>
      <c r="D41" s="730"/>
      <c r="E41" s="730"/>
      <c r="F41" s="730"/>
      <c r="G41" s="724" t="s">
        <v>60</v>
      </c>
      <c r="H41" s="724"/>
      <c r="I41" s="724"/>
      <c r="J41" s="725">
        <f>L39</f>
        <v>775497.92039999994</v>
      </c>
      <c r="K41" s="725"/>
      <c r="L41" s="725"/>
    </row>
    <row r="42" spans="1:12" ht="30" customHeight="1">
      <c r="A42" s="730" t="s">
        <v>181</v>
      </c>
      <c r="B42" s="730"/>
      <c r="C42" s="730"/>
      <c r="D42" s="730"/>
      <c r="E42" s="730"/>
      <c r="F42" s="730"/>
      <c r="G42" s="726" t="s">
        <v>102</v>
      </c>
      <c r="H42" s="706"/>
      <c r="I42" s="708"/>
      <c r="J42" s="727">
        <f>J41*18%</f>
        <v>139589.62567199999</v>
      </c>
      <c r="K42" s="728"/>
      <c r="L42" s="729"/>
    </row>
    <row r="43" spans="1:12" ht="30" customHeight="1">
      <c r="A43" s="730" t="s">
        <v>65</v>
      </c>
      <c r="B43" s="730"/>
      <c r="C43" s="730"/>
      <c r="D43" s="730"/>
      <c r="E43" s="730"/>
      <c r="F43" s="730"/>
      <c r="G43" s="724" t="s">
        <v>103</v>
      </c>
      <c r="H43" s="724"/>
      <c r="I43" s="724"/>
      <c r="J43" s="725">
        <v>0</v>
      </c>
      <c r="K43" s="725"/>
      <c r="L43" s="725"/>
    </row>
    <row r="44" spans="1:12" ht="30" customHeight="1">
      <c r="A44" s="754" t="s">
        <v>66</v>
      </c>
      <c r="B44" s="754"/>
      <c r="C44" s="754"/>
      <c r="D44" s="754"/>
      <c r="E44" s="754"/>
      <c r="F44" s="754"/>
      <c r="G44" s="724" t="s">
        <v>191</v>
      </c>
      <c r="H44" s="724"/>
      <c r="I44" s="724"/>
      <c r="J44" s="750">
        <f>ROUND(J41+(J42+J43),3)</f>
        <v>915087.54599999997</v>
      </c>
      <c r="K44" s="750"/>
      <c r="L44" s="750"/>
    </row>
    <row r="45" spans="1:12" ht="3" customHeight="1">
      <c r="A45" s="312"/>
      <c r="B45" s="311"/>
      <c r="C45" s="311"/>
      <c r="D45" s="311"/>
      <c r="E45" s="311"/>
      <c r="F45" s="310"/>
      <c r="G45" s="310"/>
      <c r="H45" s="309"/>
      <c r="I45" s="309"/>
      <c r="J45" s="308"/>
      <c r="K45" s="308"/>
      <c r="L45" s="307"/>
    </row>
    <row r="46" spans="1:12" ht="30" customHeight="1">
      <c r="A46" s="751" t="str">
        <f>[1]!SpellNumber(J44)&amp;"."</f>
        <v>Rupees Nine Lakh Fifteen Thousand EightySeven Paise FiftyFive Only .</v>
      </c>
      <c r="B46" s="752"/>
      <c r="C46" s="752"/>
      <c r="D46" s="752"/>
      <c r="E46" s="752"/>
      <c r="F46" s="752"/>
      <c r="G46" s="752"/>
      <c r="H46" s="752"/>
      <c r="I46" s="752"/>
      <c r="J46" s="752"/>
      <c r="K46" s="752"/>
      <c r="L46" s="753"/>
    </row>
    <row r="47" spans="1:12" ht="30" customHeight="1">
      <c r="A47" s="747" t="s">
        <v>67</v>
      </c>
      <c r="B47" s="748"/>
      <c r="C47" s="748"/>
      <c r="D47" s="748"/>
      <c r="E47" s="748"/>
      <c r="F47" s="748"/>
      <c r="G47" s="748"/>
      <c r="H47" s="748"/>
      <c r="I47" s="748"/>
      <c r="J47" s="748"/>
      <c r="K47" s="748"/>
      <c r="L47" s="749"/>
    </row>
    <row r="48" spans="1:12" ht="30" customHeight="1">
      <c r="A48" s="306"/>
      <c r="B48" s="258"/>
      <c r="C48" s="258"/>
      <c r="D48" s="258"/>
      <c r="E48" s="258"/>
      <c r="F48" s="258"/>
      <c r="G48" s="731" t="s">
        <v>68</v>
      </c>
      <c r="H48" s="731"/>
      <c r="I48" s="731"/>
      <c r="J48" s="731"/>
      <c r="K48" s="731"/>
      <c r="L48" s="732"/>
    </row>
    <row r="49" spans="1:12" ht="39.95" customHeight="1">
      <c r="A49" s="306"/>
      <c r="B49" s="258"/>
      <c r="C49" s="258"/>
      <c r="D49" s="258"/>
      <c r="E49" s="258"/>
      <c r="F49" s="258"/>
      <c r="G49" s="228"/>
      <c r="H49" s="228"/>
      <c r="I49" s="228"/>
      <c r="J49" s="228"/>
      <c r="K49" s="228"/>
      <c r="L49" s="305"/>
    </row>
    <row r="50" spans="1:12" ht="39.95" customHeight="1">
      <c r="A50" s="306"/>
      <c r="B50" s="258"/>
      <c r="C50" s="258"/>
      <c r="D50" s="258"/>
      <c r="E50" s="258"/>
      <c r="F50" s="258"/>
      <c r="G50" s="228"/>
      <c r="H50" s="228"/>
      <c r="I50" s="228"/>
      <c r="J50" s="228"/>
      <c r="K50" s="228"/>
      <c r="L50" s="305"/>
    </row>
    <row r="51" spans="1:12" ht="39.95" customHeight="1">
      <c r="A51" s="306"/>
      <c r="B51" s="258"/>
      <c r="C51" s="258"/>
      <c r="D51" s="258"/>
      <c r="E51" s="258"/>
      <c r="F51" s="258"/>
      <c r="G51" s="228"/>
      <c r="H51" s="228"/>
      <c r="I51" s="228"/>
      <c r="J51" s="228"/>
      <c r="K51" s="228"/>
      <c r="L51" s="305"/>
    </row>
    <row r="52" spans="1:12" ht="30" customHeight="1">
      <c r="A52" s="304"/>
      <c r="B52" s="303"/>
      <c r="C52" s="303"/>
      <c r="D52" s="303"/>
      <c r="E52" s="303"/>
      <c r="F52" s="303"/>
      <c r="G52" s="733" t="s">
        <v>61</v>
      </c>
      <c r="H52" s="733"/>
      <c r="I52" s="733"/>
      <c r="J52" s="733"/>
      <c r="K52" s="733"/>
      <c r="L52" s="734"/>
    </row>
    <row r="53" spans="1:12" ht="18" customHeight="1">
      <c r="A53" s="735"/>
      <c r="B53" s="736"/>
      <c r="C53" s="736"/>
      <c r="D53" s="736"/>
      <c r="E53" s="736"/>
      <c r="F53" s="736"/>
      <c r="G53" s="736"/>
      <c r="H53" s="736"/>
      <c r="I53" s="736"/>
      <c r="J53" s="736"/>
      <c r="K53" s="736"/>
      <c r="L53" s="737"/>
    </row>
    <row r="54" spans="1:12" ht="18" customHeight="1">
      <c r="A54" s="735"/>
      <c r="B54" s="736"/>
      <c r="C54" s="736"/>
      <c r="D54" s="736"/>
      <c r="E54" s="736"/>
      <c r="F54" s="736"/>
      <c r="G54" s="736"/>
      <c r="H54" s="736"/>
      <c r="I54" s="736"/>
      <c r="J54" s="736"/>
      <c r="K54" s="736"/>
      <c r="L54" s="737"/>
    </row>
    <row r="55" spans="1:12" ht="18" customHeight="1">
      <c r="A55" s="735"/>
      <c r="B55" s="736"/>
      <c r="C55" s="736"/>
      <c r="D55" s="736"/>
      <c r="E55" s="736"/>
      <c r="F55" s="736"/>
      <c r="G55" s="736"/>
      <c r="H55" s="736"/>
      <c r="I55" s="736"/>
      <c r="J55" s="736"/>
      <c r="K55" s="736"/>
      <c r="L55" s="737"/>
    </row>
    <row r="56" spans="1:12" ht="18" customHeight="1">
      <c r="A56" s="738"/>
      <c r="B56" s="739"/>
      <c r="C56" s="739"/>
      <c r="D56" s="739"/>
      <c r="E56" s="739"/>
      <c r="F56" s="739"/>
      <c r="G56" s="739"/>
      <c r="H56" s="739"/>
      <c r="I56" s="739"/>
      <c r="J56" s="739"/>
      <c r="K56" s="739"/>
      <c r="L56" s="740"/>
    </row>
    <row r="57" spans="1:12" ht="18" customHeight="1">
      <c r="A57" s="741"/>
      <c r="B57" s="741"/>
      <c r="C57" s="741"/>
      <c r="D57" s="741"/>
      <c r="E57" s="741"/>
      <c r="F57" s="741"/>
      <c r="G57" s="742"/>
      <c r="H57" s="742"/>
      <c r="I57" s="742"/>
      <c r="J57" s="743"/>
      <c r="K57" s="743"/>
      <c r="L57" s="743"/>
    </row>
  </sheetData>
  <sheetProtection/>
  <mergeCells count="83">
    <mergeCell ref="B37:D37"/>
    <mergeCell ref="B38:D38"/>
    <mergeCell ref="A28:L28"/>
    <mergeCell ref="B29:D29"/>
    <mergeCell ref="B30:D30"/>
    <mergeCell ref="B31:D31"/>
    <mergeCell ref="B32:D32"/>
    <mergeCell ref="B33:D33"/>
    <mergeCell ref="B34:D34"/>
    <mergeCell ref="B35:D35"/>
    <mergeCell ref="B36:D36"/>
    <mergeCell ref="A47:L47"/>
    <mergeCell ref="G43:I43"/>
    <mergeCell ref="J43:L43"/>
    <mergeCell ref="G44:I44"/>
    <mergeCell ref="J44:L44"/>
    <mergeCell ref="A46:L46"/>
    <mergeCell ref="A43:F43"/>
    <mergeCell ref="A44:F44"/>
    <mergeCell ref="B39:D39"/>
    <mergeCell ref="G48:L48"/>
    <mergeCell ref="G52:L52"/>
    <mergeCell ref="A53:L56"/>
    <mergeCell ref="A57:F57"/>
    <mergeCell ref="G57:I57"/>
    <mergeCell ref="J57:L57"/>
    <mergeCell ref="A40:L40"/>
    <mergeCell ref="G41:I41"/>
    <mergeCell ref="J41:L41"/>
    <mergeCell ref="G42:I42"/>
    <mergeCell ref="J42:L42"/>
    <mergeCell ref="A41:F41"/>
    <mergeCell ref="A42:F42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orientation="portrait" paperSize="9" scale="67" r:id="rId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1907E3C-F333-4812-A139-44A5B277B9AB}">
  <sheetPr codeName="Sheet12">
    <pageSetUpPr fitToPage="1"/>
  </sheetPr>
  <dimension ref="A1:P47"/>
  <sheetViews>
    <sheetView zoomScale="110" zoomScaleNormal="110" workbookViewId="0" topLeftCell="A28">
      <selection pane="topLeft" activeCell="A28" sqref="A28:K28"/>
    </sheetView>
  </sheetViews>
  <sheetFormatPr defaultRowHeight="14.25"/>
  <cols>
    <col min="1" max="1" width="8.85714285714286" style="281" customWidth="1"/>
    <col min="2" max="5" width="11.8571428571429" style="281" customWidth="1"/>
    <col min="6" max="11" width="12.8571428571429" style="281" customWidth="1"/>
    <col min="12" max="13" width="9.14285714285714" style="216"/>
    <col min="14" max="14" width="10.7142857142857" style="216" bestFit="1" customWidth="1"/>
    <col min="15" max="16384" width="9.14285714285714" style="216"/>
  </cols>
  <sheetData>
    <row r="1" spans="1:11" ht="24.95" customHeight="1">
      <c r="A1" s="302"/>
      <c r="B1" s="301"/>
      <c r="C1" s="301"/>
      <c r="D1" s="301"/>
      <c r="E1" s="301"/>
      <c r="F1" s="301"/>
      <c r="G1" s="301"/>
      <c r="H1" s="301"/>
      <c r="I1" s="301"/>
      <c r="J1" s="301"/>
      <c r="K1" s="300"/>
    </row>
    <row r="2" spans="1:11" ht="24.95" customHeight="1">
      <c r="A2" s="299"/>
      <c r="K2" s="298"/>
    </row>
    <row r="3" spans="1:11" ht="24.95" customHeight="1">
      <c r="A3" s="299"/>
      <c r="K3" s="298"/>
    </row>
    <row r="4" spans="1:11" ht="24.95" customHeight="1">
      <c r="A4" s="299"/>
      <c r="K4" s="298"/>
    </row>
    <row r="5" spans="1:11" ht="24.95" customHeight="1">
      <c r="A5" s="299"/>
      <c r="K5" s="298"/>
    </row>
    <row r="6" spans="1:11" ht="24.95" customHeight="1">
      <c r="A6" s="299"/>
      <c r="K6" s="298"/>
    </row>
    <row r="7" spans="1:11" ht="24.95" customHeight="1">
      <c r="A7" s="299"/>
      <c r="K7" s="298"/>
    </row>
    <row r="8" spans="1:11" ht="24.95" customHeight="1">
      <c r="A8" s="785" t="s">
        <v>78</v>
      </c>
      <c r="B8" s="785"/>
      <c r="C8" s="785"/>
      <c r="D8" s="785"/>
      <c r="E8" s="785"/>
      <c r="F8" s="785"/>
      <c r="G8" s="785"/>
      <c r="H8" s="785"/>
      <c r="I8" s="785"/>
      <c r="J8" s="785"/>
      <c r="K8" s="785"/>
    </row>
    <row r="9" spans="1:11" ht="24.95" customHeight="1">
      <c r="A9" s="780" t="str">
        <f>'Working Sheet'!C5</f>
        <v>RA BILL NO-19</v>
      </c>
      <c r="B9" s="780"/>
      <c r="C9" s="780"/>
      <c r="D9" s="780"/>
      <c r="E9" s="780"/>
      <c r="F9" s="780"/>
      <c r="G9" s="780"/>
      <c r="H9" s="780"/>
      <c r="I9" s="780"/>
      <c r="J9" s="780"/>
      <c r="K9" s="780"/>
    </row>
    <row r="10" spans="1:11" ht="30" customHeight="1">
      <c r="A10" s="730" t="s">
        <v>44</v>
      </c>
      <c r="B10" s="730"/>
      <c r="C10" s="730"/>
      <c r="D10" s="730"/>
      <c r="E10" s="730"/>
      <c r="F10" s="786" t="s">
        <v>77</v>
      </c>
      <c r="G10" s="787"/>
      <c r="H10" s="787"/>
      <c r="I10" s="787"/>
      <c r="J10" s="787"/>
      <c r="K10" s="788"/>
    </row>
    <row r="11" spans="1:11" s="295" customFormat="1" ht="30" customHeight="1">
      <c r="A11" s="730" t="s">
        <v>45</v>
      </c>
      <c r="B11" s="730"/>
      <c r="C11" s="730"/>
      <c r="D11" s="730"/>
      <c r="E11" s="730"/>
      <c r="F11" s="754" t="s">
        <v>120</v>
      </c>
      <c r="G11" s="754"/>
      <c r="H11" s="754"/>
      <c r="I11" s="754"/>
      <c r="J11" s="754"/>
      <c r="K11" s="754"/>
    </row>
    <row r="12" spans="1:11" s="295" customFormat="1" ht="30" customHeight="1">
      <c r="A12" s="730" t="s">
        <v>46</v>
      </c>
      <c r="B12" s="730"/>
      <c r="C12" s="730"/>
      <c r="D12" s="730"/>
      <c r="E12" s="730"/>
      <c r="F12" s="730" t="s">
        <v>122</v>
      </c>
      <c r="G12" s="730"/>
      <c r="H12" s="730"/>
      <c r="I12" s="730"/>
      <c r="J12" s="730"/>
      <c r="K12" s="730"/>
    </row>
    <row r="13" spans="1:11" s="295" customFormat="1" ht="30" customHeight="1">
      <c r="A13" s="730" t="s">
        <v>47</v>
      </c>
      <c r="B13" s="730"/>
      <c r="C13" s="730"/>
      <c r="D13" s="730"/>
      <c r="E13" s="730"/>
      <c r="F13" s="781" t="s">
        <v>121</v>
      </c>
      <c r="G13" s="781"/>
      <c r="H13" s="781"/>
      <c r="I13" s="781"/>
      <c r="J13" s="781"/>
      <c r="K13" s="781"/>
    </row>
    <row r="14" spans="1:11" s="295" customFormat="1" ht="30" customHeight="1">
      <c r="A14" s="730" t="s">
        <v>48</v>
      </c>
      <c r="B14" s="730"/>
      <c r="C14" s="730"/>
      <c r="D14" s="730"/>
      <c r="E14" s="730"/>
      <c r="F14" s="781" t="s">
        <v>127</v>
      </c>
      <c r="G14" s="781"/>
      <c r="H14" s="781"/>
      <c r="I14" s="781"/>
      <c r="J14" s="781"/>
      <c r="K14" s="781"/>
    </row>
    <row r="15" spans="1:11" s="295" customFormat="1" ht="30" customHeight="1">
      <c r="A15" s="730" t="s">
        <v>49</v>
      </c>
      <c r="B15" s="730"/>
      <c r="C15" s="730"/>
      <c r="D15" s="730"/>
      <c r="E15" s="730"/>
      <c r="F15" s="781" t="s">
        <v>179</v>
      </c>
      <c r="G15" s="781"/>
      <c r="H15" s="781"/>
      <c r="I15" s="781"/>
      <c r="J15" s="781"/>
      <c r="K15" s="781"/>
    </row>
    <row r="16" spans="1:11" s="295" customFormat="1" ht="30" customHeight="1">
      <c r="A16" s="724" t="s">
        <v>50</v>
      </c>
      <c r="B16" s="724"/>
      <c r="C16" s="724"/>
      <c r="D16" s="724"/>
      <c r="E16" s="724"/>
      <c r="F16" s="730" t="str">
        <f>'Working Sheet'!C5</f>
        <v>RA BILL NO-19</v>
      </c>
      <c r="G16" s="730"/>
      <c r="H16" s="730"/>
      <c r="I16" s="730"/>
      <c r="J16" s="730"/>
      <c r="K16" s="730"/>
    </row>
    <row r="17" spans="1:11" s="295" customFormat="1" ht="30" customHeight="1">
      <c r="A17" s="730" t="s">
        <v>51</v>
      </c>
      <c r="B17" s="730"/>
      <c r="C17" s="730"/>
      <c r="D17" s="730"/>
      <c r="E17" s="730"/>
      <c r="F17" s="726" t="str">
        <f>'Working Sheet'!B1&amp;" BILL FOR THE MONTH OF "&amp;'Working Sheet'!B3</f>
        <v>01 Oct 2025 To 31 Oct 2025 BILL FOR THE MONTH OF OCTOBER-2025</v>
      </c>
      <c r="G17" s="706"/>
      <c r="H17" s="706"/>
      <c r="I17" s="706"/>
      <c r="J17" s="706"/>
      <c r="K17" s="708"/>
    </row>
    <row r="18" spans="1:11" s="295" customFormat="1" ht="6.75" customHeight="1">
      <c r="A18" s="363"/>
      <c r="B18" s="364"/>
      <c r="C18" s="364"/>
      <c r="D18" s="364"/>
      <c r="E18" s="364"/>
      <c r="F18" s="297"/>
      <c r="G18" s="297"/>
      <c r="H18" s="297"/>
      <c r="I18" s="297"/>
      <c r="J18" s="297"/>
      <c r="K18" s="296"/>
    </row>
    <row r="19" spans="1:11" s="295" customFormat="1" ht="5.1" customHeight="1">
      <c r="A19" s="774"/>
      <c r="B19" s="775"/>
      <c r="C19" s="775"/>
      <c r="D19" s="775"/>
      <c r="E19" s="775"/>
      <c r="F19" s="775"/>
      <c r="G19" s="775"/>
      <c r="H19" s="775"/>
      <c r="I19" s="775"/>
      <c r="J19" s="775"/>
      <c r="K19" s="776"/>
    </row>
    <row r="20" spans="1:16" ht="30" customHeight="1">
      <c r="A20" s="294" t="s">
        <v>79</v>
      </c>
      <c r="B20" s="782" t="s">
        <v>76</v>
      </c>
      <c r="C20" s="783"/>
      <c r="D20" s="783"/>
      <c r="E20" s="784"/>
      <c r="F20" s="795" t="s">
        <v>52</v>
      </c>
      <c r="G20" s="796"/>
      <c r="H20" s="797" t="s">
        <v>53</v>
      </c>
      <c r="I20" s="798"/>
      <c r="J20" s="797" t="s">
        <v>54</v>
      </c>
      <c r="K20" s="798"/>
      <c r="P20" s="293"/>
    </row>
    <row r="21" spans="1:15" ht="24.95" customHeight="1">
      <c r="A21" s="292">
        <v>1</v>
      </c>
      <c r="B21" s="794" t="s">
        <v>99</v>
      </c>
      <c r="C21" s="794"/>
      <c r="D21" s="794"/>
      <c r="E21" s="794"/>
      <c r="F21" s="769">
        <v>12944470.619999999</v>
      </c>
      <c r="G21" s="770"/>
      <c r="H21" s="767">
        <f>'AOC (CTCK)'!K21</f>
        <v>775497.92039999994</v>
      </c>
      <c r="I21" s="768"/>
      <c r="J21" s="769">
        <f t="shared" si="0" ref="J21:J27">H21+F21</f>
        <v>13719968.540399998</v>
      </c>
      <c r="K21" s="770"/>
      <c r="N21" s="293"/>
      <c r="O21" s="293"/>
    </row>
    <row r="22" spans="1:14" ht="24.95" customHeight="1">
      <c r="A22" s="292">
        <v>2</v>
      </c>
      <c r="B22" s="791" t="s">
        <v>101</v>
      </c>
      <c r="C22" s="792"/>
      <c r="D22" s="792"/>
      <c r="E22" s="793"/>
      <c r="F22" s="769">
        <v>2330004.71</v>
      </c>
      <c r="G22" s="770"/>
      <c r="H22" s="767">
        <f>H21*18%</f>
        <v>139589.62567199999</v>
      </c>
      <c r="I22" s="768"/>
      <c r="J22" s="769">
        <f t="shared" si="0"/>
        <v>2469594.335672</v>
      </c>
      <c r="K22" s="770"/>
      <c r="N22" s="293"/>
    </row>
    <row r="23" spans="1:14" ht="30" customHeight="1">
      <c r="A23" s="292">
        <v>3</v>
      </c>
      <c r="B23" s="791" t="s">
        <v>98</v>
      </c>
      <c r="C23" s="799"/>
      <c r="D23" s="799"/>
      <c r="E23" s="800"/>
      <c r="F23" s="769">
        <v>15274475.33</v>
      </c>
      <c r="G23" s="770"/>
      <c r="H23" s="767">
        <f>H21+H22</f>
        <v>915087.54607199994</v>
      </c>
      <c r="I23" s="768"/>
      <c r="J23" s="769">
        <f t="shared" si="0"/>
        <v>16189562.876072001</v>
      </c>
      <c r="K23" s="770"/>
      <c r="N23" s="293"/>
    </row>
    <row r="24" spans="1:14" ht="24.95" customHeight="1">
      <c r="A24" s="292">
        <v>4</v>
      </c>
      <c r="B24" s="802" t="s">
        <v>105</v>
      </c>
      <c r="C24" s="799"/>
      <c r="D24" s="799"/>
      <c r="E24" s="800"/>
      <c r="F24" s="769">
        <v>258889.41</v>
      </c>
      <c r="G24" s="770"/>
      <c r="H24" s="767">
        <f>H21*2%</f>
        <v>15509.958407999999</v>
      </c>
      <c r="I24" s="768"/>
      <c r="J24" s="769">
        <f t="shared" si="0"/>
        <v>274399.36840799998</v>
      </c>
      <c r="K24" s="770"/>
      <c r="N24" s="293"/>
    </row>
    <row r="25" spans="1:14" ht="24.95" customHeight="1">
      <c r="A25" s="292">
        <v>5</v>
      </c>
      <c r="B25" s="791" t="s">
        <v>75</v>
      </c>
      <c r="C25" s="792"/>
      <c r="D25" s="792"/>
      <c r="E25" s="793"/>
      <c r="F25" s="769">
        <v>258889.41</v>
      </c>
      <c r="G25" s="770"/>
      <c r="H25" s="767">
        <f>H21*2%</f>
        <v>15509.958407999999</v>
      </c>
      <c r="I25" s="768"/>
      <c r="J25" s="769">
        <f t="shared" si="0"/>
        <v>274399.36840799998</v>
      </c>
      <c r="K25" s="770"/>
      <c r="N25" s="293"/>
    </row>
    <row r="26" spans="1:14" ht="30" customHeight="1">
      <c r="A26" s="292">
        <v>6</v>
      </c>
      <c r="B26" s="791" t="s">
        <v>55</v>
      </c>
      <c r="C26" s="792"/>
      <c r="D26" s="792"/>
      <c r="E26" s="793"/>
      <c r="F26" s="769">
        <v>0</v>
      </c>
      <c r="G26" s="770"/>
      <c r="H26" s="767">
        <v>0</v>
      </c>
      <c r="I26" s="768"/>
      <c r="J26" s="769">
        <f t="shared" si="0"/>
        <v>0</v>
      </c>
      <c r="K26" s="770"/>
      <c r="N26" s="293"/>
    </row>
    <row r="27" spans="1:14" ht="24.95" customHeight="1">
      <c r="A27" s="292">
        <v>7</v>
      </c>
      <c r="B27" s="801" t="s">
        <v>56</v>
      </c>
      <c r="C27" s="801"/>
      <c r="D27" s="801"/>
      <c r="E27" s="801"/>
      <c r="F27" s="769">
        <v>14756696.51</v>
      </c>
      <c r="G27" s="770"/>
      <c r="H27" s="767">
        <f>H23-(H24+H25)</f>
        <v>884067.62925599993</v>
      </c>
      <c r="I27" s="768"/>
      <c r="J27" s="769">
        <f t="shared" si="0"/>
        <v>15640764.139256001</v>
      </c>
      <c r="K27" s="770"/>
      <c r="N27" s="293"/>
    </row>
    <row r="28" spans="1:11" ht="30" customHeight="1">
      <c r="A28" s="803" t="str">
        <f>[1]!SpellNumber(H27)&amp;"."</f>
        <v>Rupees Eight Lakh EightyFour Thousand SixtySeven Paise SixtyThree Only .</v>
      </c>
      <c r="B28" s="804"/>
      <c r="C28" s="804"/>
      <c r="D28" s="804"/>
      <c r="E28" s="804"/>
      <c r="F28" s="804"/>
      <c r="G28" s="804"/>
      <c r="H28" s="804"/>
      <c r="I28" s="804"/>
      <c r="J28" s="804"/>
      <c r="K28" s="805"/>
    </row>
    <row r="29" spans="1:11" ht="24.95" customHeight="1">
      <c r="A29" s="291" t="s">
        <v>472</v>
      </c>
      <c r="B29" s="806" t="s">
        <v>71</v>
      </c>
      <c r="C29" s="806"/>
      <c r="D29" s="806"/>
      <c r="E29" s="806"/>
      <c r="F29" s="806"/>
      <c r="G29" s="806"/>
      <c r="H29" s="806"/>
      <c r="I29" s="806"/>
      <c r="J29" s="806"/>
      <c r="K29" s="807"/>
    </row>
    <row r="30" spans="1:11" ht="24.95" customHeight="1">
      <c r="A30" s="290">
        <v>2</v>
      </c>
      <c r="B30" s="806" t="s">
        <v>72</v>
      </c>
      <c r="C30" s="806"/>
      <c r="D30" s="806"/>
      <c r="E30" s="806"/>
      <c r="F30" s="806"/>
      <c r="G30" s="806"/>
      <c r="H30" s="806"/>
      <c r="I30" s="806"/>
      <c r="J30" s="806"/>
      <c r="K30" s="807"/>
    </row>
    <row r="31" spans="1:11" ht="24.95" customHeight="1">
      <c r="A31" s="290">
        <v>3</v>
      </c>
      <c r="B31" s="789" t="s">
        <v>73</v>
      </c>
      <c r="C31" s="789"/>
      <c r="D31" s="789"/>
      <c r="E31" s="789"/>
      <c r="F31" s="789"/>
      <c r="G31" s="789"/>
      <c r="H31" s="789"/>
      <c r="I31" s="789"/>
      <c r="J31" s="789"/>
      <c r="K31" s="790"/>
    </row>
    <row r="32" spans="1:11" ht="24.95" customHeight="1">
      <c r="A32" s="290">
        <v>4</v>
      </c>
      <c r="B32" s="789" t="s">
        <v>57</v>
      </c>
      <c r="C32" s="789"/>
      <c r="D32" s="789"/>
      <c r="E32" s="789"/>
      <c r="F32" s="789"/>
      <c r="G32" s="789"/>
      <c r="H32" s="789"/>
      <c r="I32" s="789"/>
      <c r="J32" s="789"/>
      <c r="K32" s="790"/>
    </row>
    <row r="33" spans="1:11" ht="24.95" customHeight="1">
      <c r="A33" s="283" t="s">
        <v>58</v>
      </c>
      <c r="B33" s="774" t="s">
        <v>74</v>
      </c>
      <c r="C33" s="775"/>
      <c r="D33" s="775"/>
      <c r="E33" s="775"/>
      <c r="F33" s="776"/>
      <c r="G33" s="774" t="s">
        <v>178</v>
      </c>
      <c r="H33" s="775"/>
      <c r="I33" s="775"/>
      <c r="J33" s="775"/>
      <c r="K33" s="776"/>
    </row>
    <row r="34" spans="1:11" ht="30" customHeight="1">
      <c r="A34" s="289"/>
      <c r="B34" s="288"/>
      <c r="C34" s="288"/>
      <c r="D34" s="288"/>
      <c r="E34" s="288"/>
      <c r="F34" s="288"/>
      <c r="G34" s="288"/>
      <c r="H34" s="288"/>
      <c r="I34" s="288"/>
      <c r="J34" s="288"/>
      <c r="K34" s="287"/>
    </row>
    <row r="35" spans="1:11" ht="33.75" customHeight="1">
      <c r="A35" s="286"/>
      <c r="B35" s="285"/>
      <c r="C35" s="285"/>
      <c r="D35" s="285"/>
      <c r="E35" s="285"/>
      <c r="F35" s="285"/>
      <c r="G35" s="285"/>
      <c r="H35" s="285"/>
      <c r="I35" s="285"/>
      <c r="J35" s="285"/>
      <c r="K35" s="284"/>
    </row>
    <row r="36" spans="1:11" ht="24.95" customHeight="1">
      <c r="A36" s="283" t="s">
        <v>29</v>
      </c>
      <c r="B36" s="777" t="s">
        <v>64</v>
      </c>
      <c r="C36" s="778"/>
      <c r="D36" s="778"/>
      <c r="E36" s="778"/>
      <c r="F36" s="779"/>
      <c r="G36" s="777" t="s">
        <v>483</v>
      </c>
      <c r="H36" s="778"/>
      <c r="I36" s="778"/>
      <c r="J36" s="778"/>
      <c r="K36" s="779"/>
    </row>
    <row r="37" spans="1:11" ht="24.95" customHeight="1">
      <c r="A37" s="283" t="s">
        <v>1</v>
      </c>
      <c r="B37" s="771">
        <f>'Working Sheet'!B4</f>
        <v>45964</v>
      </c>
      <c r="C37" s="772"/>
      <c r="D37" s="772"/>
      <c r="E37" s="772"/>
      <c r="F37" s="773"/>
      <c r="G37" s="774" t="s">
        <v>484</v>
      </c>
      <c r="H37" s="775"/>
      <c r="I37" s="775"/>
      <c r="J37" s="775"/>
      <c r="K37" s="776"/>
    </row>
    <row r="38" ht="24.75" customHeight="1"/>
    <row r="46" spans="10:10" ht="14.25">
      <c r="J46" s="282"/>
    </row>
    <row r="47" spans="12:12" s="281" customFormat="1" ht="14.25">
      <c r="L47" s="216"/>
    </row>
  </sheetData>
  <sheetProtection/>
  <mergeCells count="62">
    <mergeCell ref="B23:E23"/>
    <mergeCell ref="B36:F36"/>
    <mergeCell ref="B27:E27"/>
    <mergeCell ref="B33:F33"/>
    <mergeCell ref="B24:E24"/>
    <mergeCell ref="B32:K32"/>
    <mergeCell ref="B26:E26"/>
    <mergeCell ref="A28:K28"/>
    <mergeCell ref="B29:K29"/>
    <mergeCell ref="B30:K30"/>
    <mergeCell ref="B31:K31"/>
    <mergeCell ref="B25:E25"/>
    <mergeCell ref="B21:E21"/>
    <mergeCell ref="B22:E22"/>
    <mergeCell ref="F20:G20"/>
    <mergeCell ref="H20:I20"/>
    <mergeCell ref="J20:K20"/>
    <mergeCell ref="F21:G21"/>
    <mergeCell ref="F22:G22"/>
    <mergeCell ref="F23:G23"/>
    <mergeCell ref="A15:E15"/>
    <mergeCell ref="A16:E16"/>
    <mergeCell ref="A17:E17"/>
    <mergeCell ref="F15:K15"/>
    <mergeCell ref="F16:K16"/>
    <mergeCell ref="A19:K19"/>
    <mergeCell ref="F17:K17"/>
    <mergeCell ref="A8:K8"/>
    <mergeCell ref="F11:K11"/>
    <mergeCell ref="A10:E10"/>
    <mergeCell ref="A11:E11"/>
    <mergeCell ref="A12:E12"/>
    <mergeCell ref="A13:E13"/>
    <mergeCell ref="F10:K10"/>
    <mergeCell ref="A14:E14"/>
    <mergeCell ref="B37:F37"/>
    <mergeCell ref="G33:K33"/>
    <mergeCell ref="G36:K36"/>
    <mergeCell ref="G37:K37"/>
    <mergeCell ref="A9:K9"/>
    <mergeCell ref="F12:K12"/>
    <mergeCell ref="F13:K13"/>
    <mergeCell ref="F14:K14"/>
    <mergeCell ref="B20:E20"/>
    <mergeCell ref="F24:G24"/>
    <mergeCell ref="F25:G25"/>
    <mergeCell ref="F26:G26"/>
    <mergeCell ref="F27:G27"/>
    <mergeCell ref="H21:I21"/>
    <mergeCell ref="H22:I22"/>
    <mergeCell ref="H23:I23"/>
    <mergeCell ref="H24:I24"/>
    <mergeCell ref="H25:I25"/>
    <mergeCell ref="H26:I26"/>
    <mergeCell ref="H27:I27"/>
    <mergeCell ref="J21:K21"/>
    <mergeCell ref="J22:K22"/>
    <mergeCell ref="J23:K23"/>
    <mergeCell ref="J24:K24"/>
    <mergeCell ref="J25:K25"/>
    <mergeCell ref="J26:K26"/>
    <mergeCell ref="J27:K27"/>
  </mergeCells>
  <printOptions horizontalCentered="1"/>
  <pageMargins left="0.25" right="0.25" top="0.75" bottom="0.75" header="0.3" footer="0.3"/>
  <pageSetup orientation="portrait" paperSize="1" scale="71" r:id="rId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AFD8DC5-CB9A-42DE-B47F-1563C16DB9AB}">
  <sheetPr codeName="Sheet13">
    <pageSetUpPr fitToPage="1"/>
  </sheetPr>
  <dimension ref="A1:P33"/>
  <sheetViews>
    <sheetView view="pageBreakPreview" zoomScale="75" zoomScaleNormal="72" zoomScaleSheetLayoutView="75" workbookViewId="0" topLeftCell="A23">
      <selection pane="topLeft" activeCell="H21" sqref="H21:J23"/>
    </sheetView>
  </sheetViews>
  <sheetFormatPr defaultRowHeight="12.75"/>
  <cols>
    <col min="1" max="1" width="6.57142857142857" style="216" customWidth="1"/>
    <col min="2" max="2" width="8.85714285714286" style="216" customWidth="1"/>
    <col min="3" max="3" width="45.1428571428571" style="216" customWidth="1"/>
    <col min="4" max="4" width="6.57142857142857" style="216" customWidth="1"/>
    <col min="5" max="13" width="12.5714285714286" style="216" customWidth="1"/>
    <col min="14" max="14" width="9.14285714285714" style="216"/>
    <col min="15" max="15" width="12.4285714285714" style="216" bestFit="1" customWidth="1"/>
    <col min="16" max="16" width="11.2857142857143" style="216" bestFit="1" customWidth="1"/>
    <col min="17" max="16384" width="9.14285714285714" style="216"/>
  </cols>
  <sheetData>
    <row r="1" spans="1:13" ht="20.1" customHeight="1">
      <c r="A1" s="829" t="s">
        <v>104</v>
      </c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1"/>
    </row>
    <row r="2" spans="1:13" ht="12.75">
      <c r="A2" s="814" t="s">
        <v>80</v>
      </c>
      <c r="B2" s="814"/>
      <c r="C2" s="814"/>
      <c r="D2" s="280" t="s">
        <v>81</v>
      </c>
      <c r="E2" s="810" t="str">
        <f>'Working Sheet'!D2</f>
        <v>SSI/1191</v>
      </c>
      <c r="F2" s="810"/>
      <c r="G2" s="810"/>
      <c r="H2" s="810"/>
      <c r="I2" s="810"/>
      <c r="J2" s="810"/>
      <c r="K2" s="810"/>
      <c r="L2" s="810"/>
      <c r="M2" s="810"/>
    </row>
    <row r="3" spans="1:13" ht="12.75">
      <c r="A3" s="814" t="s">
        <v>82</v>
      </c>
      <c r="B3" s="814"/>
      <c r="C3" s="814"/>
      <c r="D3" s="279" t="s">
        <v>81</v>
      </c>
      <c r="E3" s="811">
        <f>'Working Sheet'!B4</f>
        <v>45964</v>
      </c>
      <c r="F3" s="812"/>
      <c r="G3" s="812"/>
      <c r="H3" s="812"/>
      <c r="I3" s="812"/>
      <c r="J3" s="812"/>
      <c r="K3" s="812"/>
      <c r="L3" s="812"/>
      <c r="M3" s="813"/>
    </row>
    <row r="4" spans="1:13" ht="12.75">
      <c r="A4" s="814" t="s">
        <v>83</v>
      </c>
      <c r="B4" s="814"/>
      <c r="C4" s="814"/>
      <c r="D4" s="278" t="s">
        <v>81</v>
      </c>
      <c r="E4" s="815" t="str">
        <f>'Working Sheet'!B1</f>
        <v>01 Oct 2025 To 31 Oct 2025</v>
      </c>
      <c r="F4" s="816"/>
      <c r="G4" s="816"/>
      <c r="H4" s="816"/>
      <c r="I4" s="816"/>
      <c r="J4" s="816"/>
      <c r="K4" s="816"/>
      <c r="L4" s="816"/>
      <c r="M4" s="817"/>
    </row>
    <row r="5" spans="1:13" ht="12.75">
      <c r="A5" s="814" t="s">
        <v>84</v>
      </c>
      <c r="B5" s="814"/>
      <c r="C5" s="814"/>
      <c r="D5" s="278" t="s">
        <v>81</v>
      </c>
      <c r="E5" s="815" t="s">
        <v>107</v>
      </c>
      <c r="F5" s="816"/>
      <c r="G5" s="816"/>
      <c r="H5" s="816"/>
      <c r="I5" s="816"/>
      <c r="J5" s="816"/>
      <c r="K5" s="816"/>
      <c r="L5" s="816"/>
      <c r="M5" s="817"/>
    </row>
    <row r="6" spans="1:13" ht="12.75">
      <c r="A6" s="814" t="s">
        <v>85</v>
      </c>
      <c r="B6" s="814"/>
      <c r="C6" s="814"/>
      <c r="D6" s="278" t="s">
        <v>81</v>
      </c>
      <c r="E6" s="832" t="s">
        <v>108</v>
      </c>
      <c r="F6" s="833"/>
      <c r="G6" s="833"/>
      <c r="H6" s="833"/>
      <c r="I6" s="833"/>
      <c r="J6" s="833"/>
      <c r="K6" s="833"/>
      <c r="L6" s="833"/>
      <c r="M6" s="834"/>
    </row>
    <row r="7" spans="1:13" ht="12.75">
      <c r="A7" s="814" t="s">
        <v>86</v>
      </c>
      <c r="B7" s="814"/>
      <c r="C7" s="814"/>
      <c r="D7" s="278" t="s">
        <v>81</v>
      </c>
      <c r="E7" s="815" t="s">
        <v>109</v>
      </c>
      <c r="F7" s="816"/>
      <c r="G7" s="816"/>
      <c r="H7" s="816"/>
      <c r="I7" s="816"/>
      <c r="J7" s="816"/>
      <c r="K7" s="816"/>
      <c r="L7" s="816"/>
      <c r="M7" s="817"/>
    </row>
    <row r="8" spans="1:13" ht="12.75">
      <c r="A8" s="814" t="s">
        <v>192</v>
      </c>
      <c r="B8" s="814"/>
      <c r="C8" s="814"/>
      <c r="D8" s="278" t="s">
        <v>81</v>
      </c>
      <c r="E8" s="835" t="s">
        <v>106</v>
      </c>
      <c r="F8" s="836"/>
      <c r="G8" s="836"/>
      <c r="H8" s="836"/>
      <c r="I8" s="836"/>
      <c r="J8" s="836"/>
      <c r="K8" s="836"/>
      <c r="L8" s="836"/>
      <c r="M8" s="837"/>
    </row>
    <row r="9" spans="1:13" ht="12.75">
      <c r="A9" s="818" t="s">
        <v>110</v>
      </c>
      <c r="B9" s="819"/>
      <c r="C9" s="819"/>
      <c r="D9" s="819"/>
      <c r="E9" s="819"/>
      <c r="F9" s="819"/>
      <c r="G9" s="819"/>
      <c r="H9" s="819"/>
      <c r="I9" s="819"/>
      <c r="J9" s="819"/>
      <c r="K9" s="819"/>
      <c r="L9" s="819"/>
      <c r="M9" s="820"/>
    </row>
    <row r="10" spans="1:13" ht="30" customHeight="1">
      <c r="A10" s="821" t="s">
        <v>89</v>
      </c>
      <c r="B10" s="821" t="s">
        <v>90</v>
      </c>
      <c r="C10" s="823" t="s">
        <v>176</v>
      </c>
      <c r="D10" s="838" t="s">
        <v>174</v>
      </c>
      <c r="E10" s="839"/>
      <c r="F10" s="839"/>
      <c r="G10" s="840"/>
      <c r="H10" s="821" t="s">
        <v>130</v>
      </c>
      <c r="I10" s="821"/>
      <c r="J10" s="821" t="s">
        <v>91</v>
      </c>
      <c r="K10" s="821"/>
      <c r="L10" s="821" t="s">
        <v>92</v>
      </c>
      <c r="M10" s="821"/>
    </row>
    <row r="11" spans="1:13" ht="30" customHeight="1">
      <c r="A11" s="821"/>
      <c r="B11" s="821"/>
      <c r="C11" s="824"/>
      <c r="D11" s="277" t="s">
        <v>2</v>
      </c>
      <c r="E11" s="277" t="s">
        <v>93</v>
      </c>
      <c r="F11" s="277" t="s">
        <v>38</v>
      </c>
      <c r="G11" s="277" t="s">
        <v>100</v>
      </c>
      <c r="H11" s="277" t="s">
        <v>93</v>
      </c>
      <c r="I11" s="277" t="s">
        <v>39</v>
      </c>
      <c r="J11" s="277" t="s">
        <v>93</v>
      </c>
      <c r="K11" s="277" t="s">
        <v>39</v>
      </c>
      <c r="L11" s="277" t="s">
        <v>93</v>
      </c>
      <c r="M11" s="277" t="s">
        <v>39</v>
      </c>
    </row>
    <row r="12" spans="1:15" ht="18.6" customHeight="1">
      <c r="A12" s="275">
        <v>2</v>
      </c>
      <c r="B12" s="275"/>
      <c r="C12" s="276" t="s">
        <v>391</v>
      </c>
      <c r="D12" s="275"/>
      <c r="E12" s="275"/>
      <c r="F12" s="275"/>
      <c r="G12" s="275"/>
      <c r="H12" s="275"/>
      <c r="I12" s="275"/>
      <c r="J12" s="274"/>
      <c r="K12" s="274"/>
      <c r="L12" s="273"/>
      <c r="M12" s="273"/>
      <c r="N12" s="272"/>
      <c r="O12" s="272"/>
    </row>
    <row r="13" spans="1:16" ht="32.45" customHeight="1">
      <c r="A13" s="271"/>
      <c r="B13" s="269">
        <v>10</v>
      </c>
      <c r="C13" s="270" t="s">
        <v>112</v>
      </c>
      <c r="D13" s="269" t="s">
        <v>118</v>
      </c>
      <c r="E13" s="269">
        <v>72</v>
      </c>
      <c r="F13" s="268">
        <v>34029.660000000003</v>
      </c>
      <c r="G13" s="267">
        <f t="shared" si="0" ref="G13:G20">E13*F13</f>
        <v>2450135.5200000005</v>
      </c>
      <c r="H13" s="265">
        <v>33</v>
      </c>
      <c r="I13" s="265">
        <f t="shared" si="1" ref="I13:I20">H13*F13</f>
        <v>1122978.78</v>
      </c>
      <c r="J13" s="266">
        <f>'MB (CTCK)'!E45</f>
        <v>2</v>
      </c>
      <c r="K13" s="266">
        <f t="shared" si="2" ref="K13:K20">J13*F13</f>
        <v>68059.320000000007</v>
      </c>
      <c r="L13" s="265">
        <f t="shared" si="3" ref="L13:L20">J13+H13</f>
        <v>35</v>
      </c>
      <c r="M13" s="265">
        <f t="shared" si="4" ref="M13:M20">I13+K13</f>
        <v>1191038.1000000001</v>
      </c>
      <c r="P13" s="365"/>
    </row>
    <row r="14" spans="1:16" ht="32.45" customHeight="1">
      <c r="A14" s="271"/>
      <c r="B14" s="269">
        <v>20</v>
      </c>
      <c r="C14" s="270" t="s">
        <v>390</v>
      </c>
      <c r="D14" s="269" t="s">
        <v>118</v>
      </c>
      <c r="E14" s="269">
        <v>324</v>
      </c>
      <c r="F14" s="263">
        <v>30912.71</v>
      </c>
      <c r="G14" s="267">
        <f t="shared" si="0"/>
        <v>10015718.039999999</v>
      </c>
      <c r="H14" s="265">
        <v>142</v>
      </c>
      <c r="I14" s="265">
        <f t="shared" si="1"/>
        <v>4389604.8200000003</v>
      </c>
      <c r="J14" s="266">
        <f>'MB (CTCK)'!E46</f>
        <v>9</v>
      </c>
      <c r="K14" s="266">
        <f t="shared" si="2"/>
        <v>278214.39000000001</v>
      </c>
      <c r="L14" s="265">
        <f t="shared" si="3"/>
        <v>151</v>
      </c>
      <c r="M14" s="265">
        <f t="shared" si="4"/>
        <v>4667819.21</v>
      </c>
      <c r="P14" s="365"/>
    </row>
    <row r="15" spans="1:16" ht="32.45" customHeight="1">
      <c r="A15" s="271"/>
      <c r="B15" s="269">
        <v>30</v>
      </c>
      <c r="C15" s="270" t="s">
        <v>114</v>
      </c>
      <c r="D15" s="269" t="s">
        <v>118</v>
      </c>
      <c r="E15" s="269">
        <v>324</v>
      </c>
      <c r="F15" s="263">
        <v>26481.35</v>
      </c>
      <c r="G15" s="267">
        <f t="shared" si="0"/>
        <v>8579957.4000000004</v>
      </c>
      <c r="H15" s="265">
        <v>157.85</v>
      </c>
      <c r="I15" s="265">
        <f t="shared" si="1"/>
        <v>4180081.0974999997</v>
      </c>
      <c r="J15" s="266">
        <f>'MB (CTCK)'!E47</f>
        <v>9</v>
      </c>
      <c r="K15" s="266">
        <f t="shared" si="2"/>
        <v>238332.14999999999</v>
      </c>
      <c r="L15" s="265">
        <f t="shared" si="3"/>
        <v>166.84999999999999</v>
      </c>
      <c r="M15" s="265">
        <f t="shared" si="4"/>
        <v>4418413.2474999996</v>
      </c>
      <c r="P15" s="365"/>
    </row>
    <row r="16" spans="1:16" ht="32.45" customHeight="1">
      <c r="A16" s="271"/>
      <c r="B16" s="269">
        <v>40</v>
      </c>
      <c r="C16" s="270" t="s">
        <v>115</v>
      </c>
      <c r="D16" s="269" t="s">
        <v>118</v>
      </c>
      <c r="E16" s="269">
        <v>36</v>
      </c>
      <c r="F16" s="263">
        <v>23611.01</v>
      </c>
      <c r="G16" s="267">
        <f t="shared" si="0"/>
        <v>849996.35999999999</v>
      </c>
      <c r="H16" s="265">
        <v>17</v>
      </c>
      <c r="I16" s="265">
        <f t="shared" si="1"/>
        <v>401387.16999999998</v>
      </c>
      <c r="J16" s="266">
        <f>'MB (CTCK)'!E48</f>
        <v>1</v>
      </c>
      <c r="K16" s="266">
        <f t="shared" si="2"/>
        <v>23611.009999999998</v>
      </c>
      <c r="L16" s="265">
        <f t="shared" si="3"/>
        <v>18</v>
      </c>
      <c r="M16" s="265">
        <f t="shared" si="4"/>
        <v>424998.17999999999</v>
      </c>
      <c r="P16" s="365"/>
    </row>
    <row r="17" spans="1:16" ht="32.45" customHeight="1">
      <c r="A17" s="271"/>
      <c r="B17" s="269">
        <v>50</v>
      </c>
      <c r="C17" s="270" t="s">
        <v>116</v>
      </c>
      <c r="D17" s="269" t="s">
        <v>63</v>
      </c>
      <c r="E17" s="269">
        <v>36</v>
      </c>
      <c r="F17" s="263">
        <v>101694.91</v>
      </c>
      <c r="G17" s="267">
        <f t="shared" si="0"/>
        <v>3661016.7600000002</v>
      </c>
      <c r="H17" s="265">
        <v>18</v>
      </c>
      <c r="I17" s="265">
        <f t="shared" si="1"/>
        <v>1830508.3800000001</v>
      </c>
      <c r="J17" s="266">
        <v>1</v>
      </c>
      <c r="K17" s="266">
        <f t="shared" si="2"/>
        <v>101694.91</v>
      </c>
      <c r="L17" s="265">
        <f t="shared" si="3"/>
        <v>19</v>
      </c>
      <c r="M17" s="265">
        <f t="shared" si="4"/>
        <v>1932203.29</v>
      </c>
      <c r="P17" s="365"/>
    </row>
    <row r="18" spans="1:16" ht="32.45" customHeight="1">
      <c r="A18" s="271"/>
      <c r="B18" s="269">
        <v>60</v>
      </c>
      <c r="C18" s="270" t="s">
        <v>117</v>
      </c>
      <c r="D18" s="269" t="s">
        <v>63</v>
      </c>
      <c r="E18" s="269">
        <v>36</v>
      </c>
      <c r="F18" s="263">
        <v>21186.44</v>
      </c>
      <c r="G18" s="267">
        <f t="shared" si="0"/>
        <v>762711.83999999997</v>
      </c>
      <c r="H18" s="265">
        <v>14</v>
      </c>
      <c r="I18" s="265">
        <f t="shared" si="1"/>
        <v>296610.15999999997</v>
      </c>
      <c r="J18" s="266">
        <v>1</v>
      </c>
      <c r="K18" s="266">
        <f t="shared" si="2"/>
        <v>21186.439999999999</v>
      </c>
      <c r="L18" s="265">
        <f t="shared" si="3"/>
        <v>15</v>
      </c>
      <c r="M18" s="265">
        <f t="shared" si="4"/>
        <v>317796.59999999998</v>
      </c>
      <c r="P18" s="365"/>
    </row>
    <row r="19" spans="1:16" ht="32.45" customHeight="1">
      <c r="A19" s="271"/>
      <c r="B19" s="269">
        <v>120</v>
      </c>
      <c r="C19" s="270" t="s">
        <v>126</v>
      </c>
      <c r="D19" s="269" t="s">
        <v>119</v>
      </c>
      <c r="E19" s="269">
        <v>1</v>
      </c>
      <c r="F19" s="268">
        <v>2189.5700000000002</v>
      </c>
      <c r="G19" s="267">
        <f t="shared" si="0"/>
        <v>2189.5700000000002</v>
      </c>
      <c r="H19" s="265">
        <v>0</v>
      </c>
      <c r="I19" s="265">
        <f t="shared" si="1"/>
        <v>0</v>
      </c>
      <c r="J19" s="266">
        <v>0</v>
      </c>
      <c r="K19" s="266">
        <f t="shared" si="2"/>
        <v>0</v>
      </c>
      <c r="L19" s="265">
        <f t="shared" si="3"/>
        <v>0</v>
      </c>
      <c r="M19" s="265">
        <f t="shared" si="4"/>
        <v>0</v>
      </c>
      <c r="P19" s="365"/>
    </row>
    <row r="20" spans="1:16" ht="32.45" customHeight="1">
      <c r="A20" s="271"/>
      <c r="B20" s="269">
        <v>10120</v>
      </c>
      <c r="C20" s="270" t="s">
        <v>177</v>
      </c>
      <c r="D20" s="269" t="s">
        <v>119</v>
      </c>
      <c r="E20" s="269"/>
      <c r="F20" s="268">
        <v>1</v>
      </c>
      <c r="G20" s="267">
        <f t="shared" si="0"/>
        <v>0</v>
      </c>
      <c r="H20" s="265">
        <v>723300.21</v>
      </c>
      <c r="I20" s="265">
        <f t="shared" si="1"/>
        <v>723300.20999999996</v>
      </c>
      <c r="J20" s="266">
        <f>'DIFF-II (CTCK)'!C13</f>
        <v>44399.700399999994</v>
      </c>
      <c r="K20" s="266">
        <f t="shared" si="2"/>
        <v>44399.700399999994</v>
      </c>
      <c r="L20" s="265">
        <f t="shared" si="3"/>
        <v>767699.91039999994</v>
      </c>
      <c r="M20" s="265">
        <f t="shared" si="4"/>
        <v>767699.91039999994</v>
      </c>
      <c r="P20" s="365"/>
    </row>
    <row r="21" spans="1:13" ht="25.7" customHeight="1">
      <c r="A21" s="264"/>
      <c r="B21" s="808" t="s">
        <v>173</v>
      </c>
      <c r="C21" s="808" t="s">
        <v>94</v>
      </c>
      <c r="D21" s="808"/>
      <c r="E21" s="808"/>
      <c r="F21" s="808"/>
      <c r="G21" s="263">
        <f>SUM(G12:G20)</f>
        <v>26321725.490000002</v>
      </c>
      <c r="H21" s="828" t="str">
        <f>"Claimed for "&amp;'Working Sheet'!B3&amp;" MONTH"</f>
        <v>Claimed for OCTOBER-2025 MONTH</v>
      </c>
      <c r="I21" s="828"/>
      <c r="J21" s="828"/>
      <c r="K21" s="262">
        <f>SUM(K12:K20)</f>
        <v>775497.92039999994</v>
      </c>
      <c r="L21" s="809" t="s">
        <v>95</v>
      </c>
      <c r="M21" s="809"/>
    </row>
    <row r="22" spans="1:13" ht="22.7" customHeight="1">
      <c r="A22" s="264"/>
      <c r="B22" s="808"/>
      <c r="C22" s="808" t="s">
        <v>96</v>
      </c>
      <c r="D22" s="808"/>
      <c r="E22" s="808"/>
      <c r="F22" s="808"/>
      <c r="G22" s="263">
        <f>G21*18%</f>
        <v>4737910.5882000001</v>
      </c>
      <c r="H22" s="828"/>
      <c r="I22" s="828"/>
      <c r="J22" s="828"/>
      <c r="K22" s="262">
        <f>K21*18%</f>
        <v>139589.62567199999</v>
      </c>
      <c r="L22" s="809" t="s">
        <v>95</v>
      </c>
      <c r="M22" s="809"/>
    </row>
    <row r="23" spans="1:13" ht="26.1" customHeight="1">
      <c r="A23" s="264"/>
      <c r="B23" s="808"/>
      <c r="C23" s="808" t="s">
        <v>97</v>
      </c>
      <c r="D23" s="808"/>
      <c r="E23" s="808"/>
      <c r="F23" s="808"/>
      <c r="G23" s="263">
        <f>G21+G22</f>
        <v>31059636.078200001</v>
      </c>
      <c r="H23" s="828"/>
      <c r="I23" s="828"/>
      <c r="J23" s="828"/>
      <c r="K23" s="262">
        <f>SUM((K21+K22),0)</f>
        <v>915087.54607199994</v>
      </c>
      <c r="L23" s="809" t="s">
        <v>95</v>
      </c>
      <c r="M23" s="809"/>
    </row>
    <row r="24" spans="1:13" ht="12.75">
      <c r="A24" s="260"/>
      <c r="B24" s="260"/>
      <c r="C24" s="260"/>
      <c r="D24" s="260"/>
      <c r="E24" s="260"/>
      <c r="F24" s="260"/>
      <c r="G24" s="260"/>
      <c r="H24" s="260"/>
      <c r="I24" s="260"/>
      <c r="J24" s="260"/>
      <c r="K24" s="261"/>
      <c r="L24" s="260"/>
      <c r="M24" s="260"/>
    </row>
    <row r="25" spans="1:13" ht="12.75">
      <c r="A25" s="260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</row>
    <row r="26" spans="1:13" ht="12.75">
      <c r="A26" s="260"/>
      <c r="B26" s="260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</row>
    <row r="27" spans="1:13" ht="12.75">
      <c r="A27" s="825" t="str">
        <f>[1]!SpellNumber(K23)&amp;"."</f>
        <v>Rupees Nine Lakh Fifteen Thousand EightySeven Paise FiftyFive Only .</v>
      </c>
      <c r="B27" s="826"/>
      <c r="C27" s="826"/>
      <c r="D27" s="826"/>
      <c r="E27" s="826"/>
      <c r="F27" s="826"/>
      <c r="G27" s="826"/>
      <c r="H27" s="826"/>
      <c r="I27" s="826"/>
      <c r="J27" s="826"/>
      <c r="K27" s="826"/>
      <c r="L27" s="826"/>
      <c r="M27" s="827"/>
    </row>
    <row r="28" spans="1:13" ht="12.75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</row>
    <row r="29" spans="1:13" ht="12.75">
      <c r="A29" s="258"/>
      <c r="B29" s="258"/>
      <c r="C29" s="258"/>
      <c r="D29" s="258"/>
      <c r="E29" s="258"/>
      <c r="F29" s="258"/>
      <c r="G29" s="258"/>
      <c r="H29" s="258"/>
      <c r="I29" s="258"/>
      <c r="J29" s="258"/>
      <c r="K29" s="258"/>
      <c r="L29" s="258"/>
      <c r="M29" s="258"/>
    </row>
    <row r="30" spans="1:13" ht="12.75">
      <c r="A30" s="258"/>
      <c r="B30" s="258"/>
      <c r="C30" s="258"/>
      <c r="D30" s="258"/>
      <c r="E30" s="258"/>
      <c r="F30" s="258"/>
      <c r="G30" s="258"/>
      <c r="H30" s="258"/>
      <c r="I30" s="258"/>
      <c r="J30" s="258"/>
      <c r="K30" s="258"/>
      <c r="L30" s="258"/>
      <c r="M30" s="258"/>
    </row>
    <row r="31" spans="1:13" ht="12.75">
      <c r="A31" s="258"/>
      <c r="B31" s="258"/>
      <c r="C31" s="258"/>
      <c r="D31" s="258"/>
      <c r="E31" s="258"/>
      <c r="F31" s="258"/>
      <c r="G31" s="258"/>
      <c r="H31" s="258"/>
      <c r="I31" s="258"/>
      <c r="J31" s="258"/>
      <c r="K31" s="258"/>
      <c r="L31" s="258"/>
      <c r="M31" s="258"/>
    </row>
    <row r="32" spans="1:13" ht="12.75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</row>
    <row r="33" spans="1:13" ht="15" customHeight="1">
      <c r="A33" s="822" t="s">
        <v>87</v>
      </c>
      <c r="B33" s="822"/>
      <c r="C33" s="822"/>
      <c r="D33" s="258"/>
      <c r="E33" s="258"/>
      <c r="F33" s="258"/>
      <c r="G33" s="258"/>
      <c r="H33" s="259"/>
      <c r="I33" s="258"/>
      <c r="J33" s="822" t="s">
        <v>88</v>
      </c>
      <c r="K33" s="822"/>
      <c r="L33" s="822"/>
      <c r="M33" s="822"/>
    </row>
  </sheetData>
  <sheetProtection/>
  <mergeCells count="34">
    <mergeCell ref="A8:C8"/>
    <mergeCell ref="E8:M8"/>
    <mergeCell ref="D10:G10"/>
    <mergeCell ref="L22:M22"/>
    <mergeCell ref="A7:C7"/>
    <mergeCell ref="L21:M21"/>
    <mergeCell ref="C22:F22"/>
    <mergeCell ref="A1:M1"/>
    <mergeCell ref="A2:C2"/>
    <mergeCell ref="A3:C3"/>
    <mergeCell ref="A4:C4"/>
    <mergeCell ref="A5:C5"/>
    <mergeCell ref="E6:M6"/>
    <mergeCell ref="E5:M5"/>
    <mergeCell ref="A33:C33"/>
    <mergeCell ref="C10:C11"/>
    <mergeCell ref="A27:M27"/>
    <mergeCell ref="J33:M33"/>
    <mergeCell ref="H10:I10"/>
    <mergeCell ref="J10:K10"/>
    <mergeCell ref="B10:B11"/>
    <mergeCell ref="A10:A11"/>
    <mergeCell ref="C21:F21"/>
    <mergeCell ref="H21:J23"/>
    <mergeCell ref="C23:F23"/>
    <mergeCell ref="L23:M23"/>
    <mergeCell ref="E2:M2"/>
    <mergeCell ref="E3:M3"/>
    <mergeCell ref="A6:C6"/>
    <mergeCell ref="E4:M4"/>
    <mergeCell ref="E7:M7"/>
    <mergeCell ref="A9:M9"/>
    <mergeCell ref="L10:M10"/>
    <mergeCell ref="B21:B23"/>
  </mergeCells>
  <printOptions horizontalCentered="1"/>
  <pageMargins left="1" right="1" top="1" bottom="1" header="0.5" footer="0.5"/>
  <pageSetup fitToHeight="0" orientation="landscape" paperSize="1" scale="65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4C5467B-DDC9-4DB0-A6B2-F131E878B9AB}">
  <sheetPr codeName="Sheet14">
    <pageSetUpPr fitToPage="1"/>
  </sheetPr>
  <dimension ref="A1:I52"/>
  <sheetViews>
    <sheetView view="pageBreakPreview" zoomScale="87" zoomScaleNormal="72" zoomScaleSheetLayoutView="87" workbookViewId="0" topLeftCell="A11">
      <selection pane="topLeft" activeCell="G33" activeCellId="1" sqref="G12 G33"/>
    </sheetView>
  </sheetViews>
  <sheetFormatPr defaultRowHeight="12.75"/>
  <cols>
    <col min="1" max="1" width="12.8571428571429" style="216" customWidth="1"/>
    <col min="2" max="2" width="21.2857142857143" style="216" customWidth="1"/>
    <col min="3" max="3" width="21.5714285714286" style="216" customWidth="1"/>
    <col min="4" max="4" width="24.1428571428571" style="216" customWidth="1"/>
    <col min="5" max="9" width="18.5714285714286" style="216" customWidth="1"/>
    <col min="10" max="16384" width="9.14285714285714" style="216"/>
  </cols>
  <sheetData>
    <row r="1" spans="1:9" ht="36">
      <c r="A1" s="848" t="s">
        <v>77</v>
      </c>
      <c r="B1" s="848"/>
      <c r="C1" s="848"/>
      <c r="D1" s="848"/>
      <c r="E1" s="848"/>
      <c r="F1" s="848"/>
      <c r="G1" s="848"/>
      <c r="H1" s="848"/>
      <c r="I1" s="848"/>
    </row>
    <row r="2" spans="1:9" ht="26.25">
      <c r="A2" s="849" t="s">
        <v>389</v>
      </c>
      <c r="B2" s="849"/>
      <c r="C2" s="849"/>
      <c r="D2" s="849"/>
      <c r="E2" s="849"/>
      <c r="F2" s="849"/>
      <c r="G2" s="849"/>
      <c r="H2" s="849"/>
      <c r="I2" s="849"/>
    </row>
    <row r="3" spans="1:9" ht="26.25">
      <c r="A3" s="849" t="s">
        <v>149</v>
      </c>
      <c r="B3" s="849"/>
      <c r="C3" s="849"/>
      <c r="D3" s="849"/>
      <c r="E3" s="849"/>
      <c r="F3" s="849"/>
      <c r="G3" s="849"/>
      <c r="H3" s="849"/>
      <c r="I3" s="849"/>
    </row>
    <row r="4" spans="1:9" ht="15.75">
      <c r="A4" s="226" t="str">
        <f>'Working Sheet'!C5</f>
        <v>RA BILL NO-19</v>
      </c>
      <c r="B4" s="257"/>
      <c r="C4" s="257"/>
      <c r="D4" s="228"/>
      <c r="E4" s="228"/>
      <c r="F4" s="228"/>
      <c r="G4" s="228"/>
      <c r="H4" s="228"/>
      <c r="I4" s="228"/>
    </row>
    <row r="5" spans="1:9" ht="15.75">
      <c r="A5" s="226" t="str">
        <f>"MEASUREMENT PERIOD: "&amp;'Working Sheet'!B1</f>
        <v>MEASUREMENT PERIOD: 01 Oct 2025 To 31 Oct 2025</v>
      </c>
      <c r="B5" s="257"/>
      <c r="C5" s="257"/>
      <c r="D5" s="228"/>
      <c r="E5" s="228"/>
      <c r="F5" s="228"/>
      <c r="G5" s="228"/>
      <c r="H5" s="228"/>
      <c r="I5" s="228"/>
    </row>
    <row r="6" spans="1:9" ht="15.75">
      <c r="A6" s="226" t="s">
        <v>159</v>
      </c>
      <c r="B6" s="229"/>
      <c r="C6" s="229"/>
      <c r="D6" s="225"/>
      <c r="E6" s="225"/>
      <c r="F6" s="225"/>
      <c r="G6" s="225"/>
      <c r="H6" s="225"/>
      <c r="I6" s="225"/>
    </row>
    <row r="7" spans="1:9" ht="15.75">
      <c r="A7" s="239" t="s">
        <v>158</v>
      </c>
      <c r="B7" s="229"/>
      <c r="C7" s="229"/>
      <c r="D7" s="229"/>
      <c r="E7" s="229"/>
      <c r="F7" s="229"/>
      <c r="G7" s="229"/>
      <c r="H7" s="229"/>
      <c r="I7" s="229"/>
    </row>
    <row r="8" spans="1:9" ht="15.75">
      <c r="A8" s="229"/>
      <c r="B8" s="229"/>
      <c r="C8" s="229"/>
      <c r="D8" s="225"/>
      <c r="E8" s="225"/>
      <c r="F8" s="225"/>
      <c r="G8" s="225"/>
      <c r="H8" s="225"/>
      <c r="I8" s="225"/>
    </row>
    <row r="9" spans="1:9" ht="69.6" customHeight="1">
      <c r="A9" s="256" t="s">
        <v>150</v>
      </c>
      <c r="B9" s="256" t="s">
        <v>388</v>
      </c>
      <c r="C9" s="256" t="s">
        <v>397</v>
      </c>
      <c r="D9" s="255" t="s">
        <v>151</v>
      </c>
      <c r="E9" s="256" t="str">
        <f>"MAX. NO. OF WORKING DAYS DURING MONTH OF "&amp;'Working Sheet'!B3</f>
        <v>MAX. NO. OF WORKING DAYS DURING MONTH OF OCTOBER-2025</v>
      </c>
      <c r="F9" s="256" t="str">
        <f>"NO. OF DAYS PRESENT FROM "&amp;'Working Sheet'!B1</f>
        <v>NO. OF DAYS PRESENT FROM 01 Oct 2025 To 31 Oct 2025</v>
      </c>
      <c r="G9" s="256" t="s">
        <v>387</v>
      </c>
      <c r="H9" s="256" t="s">
        <v>152</v>
      </c>
      <c r="I9" s="255" t="s">
        <v>153</v>
      </c>
    </row>
    <row r="10" spans="1:9" ht="21.95" customHeight="1">
      <c r="A10" s="845">
        <v>1</v>
      </c>
      <c r="B10" s="846" t="s">
        <v>112</v>
      </c>
      <c r="C10" s="338" t="s">
        <v>297</v>
      </c>
      <c r="D10" s="101" t="s">
        <v>386</v>
      </c>
      <c r="E10" s="103">
        <f>'Working Sheet'!$B$8</f>
        <v>26</v>
      </c>
      <c r="F10" s="250">
        <f>VLOOKUP(C10,'FORM B'!$B$23:$H$114,6,0)</f>
        <v>26</v>
      </c>
      <c r="G10" s="254">
        <f>VLOOKUP(C10,'FORM B'!$B$23:$H$114,7,0)</f>
        <v>6.1162079510703</v>
      </c>
      <c r="H10" s="246">
        <f>F10/E10</f>
        <v>1</v>
      </c>
      <c r="I10" s="102"/>
    </row>
    <row r="11" spans="1:9" ht="21.95" customHeight="1">
      <c r="A11" s="845"/>
      <c r="B11" s="846"/>
      <c r="C11" s="338" t="s">
        <v>313</v>
      </c>
      <c r="D11" s="101" t="s">
        <v>385</v>
      </c>
      <c r="E11" s="103">
        <f>'Working Sheet'!$B$8</f>
        <v>26</v>
      </c>
      <c r="F11" s="250">
        <f>VLOOKUP(C11,'FORM B'!$B$23:$H$114,6,0)</f>
        <v>26</v>
      </c>
      <c r="G11" s="254">
        <f>VLOOKUP(C11,'FORM B'!$B$23:$H$114,7,0)</f>
        <v>6.1162079510703</v>
      </c>
      <c r="H11" s="246">
        <f>F11/E11</f>
        <v>1</v>
      </c>
      <c r="I11" s="102"/>
    </row>
    <row r="12" spans="1:9" ht="21.95" customHeight="1">
      <c r="A12" s="253"/>
      <c r="B12" s="252"/>
      <c r="C12" s="252"/>
      <c r="D12" s="232"/>
      <c r="E12" s="252"/>
      <c r="F12" s="251" t="s">
        <v>154</v>
      </c>
      <c r="G12" s="231">
        <f>SUM(G10:G11)</f>
        <v>12.2324159021406</v>
      </c>
      <c r="H12" s="231">
        <f>SUM(H10:H11)</f>
        <v>2</v>
      </c>
      <c r="I12" s="119"/>
    </row>
    <row r="13" spans="1:9" ht="21.95" customHeight="1">
      <c r="A13" s="845">
        <v>2</v>
      </c>
      <c r="B13" s="846" t="s">
        <v>113</v>
      </c>
      <c r="C13" s="338" t="s">
        <v>300</v>
      </c>
      <c r="D13" s="101" t="s">
        <v>384</v>
      </c>
      <c r="E13" s="103">
        <f>'Working Sheet'!$B$8</f>
        <v>26</v>
      </c>
      <c r="F13" s="250">
        <f>VLOOKUP(C13,'FORM B'!$B$23:$H$114,6,0)</f>
        <v>26</v>
      </c>
      <c r="G13" s="254">
        <f>VLOOKUP(C13,'FORM B'!$B$23:$H$114,7,0)</f>
        <v>0</v>
      </c>
      <c r="H13" s="246">
        <f t="shared" si="0" ref="H13:H21">F13/E13</f>
        <v>1</v>
      </c>
      <c r="I13" s="102"/>
    </row>
    <row r="14" spans="1:9" ht="21.95" customHeight="1">
      <c r="A14" s="845"/>
      <c r="B14" s="846"/>
      <c r="C14" s="338" t="s">
        <v>306</v>
      </c>
      <c r="D14" s="101" t="s">
        <v>383</v>
      </c>
      <c r="E14" s="103">
        <f>'Working Sheet'!$B$8</f>
        <v>26</v>
      </c>
      <c r="F14" s="250">
        <f>VLOOKUP(C14,'FORM B'!$B$23:$H$114,6,0)</f>
        <v>26</v>
      </c>
      <c r="G14" s="254">
        <f>VLOOKUP(C14,'FORM B'!$B$23:$H$114,7,0)</f>
        <v>0</v>
      </c>
      <c r="H14" s="246">
        <f t="shared" si="0"/>
        <v>1</v>
      </c>
      <c r="I14" s="102"/>
    </row>
    <row r="15" spans="1:9" ht="21.95" customHeight="1">
      <c r="A15" s="845"/>
      <c r="B15" s="846"/>
      <c r="C15" s="338" t="s">
        <v>317</v>
      </c>
      <c r="D15" s="101" t="s">
        <v>382</v>
      </c>
      <c r="E15" s="103">
        <f>'Working Sheet'!$B$8</f>
        <v>26</v>
      </c>
      <c r="F15" s="250">
        <f>VLOOKUP(C15,'FORM B'!$B$23:$H$114,6,0)</f>
        <v>26</v>
      </c>
      <c r="G15" s="254">
        <f>VLOOKUP(C15,'FORM B'!$B$23:$H$114,7,0)</f>
        <v>0</v>
      </c>
      <c r="H15" s="246">
        <f t="shared" si="0"/>
        <v>1</v>
      </c>
      <c r="I15" s="102"/>
    </row>
    <row r="16" spans="1:9" ht="21.95" customHeight="1">
      <c r="A16" s="845"/>
      <c r="B16" s="846"/>
      <c r="C16" s="338" t="s">
        <v>319</v>
      </c>
      <c r="D16" s="101" t="s">
        <v>381</v>
      </c>
      <c r="E16" s="103">
        <f>'Working Sheet'!$B$8</f>
        <v>26</v>
      </c>
      <c r="F16" s="250">
        <f>VLOOKUP(C16,'FORM B'!$B$23:$H$114,6,0)</f>
        <v>26</v>
      </c>
      <c r="G16" s="254">
        <f>VLOOKUP(C16,'FORM B'!$B$23:$H$114,7,0)</f>
        <v>0</v>
      </c>
      <c r="H16" s="246">
        <f t="shared" si="0"/>
        <v>1</v>
      </c>
      <c r="I16" s="102"/>
    </row>
    <row r="17" spans="1:9" ht="21.95" customHeight="1">
      <c r="A17" s="845"/>
      <c r="B17" s="846"/>
      <c r="C17" s="338" t="s">
        <v>329</v>
      </c>
      <c r="D17" s="101" t="s">
        <v>380</v>
      </c>
      <c r="E17" s="103">
        <f>'Working Sheet'!$B$8</f>
        <v>26</v>
      </c>
      <c r="F17" s="250">
        <f>VLOOKUP(C17,'FORM B'!$B$23:$H$114,6,0)</f>
        <v>26</v>
      </c>
      <c r="G17" s="254">
        <f>VLOOKUP(C17,'FORM B'!$B$23:$H$114,7,0)</f>
        <v>0</v>
      </c>
      <c r="H17" s="246">
        <f t="shared" si="0"/>
        <v>1</v>
      </c>
      <c r="I17" s="102"/>
    </row>
    <row r="18" spans="1:9" ht="21.95" customHeight="1">
      <c r="A18" s="845"/>
      <c r="B18" s="846"/>
      <c r="C18" s="338" t="s">
        <v>334</v>
      </c>
      <c r="D18" s="101" t="s">
        <v>379</v>
      </c>
      <c r="E18" s="103">
        <f>'Working Sheet'!$B$8</f>
        <v>26</v>
      </c>
      <c r="F18" s="250">
        <f>VLOOKUP(C18,'FORM B'!$B$23:$H$114,6,0)</f>
        <v>26</v>
      </c>
      <c r="G18" s="254">
        <f>VLOOKUP(C18,'FORM B'!$B$23:$H$114,7,0)</f>
        <v>0</v>
      </c>
      <c r="H18" s="246">
        <f t="shared" si="0"/>
        <v>1</v>
      </c>
      <c r="I18" s="102"/>
    </row>
    <row r="19" spans="1:9" ht="21.95" customHeight="1">
      <c r="A19" s="845"/>
      <c r="B19" s="846"/>
      <c r="C19" s="338" t="s">
        <v>338</v>
      </c>
      <c r="D19" s="101" t="s">
        <v>378</v>
      </c>
      <c r="E19" s="103">
        <f>'Working Sheet'!$B$8</f>
        <v>26</v>
      </c>
      <c r="F19" s="250">
        <f>VLOOKUP(C19,'FORM B'!$B$23:$H$114,6,0)</f>
        <v>26</v>
      </c>
      <c r="G19" s="254">
        <f>VLOOKUP(C19,'FORM B'!$B$23:$H$114,7,0)</f>
        <v>0</v>
      </c>
      <c r="H19" s="246">
        <f t="shared" si="0"/>
        <v>1</v>
      </c>
      <c r="I19" s="102"/>
    </row>
    <row r="20" spans="1:9" ht="21.95" customHeight="1">
      <c r="A20" s="845"/>
      <c r="B20" s="846"/>
      <c r="C20" s="338" t="s">
        <v>342</v>
      </c>
      <c r="D20" s="101" t="s">
        <v>377</v>
      </c>
      <c r="E20" s="103">
        <f>'Working Sheet'!$B$8</f>
        <v>26</v>
      </c>
      <c r="F20" s="250">
        <f>VLOOKUP(C20,'FORM B'!$B$23:$H$114,6,0)</f>
        <v>26</v>
      </c>
      <c r="G20" s="254">
        <f>VLOOKUP(C20,'FORM B'!$B$23:$H$114,7,0)</f>
        <v>0</v>
      </c>
      <c r="H20" s="246">
        <f t="shared" si="0"/>
        <v>1</v>
      </c>
      <c r="I20" s="102"/>
    </row>
    <row r="21" spans="1:9" ht="21.95" customHeight="1">
      <c r="A21" s="845"/>
      <c r="B21" s="846"/>
      <c r="C21" s="338" t="s">
        <v>346</v>
      </c>
      <c r="D21" s="101" t="s">
        <v>376</v>
      </c>
      <c r="E21" s="103">
        <f>'Working Sheet'!$B$8</f>
        <v>26</v>
      </c>
      <c r="F21" s="250">
        <f>VLOOKUP(C21,'FORM B'!$B$23:$H$114,6,0)</f>
        <v>26</v>
      </c>
      <c r="G21" s="254">
        <f>VLOOKUP(C21,'FORM B'!$B$23:$H$114,7,0)</f>
        <v>0</v>
      </c>
      <c r="H21" s="246">
        <f t="shared" si="0"/>
        <v>1</v>
      </c>
      <c r="I21" s="102"/>
    </row>
    <row r="22" spans="1:9" ht="21.95" customHeight="1">
      <c r="A22" s="845"/>
      <c r="B22" s="846"/>
      <c r="C22" s="338"/>
      <c r="D22" s="101" t="s">
        <v>95</v>
      </c>
      <c r="E22" s="247"/>
      <c r="F22" s="250"/>
      <c r="G22" s="250"/>
      <c r="H22" s="246"/>
      <c r="I22" s="102"/>
    </row>
    <row r="23" spans="1:9" ht="21.95" customHeight="1">
      <c r="A23" s="244"/>
      <c r="B23" s="249"/>
      <c r="C23" s="249"/>
      <c r="D23" s="248"/>
      <c r="E23" s="241"/>
      <c r="F23" s="232" t="s">
        <v>154</v>
      </c>
      <c r="G23" s="231">
        <f>SUM(G13:G22)</f>
        <v>0</v>
      </c>
      <c r="H23" s="231">
        <f>SUM(H13:H22)</f>
        <v>9</v>
      </c>
      <c r="I23" s="119"/>
    </row>
    <row r="24" spans="1:9" ht="28.5" customHeight="1">
      <c r="A24" s="380"/>
      <c r="B24" s="381"/>
      <c r="C24" s="382" t="s">
        <v>292</v>
      </c>
      <c r="D24" s="106" t="s">
        <v>369</v>
      </c>
      <c r="E24" s="103">
        <f>'Working Sheet'!$B$8</f>
        <v>26</v>
      </c>
      <c r="F24" s="250">
        <f>VLOOKUP(C24,'FORM B'!$B$23:$H$114,6,0)</f>
        <v>26</v>
      </c>
      <c r="G24" s="254">
        <f>VLOOKUP(C24,'FORM B'!$B$23:$H$114,7,0)</f>
        <v>0</v>
      </c>
      <c r="H24" s="246">
        <f>F24/E24</f>
        <v>1</v>
      </c>
      <c r="I24" s="102"/>
    </row>
    <row r="25" spans="1:9" ht="21.95" customHeight="1">
      <c r="A25" s="841">
        <v>3</v>
      </c>
      <c r="B25" s="843" t="s">
        <v>494</v>
      </c>
      <c r="C25" s="338" t="s">
        <v>295</v>
      </c>
      <c r="D25" s="106" t="s">
        <v>375</v>
      </c>
      <c r="E25" s="103">
        <f>'Working Sheet'!$B$8</f>
        <v>26</v>
      </c>
      <c r="F25" s="250">
        <f>VLOOKUP(C25,'FORM B'!$B$23:$H$114,6,0)</f>
        <v>26</v>
      </c>
      <c r="G25" s="254">
        <f>VLOOKUP(C25,'FORM B'!$B$23:$H$114,7,0)</f>
        <v>0</v>
      </c>
      <c r="H25" s="246">
        <f t="shared" si="1" ref="H25:H32">F25/E25</f>
        <v>1</v>
      </c>
      <c r="I25" s="102"/>
    </row>
    <row r="26" spans="1:9" ht="21.95" customHeight="1">
      <c r="A26" s="841"/>
      <c r="B26" s="843"/>
      <c r="C26" s="338" t="s">
        <v>304</v>
      </c>
      <c r="D26" s="101" t="s">
        <v>374</v>
      </c>
      <c r="E26" s="103">
        <f>'Working Sheet'!$B$8</f>
        <v>26</v>
      </c>
      <c r="F26" s="250">
        <f>VLOOKUP(C26,'FORM B'!$B$23:$H$114,6,0)</f>
        <v>26</v>
      </c>
      <c r="G26" s="254">
        <f>VLOOKUP(C26,'FORM B'!$B$23:$H$114,7,0)</f>
        <v>0</v>
      </c>
      <c r="H26" s="246">
        <f t="shared" si="1"/>
        <v>1</v>
      </c>
      <c r="I26" s="102"/>
    </row>
    <row r="27" spans="1:9" ht="21.95" customHeight="1">
      <c r="A27" s="841"/>
      <c r="B27" s="843"/>
      <c r="C27" s="338" t="s">
        <v>309</v>
      </c>
      <c r="D27" s="101" t="s">
        <v>373</v>
      </c>
      <c r="E27" s="103">
        <f>'Working Sheet'!$B$8</f>
        <v>26</v>
      </c>
      <c r="F27" s="250">
        <f>VLOOKUP(C27,'FORM B'!$B$23:$H$114,6,0)</f>
        <v>26</v>
      </c>
      <c r="G27" s="254">
        <f>VLOOKUP(C27,'FORM B'!$B$23:$H$114,7,0)</f>
        <v>7.9000000000000004</v>
      </c>
      <c r="H27" s="246">
        <f t="shared" si="1"/>
        <v>1</v>
      </c>
      <c r="I27" s="102"/>
    </row>
    <row r="28" spans="1:9" ht="21.95" customHeight="1">
      <c r="A28" s="841"/>
      <c r="B28" s="843"/>
      <c r="C28" s="338" t="s">
        <v>315</v>
      </c>
      <c r="D28" s="101" t="s">
        <v>372</v>
      </c>
      <c r="E28" s="103">
        <f>'Working Sheet'!$B$8</f>
        <v>26</v>
      </c>
      <c r="F28" s="250">
        <f>VLOOKUP(C28,'FORM B'!$B$23:$H$114,6,0)</f>
        <v>26</v>
      </c>
      <c r="G28" s="254">
        <f>VLOOKUP(C28,'FORM B'!$B$23:$H$114,7,0)</f>
        <v>0</v>
      </c>
      <c r="H28" s="246">
        <f t="shared" si="1"/>
        <v>1</v>
      </c>
      <c r="I28" s="102"/>
    </row>
    <row r="29" spans="1:9" ht="21.95" customHeight="1">
      <c r="A29" s="841"/>
      <c r="B29" s="843"/>
      <c r="C29" s="338" t="s">
        <v>326</v>
      </c>
      <c r="D29" s="101" t="s">
        <v>371</v>
      </c>
      <c r="E29" s="103">
        <f>'Working Sheet'!$B$8</f>
        <v>26</v>
      </c>
      <c r="F29" s="250">
        <f>VLOOKUP(C29,'FORM B'!$B$23:$H$114,6,0)</f>
        <v>26</v>
      </c>
      <c r="G29" s="254">
        <f>VLOOKUP(C29,'FORM B'!$B$23:$H$114,7,0)</f>
        <v>0</v>
      </c>
      <c r="H29" s="246">
        <f t="shared" si="1"/>
        <v>1</v>
      </c>
      <c r="I29" s="102"/>
    </row>
    <row r="30" spans="1:9" ht="21.95" customHeight="1">
      <c r="A30" s="841"/>
      <c r="B30" s="843"/>
      <c r="C30" s="338" t="s">
        <v>340</v>
      </c>
      <c r="D30" s="106" t="s">
        <v>370</v>
      </c>
      <c r="E30" s="103">
        <f>'Working Sheet'!$B$8</f>
        <v>26</v>
      </c>
      <c r="F30" s="250">
        <f>VLOOKUP(C30,'FORM B'!$B$23:$H$114,6,0)</f>
        <v>26</v>
      </c>
      <c r="G30" s="254">
        <f>VLOOKUP(C30,'FORM B'!$B$23:$H$114,7,0)</f>
        <v>0</v>
      </c>
      <c r="H30" s="246">
        <f t="shared" si="1"/>
        <v>1</v>
      </c>
      <c r="I30" s="102"/>
    </row>
    <row r="31" spans="1:9" ht="21.95" customHeight="1">
      <c r="A31" s="841"/>
      <c r="B31" s="843"/>
      <c r="C31" s="396" t="s">
        <v>488</v>
      </c>
      <c r="D31" s="106" t="s">
        <v>493</v>
      </c>
      <c r="E31" s="103">
        <f>'Working Sheet'!$B$8</f>
        <v>26</v>
      </c>
      <c r="F31" s="250">
        <f>VLOOKUP(C31,'FORM B'!$B$23:$H$114,6,0)</f>
        <v>26</v>
      </c>
      <c r="G31" s="254">
        <v>7.90</v>
      </c>
      <c r="H31" s="246">
        <f t="shared" si="1"/>
        <v>1</v>
      </c>
      <c r="I31" s="102"/>
    </row>
    <row r="32" spans="1:9" ht="32.45" customHeight="1">
      <c r="A32" s="842"/>
      <c r="B32" s="844"/>
      <c r="C32" s="338" t="s">
        <v>349</v>
      </c>
      <c r="D32" s="106" t="s">
        <v>492</v>
      </c>
      <c r="E32" s="103">
        <f>'Working Sheet'!$B$8</f>
        <v>26</v>
      </c>
      <c r="F32" s="250">
        <v>26</v>
      </c>
      <c r="G32" s="254">
        <v>0</v>
      </c>
      <c r="H32" s="246">
        <f t="shared" si="1"/>
        <v>1</v>
      </c>
      <c r="I32" s="102"/>
    </row>
    <row r="33" spans="1:9" ht="21.95" customHeight="1">
      <c r="A33" s="244"/>
      <c r="B33" s="249"/>
      <c r="C33" s="249"/>
      <c r="D33" s="248"/>
      <c r="E33" s="241"/>
      <c r="F33" s="232" t="s">
        <v>154</v>
      </c>
      <c r="G33" s="231">
        <f>SUM(G24:G32)</f>
        <v>15.800000000000001</v>
      </c>
      <c r="H33" s="231">
        <f>SUM(H24:H32)</f>
        <v>9</v>
      </c>
      <c r="I33" s="120"/>
    </row>
    <row r="34" spans="1:9" ht="21.95" customHeight="1">
      <c r="A34" s="845">
        <v>4</v>
      </c>
      <c r="B34" s="846" t="s">
        <v>115</v>
      </c>
      <c r="C34" s="382" t="s">
        <v>489</v>
      </c>
      <c r="D34" s="106" t="s">
        <v>491</v>
      </c>
      <c r="E34" s="103">
        <f>'Working Sheet'!$B$8</f>
        <v>26</v>
      </c>
      <c r="F34" s="250">
        <f>VLOOKUP(C34,'FORM B'!$B$23:$H$114,6,0)</f>
        <v>26</v>
      </c>
      <c r="G34" s="254">
        <f>VLOOKUP(C34,'FORM B'!$B$23:$H$114,7,0)</f>
        <v>0</v>
      </c>
      <c r="H34" s="246">
        <f>F34/E34</f>
        <v>1</v>
      </c>
      <c r="I34" s="245"/>
    </row>
    <row r="35" spans="1:9" ht="21.95" customHeight="1">
      <c r="A35" s="845"/>
      <c r="B35" s="846"/>
      <c r="C35" s="338"/>
      <c r="D35" s="101" t="s">
        <v>95</v>
      </c>
      <c r="E35" s="247"/>
      <c r="F35" s="247"/>
      <c r="G35" s="247"/>
      <c r="H35" s="246"/>
      <c r="I35" s="245"/>
    </row>
    <row r="36" spans="1:9" ht="21.95" customHeight="1">
      <c r="A36" s="845"/>
      <c r="B36" s="846"/>
      <c r="C36" s="338"/>
      <c r="D36" s="101" t="s">
        <v>95</v>
      </c>
      <c r="E36" s="247"/>
      <c r="F36" s="247"/>
      <c r="G36" s="247"/>
      <c r="H36" s="246"/>
      <c r="I36" s="245"/>
    </row>
    <row r="37" spans="1:9" ht="21.95" customHeight="1">
      <c r="A37" s="845"/>
      <c r="B37" s="846"/>
      <c r="C37" s="338"/>
      <c r="D37" s="101" t="s">
        <v>95</v>
      </c>
      <c r="E37" s="247"/>
      <c r="F37" s="247"/>
      <c r="G37" s="247"/>
      <c r="H37" s="246"/>
      <c r="I37" s="245"/>
    </row>
    <row r="38" spans="1:9" ht="21.95" customHeight="1">
      <c r="A38" s="845"/>
      <c r="B38" s="846"/>
      <c r="C38" s="338"/>
      <c r="D38" s="107" t="s">
        <v>95</v>
      </c>
      <c r="E38" s="247"/>
      <c r="F38" s="247"/>
      <c r="G38" s="247"/>
      <c r="H38" s="246"/>
      <c r="I38" s="245"/>
    </row>
    <row r="39" spans="1:9" ht="21.95" customHeight="1">
      <c r="A39" s="244"/>
      <c r="B39" s="243"/>
      <c r="C39" s="243"/>
      <c r="D39" s="232"/>
      <c r="E39" s="243"/>
      <c r="F39" s="242" t="s">
        <v>154</v>
      </c>
      <c r="G39" s="231">
        <f>SUM(G34:G38)</f>
        <v>0</v>
      </c>
      <c r="H39" s="231">
        <f>SUM(H34:H38)</f>
        <v>1</v>
      </c>
      <c r="I39" s="241"/>
    </row>
    <row r="40" spans="1:9" ht="15.75">
      <c r="A40" s="235"/>
      <c r="B40" s="229"/>
      <c r="C40" s="229"/>
      <c r="D40" s="235"/>
      <c r="E40" s="235"/>
      <c r="F40" s="225"/>
      <c r="G40" s="225"/>
      <c r="H40" s="225"/>
      <c r="I40" s="225"/>
    </row>
    <row r="41" spans="1:9" ht="15.75">
      <c r="A41" s="235"/>
      <c r="B41" s="229"/>
      <c r="C41" s="229"/>
      <c r="D41" s="235"/>
      <c r="E41" s="235"/>
      <c r="F41" s="225"/>
      <c r="G41" s="225"/>
      <c r="H41" s="225"/>
      <c r="I41" s="225"/>
    </row>
    <row r="42" spans="1:9" ht="15.75">
      <c r="A42" s="235"/>
      <c r="B42" s="229"/>
      <c r="C42" s="229"/>
      <c r="D42" s="240" t="s">
        <v>368</v>
      </c>
      <c r="E42" s="239"/>
      <c r="F42" s="225"/>
      <c r="G42" s="225"/>
      <c r="H42" s="225"/>
      <c r="I42" s="225"/>
    </row>
    <row r="43" spans="1:9" ht="15.75">
      <c r="A43" s="225"/>
      <c r="B43" s="229"/>
      <c r="C43" s="229"/>
      <c r="D43" s="229"/>
      <c r="E43" s="229"/>
      <c r="F43" s="225"/>
      <c r="G43" s="225"/>
      <c r="H43" s="225"/>
      <c r="I43" s="225"/>
    </row>
    <row r="44" spans="1:9" ht="15.75">
      <c r="A44" s="225"/>
      <c r="B44" s="229"/>
      <c r="C44" s="229"/>
      <c r="D44" s="232" t="s">
        <v>155</v>
      </c>
      <c r="E44" s="232" t="s">
        <v>156</v>
      </c>
      <c r="F44" s="225"/>
      <c r="G44" s="225"/>
      <c r="H44" s="225"/>
      <c r="I44" s="225"/>
    </row>
    <row r="45" spans="1:9" ht="15.75">
      <c r="A45" s="225"/>
      <c r="B45" s="229"/>
      <c r="C45" s="229"/>
      <c r="D45" s="238" t="s">
        <v>157</v>
      </c>
      <c r="E45" s="233">
        <f>H12</f>
        <v>2</v>
      </c>
      <c r="F45" s="225"/>
      <c r="G45" s="225"/>
      <c r="H45" s="225"/>
      <c r="I45" s="225"/>
    </row>
    <row r="46" spans="1:9" ht="15.75">
      <c r="A46" s="225"/>
      <c r="B46" s="229"/>
      <c r="C46" s="229"/>
      <c r="D46" s="237" t="s">
        <v>145</v>
      </c>
      <c r="E46" s="233">
        <f>H23</f>
        <v>9</v>
      </c>
      <c r="F46" s="225"/>
      <c r="G46" s="225"/>
      <c r="H46" s="225"/>
      <c r="I46" s="225"/>
    </row>
    <row r="47" spans="1:9" ht="15.75">
      <c r="A47" s="225"/>
      <c r="B47" s="229"/>
      <c r="C47" s="229"/>
      <c r="D47" s="237" t="s">
        <v>146</v>
      </c>
      <c r="E47" s="233">
        <f>H33</f>
        <v>9</v>
      </c>
      <c r="F47" s="225"/>
      <c r="G47" s="225"/>
      <c r="H47" s="236"/>
      <c r="I47" s="235"/>
    </row>
    <row r="48" spans="1:9" ht="15.75">
      <c r="A48" s="225"/>
      <c r="B48" s="229"/>
      <c r="C48" s="229"/>
      <c r="D48" s="234" t="s">
        <v>147</v>
      </c>
      <c r="E48" s="233">
        <f>H39</f>
        <v>1</v>
      </c>
      <c r="F48" s="225"/>
      <c r="G48" s="225"/>
      <c r="H48" s="227"/>
      <c r="I48" s="230"/>
    </row>
    <row r="49" spans="1:9" ht="15.75">
      <c r="A49" s="225"/>
      <c r="B49" s="229"/>
      <c r="C49" s="229"/>
      <c r="D49" s="232" t="s">
        <v>142</v>
      </c>
      <c r="E49" s="231">
        <f>SUM(E45:E48)</f>
        <v>21</v>
      </c>
      <c r="F49" s="225"/>
      <c r="G49" s="225"/>
      <c r="H49" s="227"/>
      <c r="I49" s="230"/>
    </row>
    <row r="50" spans="1:9" ht="15.75">
      <c r="A50" s="225"/>
      <c r="B50" s="229"/>
      <c r="C50" s="229"/>
      <c r="D50" s="228"/>
      <c r="E50" s="228"/>
      <c r="F50" s="225"/>
      <c r="G50" s="225"/>
      <c r="H50" s="225"/>
      <c r="I50" s="225"/>
    </row>
    <row r="51" spans="1:9" ht="15.75">
      <c r="A51" s="225"/>
      <c r="B51" s="229"/>
      <c r="C51" s="229"/>
      <c r="D51" s="228"/>
      <c r="E51" s="228"/>
      <c r="F51" s="225"/>
      <c r="G51" s="225"/>
      <c r="H51" s="227"/>
      <c r="I51" s="225"/>
    </row>
    <row r="52" spans="1:9" ht="15.75">
      <c r="A52" s="847" t="s">
        <v>143</v>
      </c>
      <c r="B52" s="847"/>
      <c r="C52" s="236"/>
      <c r="D52" s="226"/>
      <c r="E52" s="225"/>
      <c r="F52" s="225"/>
      <c r="G52" s="225"/>
      <c r="H52" s="847" t="s">
        <v>367</v>
      </c>
      <c r="I52" s="847"/>
    </row>
  </sheetData>
  <sheetProtection/>
  <mergeCells count="13">
    <mergeCell ref="A1:I1"/>
    <mergeCell ref="A2:I2"/>
    <mergeCell ref="A3:I3"/>
    <mergeCell ref="A10:A11"/>
    <mergeCell ref="B10:B11"/>
    <mergeCell ref="A13:A22"/>
    <mergeCell ref="B13:B22"/>
    <mergeCell ref="A25:A32"/>
    <mergeCell ref="B25:B32"/>
    <mergeCell ref="A34:A38"/>
    <mergeCell ref="B34:B38"/>
    <mergeCell ref="A52:B52"/>
    <mergeCell ref="H52:I52"/>
  </mergeCells>
  <pageMargins left="0.7" right="0.7" top="0.75" bottom="0.75" header="0.3" footer="0.3"/>
  <pageSetup fitToHeight="0" orientation="portrait" paperSize="1" scale="53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AA5626B-0FEA-496C-986C-460F3EB9B9AB}">
  <sheetPr codeName="Sheet15">
    <pageSetUpPr fitToPage="1"/>
  </sheetPr>
  <dimension ref="A2:S29"/>
  <sheetViews>
    <sheetView view="pageBreakPreview" zoomScale="90" zoomScaleNormal="65" zoomScaleSheetLayoutView="90" workbookViewId="0" topLeftCell="A3">
      <selection pane="topLeft" activeCell="B12" sqref="B12"/>
    </sheetView>
  </sheetViews>
  <sheetFormatPr defaultRowHeight="12.75"/>
  <cols>
    <col min="1" max="1" width="7.14285714285714" style="216" bestFit="1" customWidth="1"/>
    <col min="2" max="2" width="46.1428571428571" style="216" customWidth="1"/>
    <col min="3" max="14" width="13.5714285714286" style="216" customWidth="1"/>
    <col min="15" max="16384" width="9.14285714285714" style="216"/>
  </cols>
  <sheetData>
    <row r="2" spans="1:14" ht="37.5">
      <c r="A2" s="852" t="s">
        <v>366</v>
      </c>
      <c r="B2" s="852"/>
      <c r="C2" s="852"/>
      <c r="D2" s="852"/>
      <c r="E2" s="852"/>
      <c r="F2" s="852"/>
      <c r="G2" s="852"/>
      <c r="H2" s="852"/>
      <c r="I2" s="852"/>
      <c r="J2" s="852"/>
      <c r="K2" s="852"/>
      <c r="L2" s="852"/>
      <c r="M2" s="852"/>
      <c r="N2" s="852"/>
    </row>
    <row r="3" spans="1:14" ht="26.25">
      <c r="A3" s="611" t="str">
        <f>"(FOR PERIOD FROM "&amp;'Working Sheet'!B1&amp;")"</f>
        <v>(FOR PERIOD FROM 01 Oct 2025 To 31 Oct 2025)</v>
      </c>
      <c r="B3" s="611"/>
      <c r="C3" s="611"/>
      <c r="D3" s="611"/>
      <c r="E3" s="611"/>
      <c r="F3" s="611"/>
      <c r="G3" s="611"/>
      <c r="H3" s="611"/>
      <c r="I3" s="611"/>
      <c r="J3" s="611"/>
      <c r="K3" s="611"/>
      <c r="L3" s="611"/>
      <c r="M3" s="611"/>
      <c r="N3" s="611"/>
    </row>
    <row r="4" spans="1:14" ht="80.1" customHeight="1">
      <c r="A4" s="91" t="s">
        <v>131</v>
      </c>
      <c r="B4" s="90" t="s">
        <v>132</v>
      </c>
      <c r="C4" s="91" t="s">
        <v>133</v>
      </c>
      <c r="D4" s="91" t="s">
        <v>134</v>
      </c>
      <c r="E4" s="91" t="str">
        <f>'Working Sheet'!A12</f>
        <v>OLD WAGES AS ON 01.04.2023(as per LOA)</v>
      </c>
      <c r="F4" s="91" t="str">
        <f>'Working Sheet'!A13</f>
        <v>NEW WAGES AS ON 01.10.2025</v>
      </c>
      <c r="G4" s="91" t="s">
        <v>135</v>
      </c>
      <c r="H4" s="91" t="s">
        <v>136</v>
      </c>
      <c r="I4" s="224" t="s">
        <v>137</v>
      </c>
      <c r="J4" s="224" t="s">
        <v>138</v>
      </c>
      <c r="K4" s="224" t="s">
        <v>139</v>
      </c>
      <c r="L4" s="224" t="s">
        <v>140</v>
      </c>
      <c r="M4" s="224" t="s">
        <v>141</v>
      </c>
      <c r="N4" s="91" t="s">
        <v>142</v>
      </c>
    </row>
    <row r="5" spans="1:19" ht="30" customHeight="1">
      <c r="A5" s="165">
        <v>1</v>
      </c>
      <c r="B5" s="166" t="s">
        <v>393</v>
      </c>
      <c r="C5" s="165" t="s">
        <v>148</v>
      </c>
      <c r="D5" s="167">
        <v>2</v>
      </c>
      <c r="E5" s="167">
        <f>'Working Sheet'!$B$12</f>
        <v>915</v>
      </c>
      <c r="F5" s="167">
        <f>'Working Sheet'!$B$13</f>
        <v>981</v>
      </c>
      <c r="G5" s="167">
        <f>F5-E5</f>
        <v>66</v>
      </c>
      <c r="H5" s="167">
        <f>SUMIFS('FORM B'!$G$23:$G$82,'FORM B'!$D$23:$D$82,'DIFF-II (CTCK)'!B5)</f>
        <v>52</v>
      </c>
      <c r="I5" s="167">
        <f>G5*H5</f>
        <v>3432</v>
      </c>
      <c r="J5" s="167">
        <f>I5*13%</f>
        <v>446.16000000000003</v>
      </c>
      <c r="K5" s="167">
        <f>I5*3.25%</f>
        <v>111.54000000000001</v>
      </c>
      <c r="L5" s="167">
        <f>I5*8.33%</f>
        <v>285.88560000000001</v>
      </c>
      <c r="M5" s="167">
        <f>I5*4.81%</f>
        <v>165.07919999999999</v>
      </c>
      <c r="N5" s="167">
        <f>I5+J5+K5+L5+M5</f>
        <v>4440.6647999999996</v>
      </c>
      <c r="S5" s="216">
        <f>SUMIFS('FORM B'!$K$23:$K$82,'FORM B'!$D$23:$D$82,'DIFF-II (CTCK)'!B5)</f>
        <v>3000</v>
      </c>
    </row>
    <row r="6" spans="1:19" ht="30" customHeight="1">
      <c r="A6" s="165">
        <v>2</v>
      </c>
      <c r="B6" s="166" t="s">
        <v>394</v>
      </c>
      <c r="C6" s="165" t="s">
        <v>148</v>
      </c>
      <c r="D6" s="167">
        <v>9</v>
      </c>
      <c r="E6" s="167">
        <f>'Working Sheet'!$C$12</f>
        <v>832</v>
      </c>
      <c r="F6" s="167">
        <f>'Working Sheet'!$C$13</f>
        <v>893</v>
      </c>
      <c r="G6" s="167">
        <f>F6-E6</f>
        <v>61</v>
      </c>
      <c r="H6" s="167">
        <f>SUMIFS('FORM B'!$G$23:$G$82,'FORM B'!$D$23:$D$82,'DIFF-II (CTCK)'!B6)</f>
        <v>234</v>
      </c>
      <c r="I6" s="167">
        <f>G6*H6</f>
        <v>14274</v>
      </c>
      <c r="J6" s="167">
        <f>I6*13%</f>
        <v>1855.6200000000001</v>
      </c>
      <c r="K6" s="167">
        <f>I6*3.25%</f>
        <v>463.90500000000003</v>
      </c>
      <c r="L6" s="167">
        <f>I6*8.33%</f>
        <v>1189.0242000000001</v>
      </c>
      <c r="M6" s="167">
        <f>I6*4.81%</f>
        <v>686.57939999999996</v>
      </c>
      <c r="N6" s="167">
        <f>I6+J6+K6+L6+M6</f>
        <v>18469.1286</v>
      </c>
      <c r="S6" s="216">
        <f>SUMIFS('FORM B'!$K$23:$K$82,'FORM B'!$D$23:$D$82,'DIFF-II (CTCK)'!B6)</f>
        <v>0</v>
      </c>
    </row>
    <row r="7" spans="1:19" ht="30" customHeight="1">
      <c r="A7" s="165">
        <v>3</v>
      </c>
      <c r="B7" s="166" t="s">
        <v>395</v>
      </c>
      <c r="C7" s="165" t="s">
        <v>148</v>
      </c>
      <c r="D7" s="167">
        <v>9</v>
      </c>
      <c r="E7" s="167">
        <f>'Working Sheet'!$D$12</f>
        <v>709</v>
      </c>
      <c r="F7" s="167">
        <f>'Working Sheet'!$D$13</f>
        <v>760</v>
      </c>
      <c r="G7" s="167">
        <f>F7-E7</f>
        <v>51</v>
      </c>
      <c r="H7" s="167">
        <f>SUMIFS('FORM B'!$G$23:$G$82,'FORM B'!$D$23:$D$82,'DIFF-II (CTCK)'!B7)</f>
        <v>234</v>
      </c>
      <c r="I7" s="167">
        <f>G7*H7</f>
        <v>11934</v>
      </c>
      <c r="J7" s="167">
        <f>I7*13%</f>
        <v>1551.4200000000001</v>
      </c>
      <c r="K7" s="167">
        <f>I7*3.25%</f>
        <v>387.85500000000002</v>
      </c>
      <c r="L7" s="167">
        <f>I7*8.33%</f>
        <v>994.10220000000004</v>
      </c>
      <c r="M7" s="167">
        <f>I7*4.81%</f>
        <v>574.02539999999999</v>
      </c>
      <c r="N7" s="167">
        <f>I7+J7+K7+L7+M7</f>
        <v>15441.402599999999</v>
      </c>
      <c r="S7" s="216">
        <f>SUMIFS('FORM B'!$K$23:$K$82,'FORM B'!$D$23:$D$82,'DIFF-II (CTCK)'!B7)</f>
        <v>1501</v>
      </c>
    </row>
    <row r="8" spans="1:19" ht="30" customHeight="1">
      <c r="A8" s="165">
        <v>4</v>
      </c>
      <c r="B8" s="166" t="s">
        <v>396</v>
      </c>
      <c r="C8" s="165" t="s">
        <v>148</v>
      </c>
      <c r="D8" s="167">
        <v>1</v>
      </c>
      <c r="E8" s="167">
        <f>'Working Sheet'!$E$12</f>
        <v>628</v>
      </c>
      <c r="F8" s="167">
        <f>'Working Sheet'!$E$13</f>
        <v>674</v>
      </c>
      <c r="G8" s="167">
        <f>F8-E8</f>
        <v>46</v>
      </c>
      <c r="H8" s="167">
        <f>SUMIFS('FORM B'!$G$23:$G$82,'FORM B'!$D$23:$D$82,'DIFF-II (CTCK)'!B8)</f>
        <v>26</v>
      </c>
      <c r="I8" s="167">
        <f>G8*H8</f>
        <v>1196</v>
      </c>
      <c r="J8" s="167">
        <f>I8*13%</f>
        <v>155.48000000000002</v>
      </c>
      <c r="K8" s="167">
        <f>I8*3.25%</f>
        <v>38.870000000000005</v>
      </c>
      <c r="L8" s="167">
        <f>I8*8.33%</f>
        <v>99.626800000000003</v>
      </c>
      <c r="M8" s="167">
        <f>I8*4.81%</f>
        <v>57.5276</v>
      </c>
      <c r="N8" s="167">
        <f>I8+J8+K8+L8+M8</f>
        <v>1547.5043999999998</v>
      </c>
      <c r="S8" s="216">
        <f>SUMIFS('FORM B'!$K$23:$K$82,'FORM B'!$D$23:$D$82,'DIFF-II (CTCK)'!B8)</f>
        <v>0</v>
      </c>
    </row>
    <row r="9" spans="1:19" ht="30" customHeight="1">
      <c r="A9" s="612" t="s">
        <v>97</v>
      </c>
      <c r="B9" s="613"/>
      <c r="C9" s="613"/>
      <c r="D9" s="613"/>
      <c r="E9" s="613"/>
      <c r="F9" s="613"/>
      <c r="G9" s="614"/>
      <c r="H9" s="177">
        <f t="shared" si="0" ref="H9:N9">SUM(H5:H8)</f>
        <v>546</v>
      </c>
      <c r="I9" s="177">
        <f t="shared" si="0"/>
        <v>30836</v>
      </c>
      <c r="J9" s="177">
        <f t="shared" si="0"/>
        <v>4008.6800000000003</v>
      </c>
      <c r="K9" s="177">
        <f t="shared" si="0"/>
        <v>1002.1700000000001</v>
      </c>
      <c r="L9" s="177">
        <f t="shared" si="0"/>
        <v>2568.6388000000002</v>
      </c>
      <c r="M9" s="177">
        <f t="shared" si="0"/>
        <v>1483.2115999999999</v>
      </c>
      <c r="N9" s="177">
        <f t="shared" si="0"/>
        <v>39898.700399999994</v>
      </c>
      <c r="S9" s="216">
        <f>SUM(S5:S8)</f>
        <v>4501</v>
      </c>
    </row>
    <row r="11" spans="2:3" ht="36.6" customHeight="1">
      <c r="B11" s="385" t="s">
        <v>177</v>
      </c>
      <c r="C11" s="223">
        <f>N9</f>
        <v>39898.700399999994</v>
      </c>
    </row>
    <row r="12" spans="2:9" ht="34.5" customHeight="1">
      <c r="B12" s="178" t="s">
        <v>499</v>
      </c>
      <c r="C12" s="223">
        <f>S9</f>
        <v>4501</v>
      </c>
      <c r="E12" s="219"/>
      <c r="F12" s="219"/>
      <c r="G12" s="219"/>
      <c r="H12" s="222"/>
      <c r="I12" s="222"/>
    </row>
    <row r="13" spans="2:3" ht="34.5" customHeight="1">
      <c r="B13" s="221" t="s">
        <v>207</v>
      </c>
      <c r="C13" s="220">
        <f>C12+C11</f>
        <v>44399.700399999994</v>
      </c>
    </row>
    <row r="29" spans="1:14" ht="15.75">
      <c r="A29" s="850" t="s">
        <v>143</v>
      </c>
      <c r="B29" s="850"/>
      <c r="C29" s="850"/>
      <c r="D29" s="219"/>
      <c r="E29" s="850"/>
      <c r="F29" s="850"/>
      <c r="G29" s="850"/>
      <c r="H29" s="218"/>
      <c r="I29" s="217"/>
      <c r="J29" s="217"/>
      <c r="K29" s="851" t="s">
        <v>365</v>
      </c>
      <c r="L29" s="851"/>
      <c r="M29" s="851"/>
      <c r="N29" s="851"/>
    </row>
  </sheetData>
  <sheetProtection/>
  <mergeCells count="6">
    <mergeCell ref="A29:C29"/>
    <mergeCell ref="E29:G29"/>
    <mergeCell ref="K29:N29"/>
    <mergeCell ref="A2:N2"/>
    <mergeCell ref="A3:N3"/>
    <mergeCell ref="A9:G9"/>
  </mergeCells>
  <hyperlinks>
    <hyperlink ref="K4" r:id="rId1" display="ESIC@3.25%_x000a_ER SHARE"/>
    <hyperlink ref="J4" r:id="rId2" display="EPF@13%_x000a_ER SHARE"/>
    <hyperlink ref="L4" r:id="rId3" display=" BONUS_x000a_@8.33%"/>
    <hyperlink ref="M4" r:id="rId4" display="LWW_x000a_@4.81%"/>
  </hyperlinks>
  <printOptions horizontalCentered="1"/>
  <pageMargins left="0.25" right="0.25" top="0.75" bottom="0.75" header="0.3" footer="0.3"/>
  <pageSetup fitToHeight="0" orientation="landscape" paperSize="1" scale="63" r:id="rId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9142D3DA-46D0-4E5E-A95E-4EB00F77B9AB}">
  <dimension ref="A1"/>
  <sheetViews>
    <sheetView workbookViewId="0" topLeftCell="A1">
      <selection pane="topLeft" activeCell="A1" sqref="A1"/>
    </sheetView>
  </sheetViews>
  <sheetFormatPr defaultRowHeight="12.75"/>
  <sheetData/>
  <sheetProtection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97D53BE3-5684-42BE-9648-B3968F9CB9AB}">
  <dimension ref="A1"/>
  <sheetViews>
    <sheetView workbookViewId="0" topLeftCell="A1">
      <selection pane="topLeft" activeCell="A1" sqref="A1"/>
    </sheetView>
  </sheetViews>
  <sheetFormatPr defaultRowHeight="12.75"/>
  <sheetData/>
  <sheetProtection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C21C073-1A86-49AE-AAEA-E5DAC07CB9AB}">
  <sheetPr codeName="Sheet10"/>
  <dimension ref="A1:Q23"/>
  <sheetViews>
    <sheetView workbookViewId="0" topLeftCell="A1">
      <selection pane="topLeft" activeCell="N1" sqref="N1"/>
    </sheetView>
  </sheetViews>
  <sheetFormatPr defaultRowHeight="12.75"/>
  <cols>
    <col min="5" max="5" width="10.8571428571429" bestFit="1" customWidth="1"/>
    <col min="7" max="7" width="10.8571428571429" bestFit="1" customWidth="1"/>
    <col min="9" max="9" width="13.5714285714286" customWidth="1"/>
    <col min="11" max="11" width="8.85714285714286" bestFit="1" customWidth="1"/>
    <col min="12" max="13" width="8.85714285714286" customWidth="1"/>
    <col min="17" max="17" width="11.8571428571429" customWidth="1"/>
  </cols>
  <sheetData>
    <row r="1" spans="1:17" ht="12.75">
      <c r="A1" s="136">
        <v>34029.660000000003</v>
      </c>
      <c r="D1" s="169">
        <v>915</v>
      </c>
      <c r="E1" s="169">
        <v>26</v>
      </c>
      <c r="F1" s="169">
        <f>2*D1*E1</f>
        <v>47580</v>
      </c>
      <c r="G1" s="169">
        <f>F1*13%</f>
        <v>6185.4000000000005</v>
      </c>
      <c r="H1" s="169">
        <f>F1*3.25%</f>
        <v>1546.3500000000001</v>
      </c>
      <c r="I1" s="169">
        <f>F1*8.33%</f>
        <v>3963.4139999999998</v>
      </c>
      <c r="J1" s="169">
        <f>F1*4.81%</f>
        <v>2288.598</v>
      </c>
      <c r="K1" s="170">
        <f>SUM(F1:J1)</f>
        <v>61563.761999999995</v>
      </c>
      <c r="L1" s="169">
        <f>K1*36</f>
        <v>2216295.432</v>
      </c>
      <c r="M1" s="169"/>
      <c r="N1" s="169">
        <f>K1*8%</f>
        <v>4925.1009599999998</v>
      </c>
      <c r="O1" s="169">
        <f>K1+N1</f>
        <v>66488.862959999999</v>
      </c>
      <c r="Q1" s="168"/>
    </row>
    <row r="2" spans="1:17" ht="12.75">
      <c r="A2" s="136">
        <v>30912.71</v>
      </c>
      <c r="D2" s="169">
        <v>832</v>
      </c>
      <c r="E2" s="169">
        <v>26</v>
      </c>
      <c r="F2" s="169">
        <f>9*D2*E2</f>
        <v>194688</v>
      </c>
      <c r="G2" s="169">
        <f>F2*13%</f>
        <v>25309.440000000002</v>
      </c>
      <c r="H2" s="169">
        <f>F2*3.25%</f>
        <v>6327.3600000000006</v>
      </c>
      <c r="I2" s="169">
        <f>F2*8.33%</f>
        <v>16217.510399999999</v>
      </c>
      <c r="J2" s="169">
        <f>F2*4.81%</f>
        <v>9364.4928</v>
      </c>
      <c r="K2" s="170">
        <f>SUM(F2:J2)</f>
        <v>251906.80319999999</v>
      </c>
      <c r="L2" s="169">
        <f>K2*36</f>
        <v>9068644.9152000006</v>
      </c>
      <c r="M2" s="169"/>
      <c r="N2" s="169">
        <f>K2*8%</f>
        <v>20152.544256000001</v>
      </c>
      <c r="O2" s="169">
        <f>K2+N2</f>
        <v>272059.34745599999</v>
      </c>
      <c r="Q2" s="168"/>
    </row>
    <row r="3" spans="1:17" ht="12.75">
      <c r="A3" s="136">
        <v>26481.35</v>
      </c>
      <c r="D3" s="169">
        <v>709</v>
      </c>
      <c r="E3" s="169">
        <v>26</v>
      </c>
      <c r="F3" s="169">
        <f>9*D3*E3</f>
        <v>165906</v>
      </c>
      <c r="G3" s="169">
        <f>F3*13%</f>
        <v>21567.780000000002</v>
      </c>
      <c r="H3" s="169">
        <f>F3*3.25%</f>
        <v>5391.9450000000006</v>
      </c>
      <c r="I3" s="169">
        <f>F3*8.33%</f>
        <v>13819.969799999999</v>
      </c>
      <c r="J3" s="169">
        <f>F3*4.81%</f>
        <v>7980.0785999999998</v>
      </c>
      <c r="K3" s="170">
        <f>SUM(F3:J3)</f>
        <v>214665.77340000001</v>
      </c>
      <c r="L3" s="169">
        <f>K3*36</f>
        <v>7727967.8424000004</v>
      </c>
      <c r="M3" s="169"/>
      <c r="N3" s="169">
        <f>K3*8%</f>
        <v>17173.261871999999</v>
      </c>
      <c r="O3" s="169">
        <f>K3+N3</f>
        <v>231839.03527200001</v>
      </c>
      <c r="Q3" s="168"/>
    </row>
    <row r="4" spans="1:17" ht="12.75">
      <c r="A4" s="136">
        <v>23611.01</v>
      </c>
      <c r="D4" s="169">
        <v>628</v>
      </c>
      <c r="E4" s="169">
        <v>26</v>
      </c>
      <c r="F4" s="169">
        <f>1*D4*E4</f>
        <v>16328</v>
      </c>
      <c r="G4" s="169">
        <f>F4*13%</f>
        <v>2122.6399999999999</v>
      </c>
      <c r="H4" s="169">
        <f>F4*3.25%</f>
        <v>530.65999999999997</v>
      </c>
      <c r="I4" s="169">
        <f>F4*8.33%</f>
        <v>1360.1224</v>
      </c>
      <c r="J4" s="169">
        <f>F4*4.81%</f>
        <v>785.3768</v>
      </c>
      <c r="K4" s="170">
        <f>SUM(F4:J4)</f>
        <v>21126.799200000001</v>
      </c>
      <c r="L4" s="169">
        <f>K4*36</f>
        <v>760564.77120000008</v>
      </c>
      <c r="M4" s="169"/>
      <c r="N4" s="169">
        <f>K4*8%</f>
        <v>1690.1439360000002</v>
      </c>
      <c r="O4" s="169">
        <f>K4+N4</f>
        <v>22816.943136000002</v>
      </c>
      <c r="Q4" s="168"/>
    </row>
    <row r="5" spans="4:15" ht="12.75">
      <c r="D5" s="169"/>
      <c r="E5" s="169"/>
      <c r="F5" s="169"/>
      <c r="G5" s="169"/>
      <c r="H5" s="169"/>
      <c r="I5" s="169"/>
      <c r="J5" s="169"/>
      <c r="K5" s="169"/>
      <c r="L5" s="170">
        <f>SUM(L1:L4)</f>
        <v>19773472.960800003</v>
      </c>
      <c r="M5" s="169"/>
      <c r="N5" s="169">
        <f>SUM(N1:N4)</f>
        <v>43941.051024</v>
      </c>
      <c r="O5" s="169"/>
    </row>
    <row r="6" spans="12:12" ht="12.75">
      <c r="L6" s="169">
        <f>L5*8%</f>
        <v>1581877.8368640002</v>
      </c>
    </row>
    <row r="7" spans="12:12" ht="12.75">
      <c r="L7">
        <v>8000</v>
      </c>
    </row>
    <row r="8" spans="12:12" ht="12.75">
      <c r="L8">
        <v>3488</v>
      </c>
    </row>
    <row r="9" spans="12:12" ht="12.75">
      <c r="L9">
        <v>160</v>
      </c>
    </row>
    <row r="10" spans="12:15" ht="12.75">
      <c r="L10">
        <v>504000</v>
      </c>
      <c r="N10">
        <f>8000*21</f>
        <v>168000</v>
      </c>
      <c r="O10">
        <f>N10*3</f>
        <v>504000</v>
      </c>
    </row>
    <row r="11" spans="12:12" ht="12.75">
      <c r="L11" s="171">
        <f>SUM(L5:L10)</f>
        <v>21870998.797664002</v>
      </c>
    </row>
    <row r="15" spans="7:7" ht="12.75">
      <c r="G15">
        <v>19773472.920000002</v>
      </c>
    </row>
    <row r="16" spans="5:5" ht="12.75">
      <c r="E16">
        <v>27827616.629999999</v>
      </c>
    </row>
    <row r="18" spans="7:14" ht="12.75">
      <c r="G18">
        <f>G15*8%</f>
        <v>1581877.8336000002</v>
      </c>
      <c r="K18">
        <v>515648</v>
      </c>
      <c r="N18">
        <f>K18/36</f>
        <v>14323.555555555555</v>
      </c>
    </row>
    <row r="19" spans="7:7" ht="12.75">
      <c r="G19">
        <v>8000</v>
      </c>
    </row>
    <row r="20" spans="7:7" ht="12.75">
      <c r="G20">
        <v>3488</v>
      </c>
    </row>
    <row r="21" spans="7:7" ht="12.75">
      <c r="G21">
        <v>160</v>
      </c>
    </row>
    <row r="22" spans="7:7" ht="12.75">
      <c r="G22">
        <v>504000</v>
      </c>
    </row>
    <row r="23" spans="7:13" ht="12.75">
      <c r="G23">
        <f>SUM(G15:G22)</f>
        <v>21870998.753600001</v>
      </c>
      <c r="I23" s="168">
        <v>21895807.32</v>
      </c>
      <c r="K23" s="168"/>
      <c r="L23" s="168">
        <f>I23-L11</f>
        <v>24808.522335998714</v>
      </c>
      <c r="M23" s="168"/>
    </row>
  </sheetData>
  <sheetProtection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16.0000</AppVers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Tax Invoice (BBSR)</vt:lpstr>
      <vt:lpstr>MOP (BBSR)</vt:lpstr>
      <vt:lpstr>AOC (BBSR)</vt:lpstr>
      <vt:lpstr>Sheet1</vt:lpstr>
      <vt:lpstr>MB (BBSR)</vt:lpstr>
      <vt:lpstr>DIFF-II (BBSR)</vt:lpstr>
      <vt:lpstr>FORM B</vt:lpstr>
      <vt:lpstr>Working Sheet</vt:lpstr>
      <vt:lpstr>PERFORMA PFD</vt:lpstr>
      <vt:lpstr>Tax Invoice (CTCK)</vt:lpstr>
      <vt:lpstr>MOP (CTCK)</vt:lpstr>
      <vt:lpstr>AOC (CTCK)</vt:lpstr>
      <vt:lpstr>MB (CTCK)</vt:lpstr>
      <vt:lpstr>DIFF-II (CTCK)</vt:lpstr>
      <vt:lpstr>Sheet2</vt:lpstr>
      <vt:lpstr>Sheet3</vt:lpstr>
      <vt:lpstr>BREAKUP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P-III</dc:creator>
  <cp:keywords/>
  <dc:description/>
  <cp:lastModifiedBy>Sumit</cp:lastModifiedBy>
  <cp:lastPrinted>2025-10-16T07:09:43Z</cp:lastPrinted>
  <dcterms:created xsi:type="dcterms:W3CDTF">2006-12-28T04:05:10Z</dcterms:created>
  <dcterms:modified xsi:type="dcterms:W3CDTF">2025-11-20T07:44:35Z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