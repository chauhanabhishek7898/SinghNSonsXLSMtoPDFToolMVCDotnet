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Default Extension="jpeg" ContentType="image/jpeg"/>
  <Default Extension="png" ContentType="image/png"/>
  <Override PartName="/xl/vbaProject.bin" ContentType="application/vnd.ms-office.vbaProject"/>
  <Override PartName="/xl/styles.xml" ContentType="application/vnd.openxmlformats-officedocument.spreadsheetml.styles+xml"/>
  <Override PartName="/xl/drawings/drawing1.xml" ContentType="application/vnd.openxmlformats-officedocument.drawing+xml"/>
  <Default Extension="bin" ContentType="application/vnd.openxmlformats-officedocument.spreadsheetml.printerSettings"/>
  <Override PartName="/xl/worksheets/sheet1.xml" ContentType="application/vnd.openxmlformats-officedocument.spreadsheetml.worksheet+xml"/>
  <Override PartName="/xl/drawings/drawing2.xml" ContentType="application/vnd.openxmlformats-officedocument.drawing+xml"/>
  <Override PartName="/xl/worksheets/sheet2.xml" ContentType="application/vnd.openxmlformats-officedocument.spreadsheetml.worksheet+xml"/>
  <Override PartName="/xl/drawings/drawing3.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trProps/ctrProp1.xml" ContentType="application/vnd.ms-excel.controlproperties+xml"/>
  <Override PartName="/xl/drawings/drawing4.xml" ContentType="application/vnd.openxmlformats-officedocument.drawing+xml"/>
  <Default Extension="vml" ContentType="application/vnd.openxmlformats-officedocument.vmlDrawing"/>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calcChain.xml" ContentType="application/vnd.openxmlformats-officedocument.spreadsheetml.calcChain+xml"/>
</Types>
</file>

<file path=_rels/.rels><?xml version="1.0" encoding="UTF-8" standalone="yes"?><Relationships xmlns="http://schemas.openxmlformats.org/package/2006/relationships"><Relationship Id="rId2" Type="http://schemas.openxmlformats.org/package/2006/relationships/metadata/core-properties" Target="docProps/core.xml" /><Relationship Id="rId1" Type="http://schemas.openxmlformats.org/officeDocument/2006/relationships/officeDocument" Target="xl/workbook.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4" lowestEdited="4" rupBuild="9302"/>
  <workbookPr codeName="ThisWorkbook"/>
  <bookViews>
    <workbookView xWindow="32760" yWindow="32760" windowWidth="20490" windowHeight="7545" tabRatio="770" activeTab="1"/>
  </bookViews>
  <sheets>
    <sheet name="Credit Note" sheetId="20" r:id="rId4"/>
    <sheet name="Tax Invoice" sheetId="15" r:id="rId5"/>
    <sheet name="MOP" sheetId="14" r:id="rId6"/>
    <sheet name="AOC" sheetId="17" r:id="rId7"/>
    <sheet name="Sheet1" sheetId="7" state="hidden" r:id="rId8"/>
    <sheet name="DIFF" sheetId="21" r:id="rId9"/>
    <sheet name="FORM B-(Wage Reg.)" sheetId="25" r:id="rId10"/>
    <sheet name="WORKING SHEET" sheetId="24" r:id="rId11"/>
    <sheet name="PERFORMA PFD" sheetId="26" r:id="rId12"/>
    <sheet name="Sheet2" sheetId="23" r:id="rId13"/>
  </sheets>
  <externalReferences>
    <externalReference r:id="rId15"/>
    <externalReference r:id="rId16"/>
  </externalReferences>
  <definedNames>
    <definedName name="_xlnm._FilterDatabase" localSheetId="6" hidden="1">'FORM B-(Wage Reg.)'!$A$22:$AH$42</definedName>
    <definedName name="_xleta.AND" hidden="1">#NAME?</definedName>
    <definedName name="_xlfn.SINGLE" hidden="1">#NAME?</definedName>
    <definedName name="_xlfn.SUMIFS" hidden="1">#NAME?</definedName>
    <definedName name="CompName">'FORM B-(Wage Reg.)'!$J$10</definedName>
    <definedName name="CompPerson">'FORM B-(Wage Reg.)'!$J$12</definedName>
    <definedName name="CompPrincName">'FORM B-(Wage Reg.)'!$J$18</definedName>
    <definedName name="DetRw">'FORM B-(Wage Reg.)'!$A$41</definedName>
    <definedName name="HeadRw">'FORM B-(Wage Reg.)'!$A$20</definedName>
    <definedName name="LIN">'FORM B-(Wage Reg.)'!$J$14</definedName>
    <definedName name="PrincLIN">'FORM B-(Wage Reg.)'!$J$16</definedName>
    <definedName name="_xlnm.Print_Area" localSheetId="0">'Credit Note'!$A$1:$L$57</definedName>
    <definedName name="_xlnm.Print_Area" localSheetId="5">DIFF!$A$1:$L$16</definedName>
    <definedName name="_xlnm.Print_Area" localSheetId="6">'FORM B-(Wage Reg.)'!$A$1:$AD$42</definedName>
    <definedName name="_xlnm.Print_Area" localSheetId="2">MOP!$A$1:$K$37</definedName>
    <definedName name="_xlnm.Print_Area" localSheetId="1">'Tax Invoice'!$A$1:$L$63</definedName>
    <definedName name="_xlnm.Print_Titles" localSheetId="6">'FORM B-(Wage Reg.)'!$1:$22</definedName>
    <definedName name="SNRw">'FORM B-(Wage Reg.)'!$A$22</definedName>
    <definedName name="WgPrd">'FORM B-(Wage Reg.)'!$AA$16</definedName>
  </definedNames>
  <calcPr fullCalcOnLoad="1"/>
</workbook>
</file>

<file path=xl/calcChain.xml><?xml version="1.0" encoding="utf-8"?>
<calcChain xmlns="http://schemas.openxmlformats.org/spreadsheetml/2006/main">
  <c r="E2" i="17" l="1"/>
</calcChain>
</file>

<file path=xl/sharedStrings.xml><?xml version="1.0" encoding="utf-8"?>
<sst xmlns="http://schemas.openxmlformats.org/spreadsheetml/2006/main" count="558" uniqueCount="379">
  <si>
    <t>S. Roy.</t>
  </si>
  <si>
    <t>Date</t>
  </si>
  <si>
    <t>UOM</t>
  </si>
  <si>
    <t>Sai Commercial Carrier</t>
  </si>
  <si>
    <t>Name of Agency:</t>
  </si>
  <si>
    <t>Work Order Number:</t>
  </si>
  <si>
    <t xml:space="preserve">Period of Contract: </t>
  </si>
  <si>
    <t>Statement Showing the Contract Value, Utilised and Balance Value Left</t>
  </si>
  <si>
    <t>Sr No.</t>
  </si>
  <si>
    <t>Month</t>
  </si>
  <si>
    <t>Value (Rs.)</t>
  </si>
  <si>
    <t>Utilized as on</t>
  </si>
  <si>
    <t>Balance (Rs.)</t>
  </si>
  <si>
    <t>Remarks</t>
  </si>
  <si>
    <t>Amount (Rs.)</t>
  </si>
  <si>
    <t>For,</t>
  </si>
  <si>
    <t>GAIL/3130/69236/5600002905/TS</t>
  </si>
  <si>
    <t>01.08.2017</t>
  </si>
  <si>
    <t>Original for Buyer / Recipient</t>
  </si>
  <si>
    <t>Duplicate for Transporter</t>
  </si>
  <si>
    <t>Triplicate for Supplier</t>
  </si>
  <si>
    <t>INVOICE NUMBER</t>
  </si>
  <si>
    <t>INVOICE DATE</t>
  </si>
  <si>
    <t>STATE</t>
  </si>
  <si>
    <t xml:space="preserve">STATE CODE </t>
  </si>
  <si>
    <t>DATE OF SUPPLY</t>
  </si>
  <si>
    <t>VENDOR CODE</t>
  </si>
  <si>
    <t>PLACE OF SUPPLY</t>
  </si>
  <si>
    <t>WORK ORDER NO</t>
  </si>
  <si>
    <t>Name</t>
  </si>
  <si>
    <t>GAIL (INDIA) LIMITED</t>
  </si>
  <si>
    <t>Address</t>
  </si>
  <si>
    <t xml:space="preserve">STATE </t>
  </si>
  <si>
    <t>GSTIN NO.</t>
  </si>
  <si>
    <t>STATE CODE</t>
  </si>
  <si>
    <t>Sr. No</t>
  </si>
  <si>
    <t>Name of Product / Service</t>
  </si>
  <si>
    <t>No. of Pack</t>
  </si>
  <si>
    <t>HSN / SAC Code</t>
  </si>
  <si>
    <t>Qty</t>
  </si>
  <si>
    <t>Rate</t>
  </si>
  <si>
    <t>Amount</t>
  </si>
  <si>
    <t>Less Discount</t>
  </si>
  <si>
    <t>Taxable Value</t>
  </si>
  <si>
    <t>TOTAL VALUE OF SERVICES</t>
  </si>
  <si>
    <t>UTTAR PRADESH</t>
  </si>
  <si>
    <t>SINGH AND SONS INFOTECH PRIVATE LIMITED</t>
  </si>
  <si>
    <t>Name of Contractor</t>
  </si>
  <si>
    <t>Nature of Work</t>
  </si>
  <si>
    <t>Work Order No.</t>
  </si>
  <si>
    <t>Contract Completion date</t>
  </si>
  <si>
    <t>Contract Value Rs.</t>
  </si>
  <si>
    <t>Bank Guarantee No/ Amount/ Validity</t>
  </si>
  <si>
    <t>Bill No &amp; Date</t>
  </si>
  <si>
    <t>Period of Measurement :</t>
  </si>
  <si>
    <t>Up to Prev. Bill ( Rs.)</t>
  </si>
  <si>
    <t>Current Bill (Rs.)</t>
  </si>
  <si>
    <t>Cumm Till Date (Rs.)</t>
  </si>
  <si>
    <t>Release of Retention/ PRS if any as per statement</t>
  </si>
  <si>
    <t xml:space="preserve">Net Amount Payable </t>
  </si>
  <si>
    <t>All the inspection reports including preceding activities, qualifying the stage payment have been verified.</t>
  </si>
  <si>
    <t>Sign</t>
  </si>
  <si>
    <t>09ABDCS1757M1ZU</t>
  </si>
  <si>
    <t>21, Indra Nagar</t>
  </si>
  <si>
    <t>Near Pili Kothi, Dibiyapur</t>
  </si>
  <si>
    <t>Auraiya (U.P) -206244</t>
  </si>
  <si>
    <t>PAN  No : ABDCS1757M</t>
  </si>
  <si>
    <t xml:space="preserve">TOTAL Amount (with GST) : </t>
  </si>
  <si>
    <t>Total Amount Before Tax</t>
  </si>
  <si>
    <t>Authorised Signatory</t>
  </si>
  <si>
    <t>09</t>
  </si>
  <si>
    <t>MON</t>
  </si>
  <si>
    <t>24 Months from Date of LOA</t>
  </si>
  <si>
    <t>Bank Account No : 39075399225, State Bank of India, Pata</t>
  </si>
  <si>
    <t>ESI Code No : 21000624350000999</t>
  </si>
  <si>
    <t>GST Payable on Reverse Charge or Not : N.A.</t>
  </si>
  <si>
    <t>Certified that the particulars given above are true and correct.</t>
  </si>
  <si>
    <t>For Singh and Sons InfoTech Pvt. Ltd.</t>
  </si>
  <si>
    <t>Shipped To</t>
  </si>
  <si>
    <t>Details of Buyer</t>
  </si>
  <si>
    <t>The Bill in this respect has not been referred before.</t>
  </si>
  <si>
    <t>The work has been executed as per terms and condition of the contract and in accordance with drawings/specifications/ issued/approved for construction.</t>
  </si>
  <si>
    <t>100% measurement sheet has been checked.</t>
  </si>
  <si>
    <t>Deduction - Income Tax@ 2%</t>
  </si>
  <si>
    <t>Description of Work/Job Done</t>
  </si>
  <si>
    <t>M/s. SINGH AND SONS INFOTECH PRIVATE LIMITED</t>
  </si>
  <si>
    <t xml:space="preserve">                  MEMORANDUM OF PAYMENT (MOP)                    </t>
  </si>
  <si>
    <t>S. No.</t>
  </si>
  <si>
    <t>Invoice No.</t>
  </si>
  <si>
    <t>:</t>
  </si>
  <si>
    <t>Invoice Date</t>
  </si>
  <si>
    <t>Invoice Duration</t>
  </si>
  <si>
    <t>LOA NO.</t>
  </si>
  <si>
    <t>LOA Date</t>
  </si>
  <si>
    <t>Duration of Work</t>
  </si>
  <si>
    <t>M/s. Singh and Sons InfoTech Private Limited</t>
  </si>
  <si>
    <t>Wage Period: Monthly</t>
  </si>
  <si>
    <t>Sign of GAIL Representative /EIC</t>
  </si>
  <si>
    <t>Item No.</t>
  </si>
  <si>
    <t>Sr. No.</t>
  </si>
  <si>
    <t>Job Description</t>
  </si>
  <si>
    <t>Total Qty./ Rate/ Amount as per SOR</t>
  </si>
  <si>
    <t>Current Month RA Bill</t>
  </si>
  <si>
    <t>Total Qty. Consumed Till Closure of Current Month RA Bill</t>
  </si>
  <si>
    <t>UoM</t>
  </si>
  <si>
    <t>Qty.</t>
  </si>
  <si>
    <t>EA</t>
  </si>
  <si>
    <t>As Per SOR/ QUOTED</t>
  </si>
  <si>
    <t>TOTAL (INR)</t>
  </si>
  <si>
    <t>-</t>
  </si>
  <si>
    <t>GRAND TOTAL (INR)</t>
  </si>
  <si>
    <t>B-35-36, Sector-01</t>
  </si>
  <si>
    <t>Jubilee Tower, Noida</t>
  </si>
  <si>
    <t>Dist: Gautam Buddh Nagar -201301</t>
  </si>
  <si>
    <t>09AAACG1209J1ZU</t>
  </si>
  <si>
    <t>NOIDA-UTTAR PRADESH</t>
  </si>
  <si>
    <t>GAIL/NOID/21132/5300036376/F&amp;S DATED: 22.03.2022</t>
  </si>
  <si>
    <t>GAIL, JBT-NOIDA</t>
  </si>
  <si>
    <t>Add: CGST@09%</t>
  </si>
  <si>
    <t>Add: SGST@09%</t>
  </si>
  <si>
    <t>Total gross work done value
(Amount including GST)</t>
  </si>
  <si>
    <t>Net Value of work done</t>
  </si>
  <si>
    <t xml:space="preserve">                    TAX INVOICE</t>
  </si>
  <si>
    <t>Total Amount
 (For 2 Years)</t>
  </si>
  <si>
    <t>01-09-2022 TO 30-09-2022</t>
  </si>
  <si>
    <t>Credit Note No-13 against Inv No-SSI/253</t>
  </si>
  <si>
    <t>Penalty for Later Payment of Wages</t>
  </si>
  <si>
    <t>Total amount in Words: INR Fifteen Thousand Five Hundred Seventy Six only.</t>
  </si>
  <si>
    <t xml:space="preserve">                    CREDIT NOTE</t>
  </si>
  <si>
    <t>M/s. GAIL (INDIA) LIMITED</t>
  </si>
  <si>
    <t>FOR SINGH AND SONS INFOTECH</t>
  </si>
  <si>
    <t>ABSTRACT OF COST</t>
  </si>
  <si>
    <t>Total Amount (with GST)</t>
  </si>
  <si>
    <t>I-GST @ 18%</t>
  </si>
  <si>
    <t>SL NO</t>
  </si>
  <si>
    <t>PARTICULARS</t>
  </si>
  <si>
    <t>CATEGORY</t>
  </si>
  <si>
    <t>WAGE DIFF. PER DAY</t>
  </si>
  <si>
    <t>WORKING DAYS</t>
  </si>
  <si>
    <t>DIFF. AMOUNT</t>
  </si>
  <si>
    <t>TOTAL</t>
  </si>
  <si>
    <t>SUB TOTAL</t>
  </si>
  <si>
    <t>OLD WAGES AS ON 01.04.2023</t>
  </si>
  <si>
    <t>NOS. OF EMPLOYEE</t>
  </si>
  <si>
    <t>Wage Revision Reimbursement Sheet</t>
  </si>
  <si>
    <t xml:space="preserve">Deduction- TDS Against IGST@ 2% </t>
  </si>
  <si>
    <t>ADD:- IGST @ 18%</t>
  </si>
  <si>
    <t>Add: IGST@18%</t>
  </si>
  <si>
    <t>From 01/05/2024 To 30/04/2026</t>
  </si>
  <si>
    <t>GAIL/JPR23VS182/5300041297</t>
  </si>
  <si>
    <t>NAME OF WORK: AMC CONTRACT FOR O&amp;M OF FIRE AND SAFETY SYSTEM OF JLPL,
MANSARAMPURA JURISDICTION AND JAIPUR HQ FOR TWO (02) YEARS</t>
  </si>
  <si>
    <t>PART-A : AMC CONTRACT FOR O&amp;M OF FIRE AND SAFETY</t>
  </si>
  <si>
    <t>PART-B : Extended Services</t>
  </si>
  <si>
    <t>GAIL/JPR23VS182/5300041297 DATED : 03/06/2024</t>
  </si>
  <si>
    <t>Rs. 14,536,673.04 (Inclusive of GST@18%)</t>
  </si>
  <si>
    <t>JAIPUR</t>
  </si>
  <si>
    <t>GAIL/JPR23VS182/5300041297 Dated : 03.06.2024</t>
  </si>
  <si>
    <t>08AAACG1209J2ZV</t>
  </si>
  <si>
    <t>08</t>
  </si>
  <si>
    <t>NEFT REF. NO.- CT00EKVRM9/- INR 153,990.00/- Validity as per GAIL Rules</t>
  </si>
  <si>
    <t>GAIL-JAIPUR, VIDHYADHAR NAGAR</t>
  </si>
  <si>
    <t xml:space="preserve">Lump Sum Charges for providing Services Lump Sum Charges for providing Services of DCPO for O&amp;M OF FIRE AND SAFETY SYSTEM OF JLPL, MANSARAMPURA JURISDICTION </t>
  </si>
  <si>
    <t>B AREA</t>
  </si>
  <si>
    <t>HIGHLY SKILLED (DCPO)</t>
  </si>
  <si>
    <t>SKILLED(FIREMAN)</t>
  </si>
  <si>
    <t>GAIL, JAIPUR</t>
  </si>
  <si>
    <t>Lump Sum Charges for providing Services Lump Sum Charges for providing Services of Fireman for O&amp;M OF FIRE AND SAFETY SYSTEM at JLPL HQ</t>
  </si>
  <si>
    <t xml:space="preserve">Lump Sum Charges for providing Services Lump Sum Charges for providing Services of Fireman for O&amp;M OF FIRE AND SAFETY SYSTEM OF JLPL, MANSARAMPURA JURISDICTION </t>
  </si>
  <si>
    <t>Lump Sum Charges for providing Services Lump Sum Charges for providing Services of Fireman for O&amp;M OF FIRE AND SAFETY SYSTEM at RT Sanganer</t>
  </si>
  <si>
    <t>EPF ER SHARE
@ 13%</t>
  </si>
  <si>
    <t>ESI ER SHARE @ 3.25%</t>
  </si>
  <si>
    <t>Lump sum Hourly Rate for providing Serv Lump sum Hourly Rate for providing Services for Extended Hours of DCPO. This Item to be quoted by Bidder considering the implication of Overtime.</t>
  </si>
  <si>
    <t>Lump sum Hourly Rate for providing Serv Lump sum Hourly Rate for providing Services for Extended Hours of Firemen. This Item to be quoted by Bidder considering the implication of Overtime.</t>
  </si>
  <si>
    <t>AMC CONTRACT FOR O&amp;M OF FIRE AND SAFETY SYSTEM OF JLPL, MANSARAMPURA JURISDICTION AND JAIPUR HQ FOR TWO (02) YEARS</t>
  </si>
  <si>
    <t>Qty. Consumed Upto 
Previous RA Bill</t>
  </si>
  <si>
    <t>HIGHLY SKILLED DCPO MANSARAMPURA</t>
  </si>
  <si>
    <t>SKILLED FIREMAN JLPL HQ</t>
  </si>
  <si>
    <t>SKILLED FIREMAN SANGANER</t>
  </si>
  <si>
    <t>Provision for Payment of Wage escalation</t>
  </si>
  <si>
    <t>LS</t>
  </si>
  <si>
    <t>SKILLED FIREMAN MANSARAMPURA</t>
  </si>
  <si>
    <r>
      <t xml:space="preserve">Hiring AMC Services for Fire Safety Services at GAIL (India) Limited, JB Tower &amp; Infohub, Noida (U.P)
M/s. GAIL (INDIA) LIMITED, JB TOWER for the Month of </t>
    </r>
    <r>
      <rPr>
        <b/>
        <sz val="14"/>
        <color indexed="8"/>
        <rFont val="Calibri"/>
        <family val="2"/>
      </rPr>
      <t>SEPTEMBER-2022</t>
    </r>
  </si>
  <si>
    <t>Add: OTHERS @0%</t>
  </si>
  <si>
    <t>For GAIL (India) Limited-Mansarampura</t>
  </si>
  <si>
    <t>DY GENERAL MANAGER (F&amp;S),</t>
  </si>
  <si>
    <t>MR. SUKANT KUMAR SINGH,</t>
  </si>
  <si>
    <t>Sh. B.K SINGH</t>
  </si>
  <si>
    <t>For and on behalf of Singh and Sons Infotech</t>
  </si>
  <si>
    <t>IPS MANSARAMPURA</t>
  </si>
  <si>
    <t>RAJASTHAN</t>
  </si>
  <si>
    <t>DISTT.: JAIPUR,-302012</t>
  </si>
  <si>
    <t xml:space="preserve">VILLAGE: MANSARAMPURA, 
POST-NIWARU (JHOTWARA), </t>
  </si>
  <si>
    <t>FOR GAIL (INDIA) LIMITED, JAIPUR</t>
  </si>
  <si>
    <t>Ex-gratia in lieu of Bonus @ 8.33% Per Month</t>
  </si>
  <si>
    <t>Leave Wages @ 4.81%</t>
  </si>
  <si>
    <t>Safety Kits &amp; Liveries @8000 Per year per resource</t>
  </si>
  <si>
    <t>Contribution towards PMJJBY @436/- per annum</t>
  </si>
  <si>
    <t>Contribution towards PMSBY @20/- per annum</t>
  </si>
  <si>
    <t>Provision for premium for Group Personal Accident Insurance Policy with a coverage of 5 Lakhs</t>
  </si>
  <si>
    <t>Provision for Employees Compensation Policy covering Compensation Liability and Floater Medical Policy (of Rs. 3 Lakhs covering along Self, Spouse &amp; 2 dependent children)</t>
  </si>
  <si>
    <t>Instruction : Do not print following Instruction on Original Att. Sheet</t>
  </si>
  <si>
    <t>FORMAT OF WAGES REGISTER</t>
  </si>
  <si>
    <t>Mentioned Sr. No. Based on Form-A only</t>
  </si>
  <si>
    <t>Highly Skilled</t>
  </si>
  <si>
    <t>Skilled</t>
  </si>
  <si>
    <t>Semi - Skilled</t>
  </si>
  <si>
    <t>Un Skilled</t>
  </si>
  <si>
    <t xml:space="preserve">If you are paying any extra allowances, Split Column No.11 and mentioned with Proper Header </t>
  </si>
  <si>
    <t>Mention Page Nos.  at bottom of the every page</t>
  </si>
  <si>
    <t>DA</t>
  </si>
  <si>
    <t xml:space="preserve">On last page of Wage register mentioned Total </t>
  </si>
  <si>
    <t>Overtime</t>
  </si>
  <si>
    <t>On last page provide some space for verification &amp; certification stamp of HR (RIL)</t>
  </si>
  <si>
    <t xml:space="preserve">Name of Establishment :- </t>
  </si>
  <si>
    <t xml:space="preserve"> :-</t>
  </si>
  <si>
    <t>Whenever minimum wages revised by Govt. Pls mentioned rates &amp; date of revised rate accordingly</t>
  </si>
  <si>
    <t xml:space="preserve">Name of owner :- </t>
  </si>
  <si>
    <t>SHRI B.K. SINGH</t>
  </si>
  <si>
    <t>Repeat Header of wage register in all pages</t>
  </si>
  <si>
    <t>Labour Identification No :-</t>
  </si>
  <si>
    <t>1-2372-1520-9</t>
  </si>
  <si>
    <t>Labour Identification No of Principal Employer</t>
  </si>
  <si>
    <t>Wage Period From :</t>
  </si>
  <si>
    <t>Name And Address of Principal Employer</t>
  </si>
  <si>
    <t>Gail India Mansharampura Jaipur
AMC CONTRACT FOR O&amp;M OF FIRE AND SAFETY SYSTEM</t>
  </si>
  <si>
    <r>
      <t>(Monthly/</t>
    </r>
    <r>
      <rPr>
        <b/>
        <strike/>
        <sz val="12"/>
        <color indexed="8"/>
        <rFont val="Calibri"/>
        <family val="2"/>
      </rPr>
      <t>Fortnightly/Weekly/Daily/Piece Rated</t>
    </r>
    <r>
      <rPr>
        <b/>
        <sz val="12"/>
        <color indexed="8"/>
        <rFont val="Calibri"/>
        <family val="2"/>
      </rPr>
      <t>)</t>
    </r>
  </si>
  <si>
    <t>Sr. No. in Employee/ Workman/ Worker Register</t>
  </si>
  <si>
    <t>Name
UAN
PF No.
ESI No.</t>
  </si>
  <si>
    <t>Rate Of
Wage (Daily)</t>
  </si>
  <si>
    <t>Rate Of
Wage (Monthly)</t>
  </si>
  <si>
    <t>No. of Days Worked</t>
  </si>
  <si>
    <t>Overtime 
hours worked</t>
  </si>
  <si>
    <t>Basic</t>
  </si>
  <si>
    <t>Payments Overtime</t>
  </si>
  <si>
    <t>Special 
Basic</t>
  </si>
  <si>
    <t>HRA</t>
  </si>
  <si>
    <t>Convey All.</t>
  </si>
  <si>
    <t>EX GRATIA BONUS</t>
  </si>
  <si>
    <t>EARNED LEAVE</t>
  </si>
  <si>
    <t>Total (06 To 10C)</t>
  </si>
  <si>
    <t>Deduction</t>
  </si>
  <si>
    <t>Net 
Payment
(11 - 19 = 20)</t>
  </si>
  <si>
    <t>Employer/Workmqan/Worker/ Share PF Welfare Fund</t>
  </si>
  <si>
    <t>Receipt by Employee / Bank 
Transaction ID</t>
  </si>
  <si>
    <t>Date Of Payment</t>
  </si>
  <si>
    <t>Remaks</t>
  </si>
  <si>
    <t>PF</t>
  </si>
  <si>
    <t>ESIC</t>
  </si>
  <si>
    <t>Society</t>
  </si>
  <si>
    <t>Income tax</t>
  </si>
  <si>
    <t>Insurance</t>
  </si>
  <si>
    <t>Others (PT)</t>
  </si>
  <si>
    <t>Recoveries</t>
  </si>
  <si>
    <t>Total (12 To 18)</t>
  </si>
  <si>
    <t>1A</t>
  </si>
  <si>
    <t>3A</t>
  </si>
  <si>
    <t>10A</t>
  </si>
  <si>
    <t>10B</t>
  </si>
  <si>
    <t>10C</t>
  </si>
  <si>
    <t>GAILJAI01</t>
  </si>
  <si>
    <t>ANJESH SINGH
100086064116
1504792992</t>
  </si>
  <si>
    <t>SBI</t>
  </si>
  <si>
    <t>E-BANKING</t>
  </si>
  <si>
    <t>GAILJAI02</t>
  </si>
  <si>
    <t>ASHUTOSH TIWARI
102048050400
N/A</t>
  </si>
  <si>
    <t>GAILJAI03</t>
  </si>
  <si>
    <t>BHUPENDRA NATH PRABHAKAR
100713570421
N/A</t>
  </si>
  <si>
    <t>GAILJAI04</t>
  </si>
  <si>
    <t>HANSRAJ BAIRWA
100160464179
1013746033</t>
  </si>
  <si>
    <t>GAILJAI05</t>
  </si>
  <si>
    <t>KULDEEP TAK
100452692708
1013884542</t>
  </si>
  <si>
    <t>GAILJAI06</t>
  </si>
  <si>
    <t>MAHENDRA KUMAR MEENA
100472135101
1512221124</t>
  </si>
  <si>
    <t>GAILJAI07</t>
  </si>
  <si>
    <t>MUKAT SINGH
100430919774
1013856264</t>
  </si>
  <si>
    <t>GAILJAI08</t>
  </si>
  <si>
    <t>NEERAJ KUMAR SHARMA
100592943816
3810614149</t>
  </si>
  <si>
    <t>GAILJAI09</t>
  </si>
  <si>
    <t>PANKAJ BAHURA
100266325491
1013746061</t>
  </si>
  <si>
    <t>GAILJAI19</t>
  </si>
  <si>
    <t>PANKAJ SINGH
101686303571
N/A</t>
  </si>
  <si>
    <t>GAILJAI10</t>
  </si>
  <si>
    <t>PRADEEP SINGH
100032242418
1013821260</t>
  </si>
  <si>
    <t>GAILJAI11</t>
  </si>
  <si>
    <t>PRAVEEN YADAV
101632353697
1511102080</t>
  </si>
  <si>
    <t>GAILJAI12</t>
  </si>
  <si>
    <t>RAMESH CHANDRA MEENA
101164250825
1013745991</t>
  </si>
  <si>
    <t>GAILJAI13</t>
  </si>
  <si>
    <t>SANTOSHI LAL
100337684840
1013745981</t>
  </si>
  <si>
    <t>GAILJAI14</t>
  </si>
  <si>
    <t>SATISH SINGH
100341417855
1013773918</t>
  </si>
  <si>
    <t>GAILJAI15</t>
  </si>
  <si>
    <t>SHANI SINGH GURJAR
101112792517
2113090185</t>
  </si>
  <si>
    <t>GAILJAI16</t>
  </si>
  <si>
    <t>TUSHAR MAHAWAR
101600155585
1512102228</t>
  </si>
  <si>
    <t>GAILJAI17</t>
  </si>
  <si>
    <t>UPENDRA PAL
100713411519
1508142781</t>
  </si>
  <si>
    <t>GAILJAI18</t>
  </si>
  <si>
    <t>VIJENDRA KUMAR TANK
101650387035
2112712595</t>
  </si>
  <si>
    <t>Singh and Sons Infotech Pvt. Ltd.</t>
  </si>
  <si>
    <t>(CIN: U40106UP2019PTC125182)</t>
  </si>
  <si>
    <t>21, Indra Nagar, Dibiyapur</t>
  </si>
  <si>
    <t>Auraiya – 206244, Uttar Pradesh</t>
  </si>
  <si>
    <t xml:space="preserve">E-mail: snsitech@gmail.com  </t>
  </si>
  <si>
    <t>Website: www.snsinfotech.com</t>
  </si>
  <si>
    <r>
      <rPr>
        <b/>
        <i/>
        <u val="single"/>
        <sz val="12"/>
        <rFont val="Calibri"/>
        <family val="1"/>
      </rPr>
      <t>Annexure-I</t>
    </r>
  </si>
  <si>
    <t>Proforma –“PFD”</t>
  </si>
  <si>
    <r>
      <t xml:space="preserve">1.   Name of the Firm/Agency/Contractor: </t>
    </r>
    <r>
      <rPr>
        <b/>
        <sz val="11"/>
        <rFont val="Calibri"/>
        <family val="2"/>
      </rPr>
      <t>M/s. Singh and Sons InfoTech Private Limited</t>
    </r>
  </si>
  <si>
    <r>
      <t xml:space="preserve">2.   Nature of Contract:  Job/Service contract, </t>
    </r>
    <r>
      <rPr>
        <strike/>
        <sz val="12"/>
        <rFont val="Calibri"/>
        <family val="2"/>
      </rPr>
      <t>AMC, O&amp;M, Petty contract, Security, Seasonal</t>
    </r>
  </si>
  <si>
    <r>
      <t xml:space="preserve">3.   Postal address of the Contractor:  </t>
    </r>
    <r>
      <rPr>
        <b/>
        <sz val="12"/>
        <rFont val="Calibri"/>
        <family val="2"/>
      </rPr>
      <t xml:space="preserve">21, Indra Nagar, Dibiyapur, Auraiya (U.P)-206244 </t>
    </r>
  </si>
  <si>
    <r>
      <t xml:space="preserve">4.   Phone No. of the Contractor:  </t>
    </r>
    <r>
      <rPr>
        <b/>
        <sz val="12"/>
        <rFont val="Calibri"/>
        <family val="2"/>
      </rPr>
      <t>+91-8979987689</t>
    </r>
  </si>
  <si>
    <r>
      <t xml:space="preserve">5.   Fax No. of the Contractor: </t>
    </r>
    <r>
      <rPr>
        <b/>
        <sz val="12"/>
        <rFont val="Calibri"/>
        <family val="2"/>
      </rPr>
      <t>NA</t>
    </r>
  </si>
  <si>
    <r>
      <t xml:space="preserve">6.   Address of PF office from where EPF Code No. has been allotted: </t>
    </r>
    <r>
      <rPr>
        <b/>
        <sz val="12"/>
        <rFont val="Calibri"/>
        <family val="2"/>
      </rPr>
      <t>KANPUR</t>
    </r>
  </si>
  <si>
    <r>
      <t xml:space="preserve">7.   EPF Code No. allotted by PF office: </t>
    </r>
    <r>
      <rPr>
        <b/>
        <sz val="12"/>
        <rFont val="Calibri"/>
        <family val="2"/>
      </rPr>
      <t>UPKNP2070240000</t>
    </r>
  </si>
  <si>
    <r>
      <t xml:space="preserve">       (a)</t>
    </r>
    <r>
      <rPr>
        <sz val="7"/>
        <color indexed="8"/>
        <rFont val="Times New Roman"/>
        <family val="1"/>
      </rPr>
      <t xml:space="preserve">  </t>
    </r>
    <r>
      <rPr>
        <sz val="12"/>
        <color indexed="8"/>
        <rFont val="Calibri"/>
        <family val="2"/>
      </rPr>
      <t>Extension Period of Contract, if any from:</t>
    </r>
    <r>
      <rPr>
        <b/>
        <sz val="12"/>
        <color indexed="8"/>
        <rFont val="Calibri"/>
        <family val="2"/>
      </rPr>
      <t xml:space="preserve"> </t>
    </r>
    <r>
      <rPr>
        <b/>
        <u val="single"/>
        <sz val="12"/>
        <color indexed="8"/>
        <rFont val="Calibri"/>
        <family val="2"/>
      </rPr>
      <t>NIL</t>
    </r>
  </si>
  <si>
    <r>
      <t xml:space="preserve">11. Labour License No.: </t>
    </r>
    <r>
      <rPr>
        <b/>
        <sz val="12"/>
        <color indexed="8"/>
        <rFont val="Calibri"/>
        <family val="2"/>
      </rPr>
      <t>NOT APPLICABLE</t>
    </r>
  </si>
  <si>
    <r>
      <t>12.</t>
    </r>
    <r>
      <rPr>
        <sz val="7"/>
        <color indexed="8"/>
        <rFont val="Times New Roman"/>
        <family val="1"/>
      </rPr>
      <t xml:space="preserve"> </t>
    </r>
    <r>
      <rPr>
        <sz val="12"/>
        <color indexed="8"/>
        <rFont val="Aptos Display"/>
        <family val="2"/>
      </rPr>
      <t xml:space="preserve">Validity period of Labour License From: </t>
    </r>
    <r>
      <rPr>
        <b/>
        <u val="single"/>
        <sz val="12"/>
        <color indexed="8"/>
        <rFont val="Aptos Display"/>
        <family val="2"/>
      </rPr>
      <t>NOT APPLICABLE</t>
    </r>
  </si>
  <si>
    <r>
      <t>13.</t>
    </r>
    <r>
      <rPr>
        <sz val="7"/>
        <color indexed="8"/>
        <rFont val="Times New Roman"/>
        <family val="1"/>
      </rPr>
      <t> </t>
    </r>
    <r>
      <rPr>
        <sz val="12"/>
        <color indexed="8"/>
        <rFont val="Aptos Display"/>
        <family val="2"/>
      </rPr>
      <t>Details of Deposition of contribution towards EPF</t>
    </r>
  </si>
  <si>
    <t xml:space="preserve">Amount: </t>
  </si>
  <si>
    <t>Date:</t>
  </si>
  <si>
    <r>
      <t>14.</t>
    </r>
    <r>
      <rPr>
        <sz val="7"/>
        <color indexed="8"/>
        <rFont val="Times New Roman"/>
        <family val="1"/>
      </rPr>
      <t> </t>
    </r>
    <r>
      <rPr>
        <sz val="12"/>
        <color indexed="8"/>
        <rFont val="Aptos Display"/>
        <family val="2"/>
      </rPr>
      <t>Details of Deposition of contribution towards ESI</t>
    </r>
  </si>
  <si>
    <t>Category</t>
  </si>
  <si>
    <t>No. of Workers</t>
  </si>
  <si>
    <t>Prevailing Minimum Wages</t>
  </si>
  <si>
    <t>UNSKILLED</t>
  </si>
  <si>
    <t>SEMI SKILLED</t>
  </si>
  <si>
    <t>SKILLED</t>
  </si>
  <si>
    <t>HIGHLY SKILLED</t>
  </si>
  <si>
    <r>
      <rPr>
        <b/>
        <sz val="12"/>
        <rFont val="Calibri"/>
        <family val="1"/>
      </rPr>
      <t>Total</t>
    </r>
  </si>
  <si>
    <t>Signature of Contractor / Authorized Representative</t>
  </si>
  <si>
    <t xml:space="preserve">Place: </t>
  </si>
  <si>
    <t xml:space="preserve">Date: </t>
  </si>
  <si>
    <t>To: M/s. Gail (India) Limited,</t>
  </si>
  <si>
    <t>Dear Sir,</t>
  </si>
  <si>
    <t>To facilitate the processing of the payment, we have attached the following supporting documents:</t>
  </si>
  <si>
    <t>1. Tax Invoice</t>
  </si>
  <si>
    <t>2. Measurement Sheet</t>
  </si>
  <si>
    <t>3. Bank Statement</t>
  </si>
  <si>
    <t>4. Form-B Wage Register</t>
  </si>
  <si>
    <t>5. PF Challan &amp; ECR</t>
  </si>
  <si>
    <t>Thank you for your attention to this matter. We look forward to your prompt processing of the payment.</t>
  </si>
  <si>
    <t>Thanking you,</t>
  </si>
  <si>
    <t>For &amp; on behalf of</t>
  </si>
  <si>
    <t>(Authorized Signatory)</t>
  </si>
  <si>
    <t>Name: Birendra Kumar Singh</t>
  </si>
  <si>
    <t>Designation: Director</t>
  </si>
  <si>
    <t xml:space="preserve">E-mail: snsitech@gmail.com   </t>
  </si>
  <si>
    <t>Encl.: As above.</t>
  </si>
  <si>
    <r>
      <t xml:space="preserve">8.   Address of ESIC office from where ESI Code No. has been allotted: </t>
    </r>
    <r>
      <rPr>
        <b/>
        <sz val="12"/>
        <rFont val="Calibri"/>
        <family val="2"/>
      </rPr>
      <t>NA</t>
    </r>
  </si>
  <si>
    <r>
      <t xml:space="preserve">9.   ESI Code No. allotted by ESIC office: </t>
    </r>
    <r>
      <rPr>
        <b/>
        <sz val="12"/>
        <rFont val="Calibri"/>
        <family val="2"/>
      </rPr>
      <t>NA</t>
    </r>
  </si>
  <si>
    <r>
      <t>10.</t>
    </r>
    <r>
      <rPr>
        <sz val="7"/>
        <color indexed="8"/>
        <rFont val="Times New Roman"/>
        <family val="1"/>
      </rPr>
      <t> </t>
    </r>
    <r>
      <rPr>
        <sz val="12"/>
        <color indexed="8"/>
        <rFont val="Calibri"/>
        <family val="2"/>
      </rPr>
      <t xml:space="preserve">Period of Contract: From: </t>
    </r>
    <r>
      <rPr>
        <b/>
        <u val="single"/>
        <sz val="12"/>
        <color indexed="8"/>
        <rFont val="Calibri"/>
        <family val="2"/>
      </rPr>
      <t>From  01.05.2024 To 30.04.2026</t>
    </r>
  </si>
  <si>
    <r>
      <t xml:space="preserve">       (b)</t>
    </r>
    <r>
      <rPr>
        <sz val="7"/>
        <color indexed="8"/>
        <rFont val="Times New Roman"/>
        <family val="1"/>
      </rPr>
      <t xml:space="preserve">  </t>
    </r>
    <r>
      <rPr>
        <sz val="12"/>
        <color indexed="8"/>
        <rFont val="Calibri"/>
        <family val="2"/>
      </rPr>
      <t xml:space="preserve">Place where contract workmen are working: </t>
    </r>
    <r>
      <rPr>
        <b/>
        <u val="single"/>
        <sz val="11"/>
        <color indexed="8"/>
        <rFont val="Calibri"/>
        <family val="2"/>
      </rPr>
      <t xml:space="preserve"> GAIL JLPL, Mansarampura Jurisdiction &amp; Jaipur</t>
    </r>
  </si>
  <si>
    <t>Period</t>
  </si>
  <si>
    <t>Service Month</t>
  </si>
  <si>
    <t>RA BILL NO-</t>
  </si>
  <si>
    <t>Month No.</t>
  </si>
  <si>
    <t>Year</t>
  </si>
  <si>
    <t>EPF Challan No.</t>
  </si>
  <si>
    <t>Amount:</t>
  </si>
  <si>
    <t xml:space="preserve">Invoice Amount </t>
  </si>
  <si>
    <t>NA</t>
  </si>
  <si>
    <t>Jaipur</t>
  </si>
  <si>
    <t>VILLAGE: MANSARAMPURA,</t>
  </si>
  <si>
    <t>POST-NIWARU (JHOTWARA),
DISTT.: JAIPUR,-302012</t>
  </si>
  <si>
    <t>Kind Attn.: MR. SUKANT KUMAR SINGH, – Dy General Manager (F&amp;S)</t>
  </si>
  <si>
    <t>system of JLPL</t>
  </si>
  <si>
    <t>LOA No.: GAIL/JPR23VS182/5300041297/ DATED: 03/06/2024</t>
  </si>
  <si>
    <t>of fire and safety system of JLPL</t>
  </si>
  <si>
    <t xml:space="preserve"> </t>
  </si>
  <si>
    <t>Minimum Basic-B</t>
  </si>
  <si>
    <t xml:space="preserve"> Rs. 893/Manday (Rs. 23,218/Month)</t>
  </si>
  <si>
    <t xml:space="preserve"> Rs. 981/Manday (Rs. 25,506/Month)</t>
  </si>
  <si>
    <t>Rate of minimum Wage and since the date  01.04.2025 TO 30.09.2025</t>
  </si>
  <si>
    <t>NEW WAGES AS ON 01.04.2025</t>
  </si>
  <si>
    <t>OTHER BENEFITS OR AMENITIES</t>
  </si>
  <si>
    <t>SEPTEMBER-2025</t>
  </si>
  <si>
    <t>01.11.2025</t>
  </si>
  <si>
    <t>01 Oct 2025 To 31 Oct 2025</t>
  </si>
  <si>
    <t>SSI/1186</t>
  </si>
</sst>
</file>

<file path=xl/styles.xml><?xml version="1.0" encoding="utf-8"?>
<styleSheet xmlns="http://schemas.openxmlformats.org/spreadsheetml/2006/main">
  <numFmts count="71">
    <numFmt numFmtId="5" formatCode="&quot;₹&quot;\ #,##0;&quot;₹&quot;\ \-#,##0"/>
    <numFmt numFmtId="6" formatCode="&quot;₹&quot;\ #,##0;[Red]&quot;₹&quot;\ \-#,##0"/>
    <numFmt numFmtId="7" formatCode="&quot;₹&quot;\ #,##0.00;&quot;₹&quot;\ \-#,##0.00"/>
    <numFmt numFmtId="8" formatCode="&quot;₹&quot;\ #,##0.00;[Red]&quot;₹&quot;\ \-#,##0.00"/>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quot;$&quot;#,##0_);\(&quot;$&quot;#,##0\)"/>
    <numFmt numFmtId="165" formatCode="&quot;$&quot;#,##0_);[Red]\(&quot;$&quot;#,##0\)"/>
    <numFmt numFmtId="166" formatCode="&quot;$&quot;#,##0.00_);\(&quot;$&quot;#,##0.00\)"/>
    <numFmt numFmtId="167" formatCode="&quot;$&quot;#,##0.00_);[Red]\(&quot;$&quot;#,##0.00\)"/>
    <numFmt numFmtId="168" formatCode="_(&quot;$&quot;* #,##0_);_(&quot;$&quot;* \(#,##0\);_(&quot;$&quot;* &quot;-&quot;_);_(@_)"/>
    <numFmt numFmtId="169" formatCode="_(* #,##0_);_(* \(#,##0\);_(* &quot;-&quot;_);_(@_)"/>
    <numFmt numFmtId="170" formatCode="_(&quot;$&quot;* #,##0.00_);_(&quot;$&quot;* \(#,##0.00\);_(&quot;$&quot;* &quot;-&quot;??_);_(@_)"/>
    <numFmt numFmtId="171" formatCode="_(* #,##0.00_);_(* \(#,##0.00\);_(* &quot;-&quot;??_);_(@_)"/>
    <numFmt numFmtId="172" formatCode="&quot;€&quot;#,##0;\-&quot;€&quot;#,##0"/>
    <numFmt numFmtId="173" formatCode="&quot;€&quot;#,##0;[Red]\-&quot;€&quot;#,##0"/>
    <numFmt numFmtId="174" formatCode="&quot;€&quot;#,##0.00;\-&quot;€&quot;#,##0.00"/>
    <numFmt numFmtId="175" formatCode="&quot;€&quot;#,##0.00;[Red]\-&quot;€&quot;#,##0.00"/>
    <numFmt numFmtId="176" formatCode="_-&quot;€&quot;* #,##0_-;\-&quot;€&quot;* #,##0_-;_-&quot;€&quot;* &quot;-&quot;_-;_-@_-"/>
    <numFmt numFmtId="177" formatCode="_-* #,##0_-;\-* #,##0_-;_-* &quot;-&quot;_-;_-@_-"/>
    <numFmt numFmtId="178" formatCode="_-&quot;€&quot;* #,##0.00_-;\-&quot;€&quot;* #,##0.00_-;_-&quot;€&quot;* &quot;-&quot;??_-;_-@_-"/>
    <numFmt numFmtId="179" formatCode="_-* #,##0.00_-;\-* #,##0.00_-;_-* &quot;-&quot;??_-;_-@_-"/>
    <numFmt numFmtId="180" formatCode="&quot;£&quot;#,##0;\-&quot;£&quot;#,##0"/>
    <numFmt numFmtId="181" formatCode="&quot;£&quot;#,##0;[Red]\-&quot;£&quot;#,##0"/>
    <numFmt numFmtId="182" formatCode="&quot;£&quot;#,##0.00;\-&quot;£&quot;#,##0.00"/>
    <numFmt numFmtId="183" formatCode="&quot;£&quot;#,##0.00;[Red]\-&quot;£&quot;#,##0.00"/>
    <numFmt numFmtId="184" formatCode="_-&quot;£&quot;* #,##0_-;\-&quot;£&quot;* #,##0_-;_-&quot;£&quot;* &quot;-&quot;_-;_-@_-"/>
    <numFmt numFmtId="185" formatCode="_-&quot;£&quot;* #,##0.00_-;\-&quot;£&quot;* #,##0.00_-;_-&quot;£&quot;* &quot;-&quot;??_-;_-@_-"/>
    <numFmt numFmtId="186" formatCode="0.00;[Red]0.00"/>
    <numFmt numFmtId="187" formatCode="&quot;Yes&quot;;&quot;Yes&quot;;&quot;No&quot;"/>
    <numFmt numFmtId="188" formatCode="&quot;True&quot;;&quot;True&quot;;&quot;False&quot;"/>
    <numFmt numFmtId="189" formatCode="&quot;On&quot;;&quot;On&quot;;&quot;Off&quot;"/>
    <numFmt numFmtId="190" formatCode="[$€-2]\ #,##0.00_);[Red]\([$€-2]\ #,##0.00\)"/>
    <numFmt numFmtId="191" formatCode="0;[Red]0"/>
    <numFmt numFmtId="192" formatCode="0.0;[Red]0.0"/>
    <numFmt numFmtId="193" formatCode="0.00000000"/>
    <numFmt numFmtId="194" formatCode="0.0000000"/>
    <numFmt numFmtId="195" formatCode="0.000000"/>
    <numFmt numFmtId="196" formatCode="0.00000"/>
    <numFmt numFmtId="197" formatCode="0.0000"/>
    <numFmt numFmtId="198" formatCode="0.000"/>
    <numFmt numFmtId="199" formatCode="0.0"/>
    <numFmt numFmtId="200" formatCode="_-* #,##0.0_-;\-* #,##0.0_-;_-* &quot;-&quot;??_-;_-@_-"/>
    <numFmt numFmtId="201" formatCode="_-* #,##0_-;\-* #,##0_-;_-* &quot;-&quot;??_-;_-@_-"/>
    <numFmt numFmtId="202" formatCode="&quot;$&quot;#,##0"/>
    <numFmt numFmtId="203" formatCode="[$-409]d\-mmm\-yy;@"/>
    <numFmt numFmtId="204" formatCode="#,##0.00;[Red]#,##0.00"/>
    <numFmt numFmtId="205" formatCode="[$-409]d\-mmm;@"/>
    <numFmt numFmtId="206" formatCode="_(* #,##0_);_(* \(#,##0\);_(* &quot;-&quot;??_);_(@_)"/>
    <numFmt numFmtId="207" formatCode="_ * #,##0_ ;_ * \-#,##0_ ;_ * &quot;-&quot;??_ ;_ @_ "/>
    <numFmt numFmtId="208" formatCode="_(* #,##0.0_);_(* \(#,##0.0\);_(* &quot;-&quot;??_);_(@_)"/>
    <numFmt numFmtId="209" formatCode="dd\-mm\-yyyy"/>
    <numFmt numFmtId="210" formatCode="&quot;0&quot;0"/>
    <numFmt numFmtId="211" formatCode="&quot;GJ/BRD/66951/&quot;0"/>
    <numFmt numFmtId="212" formatCode="&quot;0&quot;0.0"/>
    <numFmt numFmtId="213" formatCode="[$-409]dddd\,\ mmmm\ d\,\ yyyy"/>
    <numFmt numFmtId="214" formatCode="[$-409]h:mm:ss\ AM/PM"/>
    <numFmt numFmtId="215" formatCode="[$-F800]dddd\,\ mmmm\ dd\,\ yyyy"/>
    <numFmt numFmtId="216" formatCode="_(* #,##0.0_);_(* \(#,##0.0\);_(* &quot;-&quot;?_);_(@_)"/>
    <numFmt numFmtId="217" formatCode="[$-409]dddd\,\ mmmm\ dd\,\ yyyy"/>
    <numFmt numFmtId="218" formatCode="d\ mmm\ yyyy;@"/>
    <numFmt numFmtId="219" formatCode="[$-4009]dd\ mmmm\ yyyy"/>
    <numFmt numFmtId="220" formatCode="[$-14009]dddd\,\ d\ mmmm\,\ yyyy;@"/>
    <numFmt numFmtId="221" formatCode="[$-409]h\.mm\.ss\ AM/PM"/>
    <numFmt numFmtId="222" formatCode="[$-14009]dd\-mm\-yyyy;@"/>
    <numFmt numFmtId="223" formatCode="00"/>
    <numFmt numFmtId="224" formatCode="[$-409]d\ mmmm\,\ yyyy"/>
    <numFmt numFmtId="225" formatCode="[$-14009]dd\-mm\-yy;@"/>
    <numFmt numFmtId="226" formatCode="[$-14009]dd\ mmmm\ yyyy;@"/>
  </numFmts>
  <fonts count="160">
    <font>
      <sz val="10"/>
      <name val="Arial"/>
      <family val="0"/>
    </font>
    <font>
      <b/>
      <sz val="10"/>
      <name val="Arial"/>
      <family val="2"/>
    </font>
    <font>
      <b/>
      <sz val="12"/>
      <name val="Arial"/>
      <family val="2"/>
    </font>
    <font>
      <sz val="8"/>
      <name val="Arial"/>
      <family val="2"/>
    </font>
    <font>
      <sz val="11"/>
      <name val="Arial"/>
      <family val="2"/>
    </font>
    <font>
      <sz val="22"/>
      <name val="Arial"/>
      <family val="2"/>
    </font>
    <font>
      <b/>
      <sz val="12"/>
      <color indexed="8"/>
      <name val="Calibri"/>
      <family val="2"/>
    </font>
    <font>
      <b/>
      <sz val="14"/>
      <color indexed="8"/>
      <name val="Calibri"/>
      <family val="2"/>
    </font>
    <font>
      <sz val="12"/>
      <name val="Calibri"/>
      <family val="2"/>
    </font>
    <font>
      <b/>
      <sz val="12"/>
      <name val="Calibri"/>
      <family val="2"/>
    </font>
    <font>
      <b/>
      <sz val="11"/>
      <name val="Calibri"/>
      <family val="2"/>
    </font>
    <font>
      <sz val="12"/>
      <color indexed="8"/>
      <name val="Calibri"/>
      <family val="2"/>
    </font>
    <font>
      <b/>
      <strike/>
      <sz val="12"/>
      <color indexed="8"/>
      <name val="Calibri"/>
      <family val="2"/>
    </font>
    <font>
      <sz val="12"/>
      <name val="Tahoma"/>
      <family val="2"/>
    </font>
    <font>
      <b/>
      <i/>
      <sz val="12"/>
      <name val="Calibri"/>
      <family val="2"/>
    </font>
    <font>
      <b/>
      <i/>
      <u val="single"/>
      <sz val="12"/>
      <name val="Calibri"/>
      <family val="1"/>
    </font>
    <font>
      <b/>
      <u val="single"/>
      <sz val="16"/>
      <name val="Calibri"/>
      <family val="2"/>
    </font>
    <font>
      <sz val="11"/>
      <name val="Calibri"/>
      <family val="2"/>
    </font>
    <font>
      <strike/>
      <sz val="12"/>
      <name val="Calibri"/>
      <family val="2"/>
    </font>
    <font>
      <sz val="7"/>
      <color indexed="8"/>
      <name val="Times New Roman"/>
      <family val="1"/>
    </font>
    <font>
      <b/>
      <u val="single"/>
      <sz val="12"/>
      <color indexed="8"/>
      <name val="Calibri"/>
      <family val="2"/>
    </font>
    <font>
      <b/>
      <u val="single"/>
      <sz val="11"/>
      <color indexed="8"/>
      <name val="Calibri"/>
      <family val="2"/>
    </font>
    <font>
      <sz val="12"/>
      <color indexed="8"/>
      <name val="Aptos Display"/>
      <family val="2"/>
    </font>
    <font>
      <b/>
      <u val="single"/>
      <sz val="12"/>
      <color indexed="8"/>
      <name val="Aptos Display"/>
      <family val="2"/>
    </font>
    <font>
      <sz val="12"/>
      <name val="Times New Roman"/>
      <family val="1"/>
    </font>
    <font>
      <sz val="9"/>
      <name val="Arial"/>
      <family val="2"/>
    </font>
    <font>
      <u val="double"/>
      <sz val="10"/>
      <color indexed="10"/>
      <name val="Arial"/>
      <family val="2"/>
    </font>
    <font>
      <sz val="14"/>
      <name val="Arial"/>
      <family val="2"/>
    </font>
    <font>
      <sz val="14"/>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u val="single"/>
      <sz val="10"/>
      <color indexed="20"/>
      <name val="Arial"/>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val="single"/>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Calibri"/>
      <family val="2"/>
    </font>
    <font>
      <sz val="11"/>
      <color indexed="8"/>
      <name val="Arial"/>
      <family val="2"/>
    </font>
    <font>
      <sz val="14"/>
      <color indexed="8"/>
      <name val="Calibri"/>
      <family val="2"/>
    </font>
    <font>
      <sz val="10"/>
      <name val="Calibri"/>
      <family val="2"/>
    </font>
    <font>
      <sz val="8"/>
      <name val="Calibri"/>
      <family val="2"/>
    </font>
    <font>
      <b/>
      <sz val="8"/>
      <name val="Calibri"/>
      <family val="2"/>
    </font>
    <font>
      <b/>
      <sz val="8"/>
      <color indexed="8"/>
      <name val="Calibri"/>
      <family val="2"/>
    </font>
    <font>
      <sz val="8"/>
      <color indexed="8"/>
      <name val="Calibri"/>
      <family val="2"/>
    </font>
    <font>
      <b/>
      <sz val="10"/>
      <color indexed="8"/>
      <name val="Calibri"/>
      <family val="2"/>
    </font>
    <font>
      <sz val="14"/>
      <name val="Calibri"/>
      <family val="2"/>
    </font>
    <font>
      <b/>
      <sz val="10"/>
      <name val="Calibri"/>
      <family val="2"/>
    </font>
    <font>
      <sz val="11"/>
      <color indexed="8"/>
      <name val="Aptos Display"/>
      <family val="2"/>
    </font>
    <font>
      <b/>
      <sz val="11"/>
      <color indexed="8"/>
      <name val="Aptos Display"/>
      <family val="2"/>
    </font>
    <font>
      <sz val="10.5"/>
      <color indexed="8"/>
      <name val="Calibri"/>
      <family val="2"/>
    </font>
    <font>
      <b/>
      <u val="single"/>
      <sz val="12"/>
      <color indexed="10"/>
      <name val="Calibri"/>
      <family val="2"/>
    </font>
    <font>
      <b/>
      <sz val="14"/>
      <color indexed="12"/>
      <name val="Calibri"/>
      <family val="2"/>
    </font>
    <font>
      <sz val="14"/>
      <color indexed="8"/>
      <name val="Times New Roman"/>
      <family val="1"/>
    </font>
    <font>
      <sz val="14"/>
      <color indexed="10"/>
      <name val="Calibri"/>
      <family val="2"/>
    </font>
    <font>
      <b/>
      <sz val="14"/>
      <color indexed="10"/>
      <name val="Calibri"/>
      <family val="2"/>
    </font>
    <font>
      <b/>
      <sz val="9"/>
      <color indexed="8"/>
      <name val="Calibri"/>
      <family val="2"/>
    </font>
    <font>
      <b/>
      <u val="single"/>
      <sz val="18"/>
      <color indexed="8"/>
      <name val="Calibri"/>
      <family val="2"/>
    </font>
    <font>
      <sz val="9"/>
      <color indexed="8"/>
      <name val="Calibri"/>
      <family val="2"/>
    </font>
    <font>
      <b/>
      <u val="single"/>
      <sz val="10"/>
      <color indexed="8"/>
      <name val="Calibri"/>
      <family val="2"/>
    </font>
    <font>
      <b/>
      <sz val="24"/>
      <color indexed="8"/>
      <name val="Calibri"/>
      <family val="2"/>
    </font>
    <font>
      <b/>
      <sz val="24"/>
      <color indexed="8"/>
      <name val="Arial"/>
      <family val="2"/>
    </font>
    <font>
      <b/>
      <sz val="16"/>
      <color indexed="8"/>
      <name val="Calibri"/>
      <family val="2"/>
    </font>
    <font>
      <b/>
      <u val="single"/>
      <sz val="14"/>
      <name val="Calibri"/>
      <family val="2"/>
    </font>
    <font>
      <b/>
      <sz val="16"/>
      <name val="Calibri"/>
      <family val="2"/>
    </font>
    <font>
      <b/>
      <u val="single"/>
      <sz val="11"/>
      <color indexed="8"/>
      <name val="Aptos Display"/>
      <family val="2"/>
    </font>
    <font>
      <b/>
      <sz val="10"/>
      <color indexed="8"/>
      <name val="Gauge Heavy"/>
      <family val="0"/>
    </font>
    <font>
      <b/>
      <sz val="32"/>
      <color indexed="8"/>
      <name val="Gauge Heavy"/>
      <family val="0"/>
    </font>
    <font>
      <sz val="32"/>
      <color indexed="8"/>
      <name val="Calibri"/>
      <family val="0"/>
    </font>
    <font>
      <b/>
      <sz val="19"/>
      <color indexed="10"/>
      <name val="Futura Lt BT"/>
      <family val="0"/>
    </font>
    <font>
      <b/>
      <sz val="20"/>
      <color indexed="10"/>
      <name val="Futura Lt BT"/>
      <family val="0"/>
    </font>
    <font>
      <sz val="20"/>
      <color indexed="8"/>
      <name val="Futura Lt BT"/>
      <family val="0"/>
    </font>
    <font>
      <b/>
      <sz val="13"/>
      <color indexed="8"/>
      <name val="Futura Lt BT"/>
      <family val="0"/>
    </font>
    <font>
      <b/>
      <sz val="14"/>
      <color indexed="8"/>
      <name val="Futura Lt BT"/>
      <family val="0"/>
    </font>
    <font>
      <b/>
      <sz val="11"/>
      <color indexed="8"/>
      <name val="Futura Lt BT"/>
      <family val="0"/>
    </font>
    <font>
      <sz val="11"/>
      <color indexed="8"/>
      <name val="Futura Lt BT"/>
      <family val="0"/>
    </font>
    <font>
      <b/>
      <sz val="30"/>
      <color indexed="8"/>
      <name val="Cambria"/>
      <family val="0"/>
    </font>
    <font>
      <sz val="30"/>
      <color indexed="8"/>
      <name val="Cambria"/>
      <family val="0"/>
    </font>
    <font>
      <b/>
      <sz val="19"/>
      <color indexed="10"/>
      <name val="Cambria"/>
      <family val="0"/>
    </font>
    <font>
      <b/>
      <sz val="22"/>
      <color indexed="10"/>
      <name val="Cambria"/>
      <family val="0"/>
    </font>
    <font>
      <sz val="22"/>
      <color indexed="8"/>
      <name val="Cambria"/>
      <family val="0"/>
    </font>
    <font>
      <b/>
      <sz val="13"/>
      <color indexed="8"/>
      <name val="Cambria"/>
      <family val="0"/>
    </font>
    <font>
      <b/>
      <sz val="15"/>
      <color indexed="8"/>
      <name val="Cambria"/>
      <family val="0"/>
    </font>
    <font>
      <b/>
      <sz val="11"/>
      <color indexed="8"/>
      <name val="Cambria"/>
      <family val="0"/>
    </font>
    <font>
      <sz val="11"/>
      <color indexed="8"/>
      <name val="Cambria"/>
      <family val="0"/>
    </font>
    <font>
      <b/>
      <sz val="28"/>
      <color indexed="8"/>
      <name val="Times New Roman"/>
      <family val="0"/>
    </font>
    <font>
      <sz val="28"/>
      <color indexed="8"/>
      <name val="Times New Roman"/>
      <family val="0"/>
    </font>
    <font>
      <b/>
      <sz val="22"/>
      <color indexed="10"/>
      <name val="Times New Roman"/>
      <family val="0"/>
    </font>
    <font>
      <sz val="22"/>
      <color indexed="8"/>
      <name val="Times New Roman"/>
      <family val="0"/>
    </font>
    <font>
      <b/>
      <sz val="14"/>
      <color indexed="8"/>
      <name val="Times New Roman"/>
      <family val="0"/>
    </font>
    <font>
      <sz val="11"/>
      <color indexed="8"/>
      <name val="Times New Roman"/>
      <family val="0"/>
    </font>
    <font>
      <sz val="12"/>
      <color rgb="FF000000"/>
      <name val="Calibri"/>
      <family val="2"/>
    </font>
    <font>
      <sz val="12"/>
      <color theme="1"/>
      <name val="Aptos Display"/>
      <family val="2"/>
    </font>
    <font>
      <sz val="12"/>
      <name val="Calibri"/>
      <family val="2"/>
      <scheme val="minor"/>
    </font>
    <font>
      <b/>
      <sz val="12"/>
      <color rgb="FF000000"/>
      <name val="Calibri"/>
      <family val="2"/>
    </font>
    <font>
      <b/>
      <u val="single"/>
      <sz val="11"/>
      <color theme="1"/>
      <name val="Aptos Display"/>
      <family val="2"/>
    </font>
    <font>
      <b/>
      <sz val="14"/>
      <color theme="1"/>
      <name val="Calibri"/>
      <family val="2"/>
      <scheme val="minor"/>
    </font>
    <font>
      <b/>
      <sz val="12"/>
      <color theme="1"/>
      <name val="Calibri"/>
      <family val="2"/>
      <scheme val="minor"/>
    </font>
    <font>
      <b/>
      <sz val="16"/>
      <name val="Calibri"/>
      <family val="2"/>
      <scheme val="minor"/>
    </font>
    <font>
      <b/>
      <sz val="12"/>
      <name val="Calibri"/>
      <family val="2"/>
      <scheme val="minor"/>
    </font>
    <font>
      <sz val="14"/>
      <name val="Calibri"/>
      <family val="2"/>
      <scheme val="minor"/>
    </font>
    <font>
      <b/>
      <sz val="8"/>
      <name val="Calibri"/>
      <family val="2"/>
      <scheme val="minor"/>
    </font>
    <font>
      <b/>
      <sz val="11"/>
      <name val="Calibri"/>
      <family val="2"/>
      <scheme val="minor"/>
    </font>
    <font>
      <sz val="8"/>
      <name val="Calibri"/>
      <family val="2"/>
      <scheme val="minor"/>
    </font>
    <font>
      <b/>
      <sz val="8"/>
      <color rgb="FF000000"/>
      <name val="Calibri"/>
      <family val="2"/>
      <scheme val="minor"/>
    </font>
    <font>
      <b/>
      <u val="single"/>
      <sz val="14"/>
      <name val="Calibri"/>
      <family val="2"/>
      <scheme val="minor"/>
    </font>
    <font>
      <sz val="8"/>
      <color rgb="FF000000"/>
      <name val="Calibri"/>
      <family val="2"/>
      <scheme val="minor"/>
    </font>
    <font>
      <sz val="11"/>
      <color theme="1"/>
      <name val="Calibri"/>
      <family val="2"/>
      <scheme val="minor"/>
    </font>
    <font>
      <b/>
      <sz val="11"/>
      <color theme="1"/>
      <name val="Calibri"/>
      <family val="2"/>
      <scheme val="minor"/>
    </font>
    <font>
      <sz val="11"/>
      <color theme="1"/>
      <name val="Arial"/>
      <family val="2"/>
    </font>
    <font>
      <sz val="12"/>
      <color theme="1"/>
      <name val="Calibri"/>
      <family val="2"/>
      <scheme val="minor"/>
    </font>
    <font>
      <b/>
      <sz val="24"/>
      <color theme="1"/>
      <name val="Arial"/>
      <family val="2"/>
    </font>
    <font>
      <sz val="10"/>
      <color theme="1"/>
      <name val="Calibri"/>
      <family val="2"/>
      <scheme val="minor"/>
    </font>
    <font>
      <sz val="10"/>
      <name val="Calibri"/>
      <family val="2"/>
      <scheme val="minor"/>
    </font>
    <font>
      <b/>
      <sz val="16"/>
      <color theme="1"/>
      <name val="Calibri"/>
      <family val="2"/>
      <scheme val="minor"/>
    </font>
    <font>
      <sz val="14"/>
      <color theme="1"/>
      <name val="Calibri"/>
      <family val="2"/>
      <scheme val="minor"/>
    </font>
    <font>
      <b/>
      <sz val="9"/>
      <color theme="1"/>
      <name val="Calibri"/>
      <family val="2"/>
      <scheme val="minor"/>
    </font>
    <font>
      <b/>
      <sz val="10"/>
      <color theme="1"/>
      <name val="Calibri"/>
      <family val="2"/>
      <scheme val="minor"/>
    </font>
    <font>
      <sz val="8"/>
      <color theme="1"/>
      <name val="Calibri"/>
      <family val="2"/>
      <scheme val="minor"/>
    </font>
    <font>
      <b/>
      <u val="single"/>
      <sz val="18"/>
      <color theme="1"/>
      <name val="Calibri"/>
      <family val="2"/>
      <scheme val="minor"/>
    </font>
    <font>
      <b/>
      <u val="single"/>
      <sz val="10"/>
      <color theme="1"/>
      <name val="Calibri"/>
      <family val="2"/>
      <scheme val="minor"/>
    </font>
    <font>
      <sz val="9"/>
      <color theme="1"/>
      <name val="Calibri"/>
      <family val="2"/>
      <scheme val="minor"/>
    </font>
    <font>
      <b/>
      <sz val="24"/>
      <color theme="1"/>
      <name val="Calibri"/>
      <family val="2"/>
      <scheme val="minor"/>
    </font>
    <font>
      <b/>
      <sz val="14"/>
      <color rgb="FFFF0000"/>
      <name val="Calibri"/>
      <family val="2"/>
      <scheme val="minor"/>
    </font>
    <font>
      <sz val="14"/>
      <color rgb="FFFF0000"/>
      <name val="Calibri"/>
      <family val="2"/>
      <scheme val="minor"/>
    </font>
    <font>
      <sz val="14"/>
      <color theme="1"/>
      <name val="Times New Roman"/>
      <family val="1"/>
    </font>
    <font>
      <b/>
      <sz val="14"/>
      <color indexed="12"/>
      <name val="Calibri"/>
      <family val="2"/>
      <scheme val="minor"/>
    </font>
    <font>
      <b/>
      <u val="single"/>
      <sz val="12"/>
      <color rgb="FFFF0000"/>
      <name val="Calibri"/>
      <family val="2"/>
      <scheme val="minor"/>
    </font>
    <font>
      <sz val="10.5"/>
      <color theme="1"/>
      <name val="Calibri"/>
      <family val="2"/>
      <scheme val="minor"/>
    </font>
    <font>
      <u val="single"/>
      <sz val="10"/>
      <color theme="10"/>
      <name val="Arial"/>
      <family val="2"/>
    </font>
    <font>
      <b/>
      <sz val="11"/>
      <color theme="1"/>
      <name val="Aptos Display"/>
      <family val="2"/>
    </font>
    <font>
      <sz val="11"/>
      <color theme="1"/>
      <name val="Aptos Display"/>
      <family val="2"/>
    </font>
    <font>
      <b/>
      <sz val="10"/>
      <name val="Calibri"/>
      <family val="2"/>
      <scheme val="minor"/>
    </font>
    <font>
      <sz val="11"/>
      <color rgb="FFFF0000"/>
      <name val="Calibri"/>
      <family val="2"/>
      <scheme val="minor"/>
    </font>
    <font>
      <b/>
      <sz val="18"/>
      <color theme="3"/>
      <name val="Cambria"/>
      <family val="2"/>
      <scheme val="major"/>
    </font>
    <font>
      <b/>
      <sz val="11"/>
      <color rgb="FF3F3F3F"/>
      <name val="Calibri"/>
      <family val="2"/>
      <scheme val="minor"/>
    </font>
    <font>
      <sz val="11"/>
      <color rgb="FF9C6500"/>
      <name val="Calibri"/>
      <family val="2"/>
      <scheme val="minor"/>
    </font>
    <font>
      <sz val="11"/>
      <color rgb="FFFA7D00"/>
      <name val="Calibri"/>
      <family val="2"/>
      <scheme val="minor"/>
    </font>
    <font>
      <sz val="11"/>
      <color rgb="FF3F3F76"/>
      <name val="Calibri"/>
      <family val="2"/>
      <scheme val="minor"/>
    </font>
    <font>
      <b/>
      <sz val="11"/>
      <color theme="3"/>
      <name val="Calibri"/>
      <family val="2"/>
      <scheme val="minor"/>
    </font>
    <font>
      <b/>
      <sz val="13"/>
      <color theme="3"/>
      <name val="Calibri"/>
      <family val="2"/>
      <scheme val="minor"/>
    </font>
    <font>
      <b/>
      <sz val="15"/>
      <color theme="3"/>
      <name val="Calibri"/>
      <family val="2"/>
      <scheme val="minor"/>
    </font>
    <font>
      <sz val="11"/>
      <color rgb="FF006100"/>
      <name val="Calibri"/>
      <family val="2"/>
      <scheme val="minor"/>
    </font>
    <font>
      <u val="single"/>
      <sz val="10"/>
      <color theme="11"/>
      <name val="Arial"/>
      <family val="2"/>
    </font>
    <font>
      <i/>
      <sz val="11"/>
      <color rgb="FF7F7F7F"/>
      <name val="Calibri"/>
      <family val="2"/>
      <scheme val="minor"/>
    </font>
    <font>
      <b/>
      <sz val="11"/>
      <color theme="0"/>
      <name val="Calibri"/>
      <family val="2"/>
      <scheme val="minor"/>
    </font>
    <font>
      <b/>
      <sz val="11"/>
      <color rgb="FFFA7D00"/>
      <name val="Calibri"/>
      <family val="2"/>
      <scheme val="minor"/>
    </font>
    <font>
      <sz val="11"/>
      <color rgb="FF9C0006"/>
      <name val="Calibri"/>
      <family val="2"/>
      <scheme val="minor"/>
    </font>
    <font>
      <sz val="11"/>
      <color theme="0"/>
      <name val="Calibri"/>
      <family val="2"/>
      <scheme val="minor"/>
    </font>
  </fonts>
  <fills count="44">
    <fill>
      <patternFill patternType="none"/>
    </fill>
    <fill>
      <patternFill patternType="gray125"/>
    </fill>
    <fill>
      <patternFill patternType="solid">
        <fgColor theme="4" tint="0.799979984760284"/>
        <bgColor indexed="64"/>
      </patternFill>
    </fill>
    <fill>
      <patternFill patternType="solid">
        <fgColor theme="5" tint="0.799979984760284"/>
        <bgColor indexed="64"/>
      </patternFill>
    </fill>
    <fill>
      <patternFill patternType="solid">
        <fgColor theme="6" tint="0.799979984760284"/>
        <bgColor indexed="64"/>
      </patternFill>
    </fill>
    <fill>
      <patternFill patternType="solid">
        <fgColor theme="7" tint="0.799979984760284"/>
        <bgColor indexed="64"/>
      </patternFill>
    </fill>
    <fill>
      <patternFill patternType="solid">
        <fgColor theme="8" tint="0.799979984760284"/>
        <bgColor indexed="64"/>
      </patternFill>
    </fill>
    <fill>
      <patternFill patternType="solid">
        <fgColor theme="9" tint="0.799979984760284"/>
        <bgColor indexed="64"/>
      </patternFill>
    </fill>
    <fill>
      <patternFill patternType="solid">
        <fgColor theme="4" tint="0.599990010261536"/>
        <bgColor indexed="64"/>
      </patternFill>
    </fill>
    <fill>
      <patternFill patternType="solid">
        <fgColor theme="5" tint="0.599990010261536"/>
        <bgColor indexed="64"/>
      </patternFill>
    </fill>
    <fill>
      <patternFill patternType="solid">
        <fgColor theme="6" tint="0.599990010261536"/>
        <bgColor indexed="64"/>
      </patternFill>
    </fill>
    <fill>
      <patternFill patternType="solid">
        <fgColor theme="7" tint="0.599990010261536"/>
        <bgColor indexed="64"/>
      </patternFill>
    </fill>
    <fill>
      <patternFill patternType="solid">
        <fgColor theme="8" tint="0.599990010261536"/>
        <bgColor indexed="64"/>
      </patternFill>
    </fill>
    <fill>
      <patternFill patternType="solid">
        <fgColor theme="9" tint="0.599990010261536"/>
        <bgColor indexed="64"/>
      </patternFill>
    </fill>
    <fill>
      <patternFill patternType="solid">
        <fgColor theme="4" tint="0.399980008602142"/>
        <bgColor indexed="64"/>
      </patternFill>
    </fill>
    <fill>
      <patternFill patternType="solid">
        <fgColor theme="5" tint="0.399980008602142"/>
        <bgColor indexed="64"/>
      </patternFill>
    </fill>
    <fill>
      <patternFill patternType="solid">
        <fgColor theme="6" tint="0.399980008602142"/>
        <bgColor indexed="64"/>
      </patternFill>
    </fill>
    <fill>
      <patternFill patternType="solid">
        <fgColor theme="7" tint="0.399980008602142"/>
        <bgColor indexed="64"/>
      </patternFill>
    </fill>
    <fill>
      <patternFill patternType="solid">
        <fgColor theme="8" tint="0.399980008602142"/>
        <bgColor indexed="64"/>
      </patternFill>
    </fill>
    <fill>
      <patternFill patternType="solid">
        <fgColor theme="9" tint="0.39998000860214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rgb="FFFFC7CE"/>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C99"/>
        <bgColor indexed="64"/>
      </patternFill>
    </fill>
    <fill>
      <patternFill patternType="solid">
        <fgColor rgb="FFFFEB9C"/>
        <bgColor indexed="64"/>
      </patternFill>
    </fill>
    <fill>
      <patternFill patternType="solid">
        <fgColor indexed="9"/>
        <bgColor indexed="64"/>
      </patternFill>
    </fill>
    <fill>
      <patternFill patternType="solid">
        <fgColor rgb="FFFFFFCC"/>
        <bgColor indexed="64"/>
      </patternFill>
    </fill>
    <fill>
      <patternFill patternType="solid">
        <fgColor theme="3" tint="0.799979984760284"/>
        <bgColor indexed="64"/>
      </patternFill>
    </fill>
    <fill>
      <patternFill patternType="solid">
        <fgColor rgb="FFFF7C80"/>
        <bgColor indexed="64"/>
      </patternFill>
    </fill>
    <fill>
      <patternFill patternType="solid">
        <fgColor theme="0" tint="-0.349979996681213"/>
        <bgColor indexed="64"/>
      </patternFill>
    </fill>
    <fill>
      <patternFill patternType="solid">
        <fgColor rgb="FFB8CCE4"/>
        <bgColor indexed="64"/>
      </patternFill>
    </fill>
    <fill>
      <patternFill patternType="solid">
        <fgColor rgb="FFFFFF00"/>
        <bgColor indexed="64"/>
      </patternFill>
    </fill>
    <fill>
      <patternFill patternType="solid">
        <fgColor rgb="FFFF0000"/>
        <bgColor indexed="64"/>
      </patternFill>
    </fill>
    <fill>
      <patternFill patternType="solid">
        <fgColor theme="0" tint="-0.149990007281303"/>
        <bgColor indexed="64"/>
      </patternFill>
    </fill>
    <fill>
      <patternFill patternType="solid">
        <fgColor rgb="FFFFFFFF"/>
        <bgColor indexed="64"/>
      </patternFill>
    </fill>
    <fill>
      <patternFill patternType="solid">
        <fgColor theme="0"/>
        <bgColor indexed="64"/>
      </patternFill>
    </fill>
    <fill>
      <patternFill patternType="solid">
        <fgColor rgb="FF92D050"/>
        <bgColor indexed="64"/>
      </patternFill>
    </fill>
  </fills>
  <borders count="44">
    <border>
      <left/>
      <right/>
      <top/>
      <bottom/>
      <diagonal/>
    </border>
    <border>
      <left style="thin">
        <color rgb="FF7F7F7F"/>
      </left>
      <right style="thin">
        <color rgb="FF7F7F7F"/>
      </right>
      <top style="thin">
        <color rgb="FF7F7F7F"/>
      </top>
      <bottom style="thin">
        <color rgb="FF7F7F7F"/>
      </bottom>
    </border>
    <border>
      <left style="double">
        <color rgb="FF3F3F3F"/>
      </left>
      <right style="double">
        <color rgb="FF3F3F3F"/>
      </right>
      <top style="double">
        <color rgb="FF3F3F3F"/>
      </top>
      <bottom style="double">
        <color rgb="FF3F3F3F"/>
      </bottom>
    </border>
    <border>
      <left>
        <color indexed="0"/>
      </left>
      <right>
        <color indexed="0"/>
      </right>
      <top>
        <color indexed="0"/>
      </top>
      <bottom style="thick">
        <color theme="4"/>
      </bottom>
    </border>
    <border>
      <left>
        <color indexed="0"/>
      </left>
      <right>
        <color indexed="0"/>
      </right>
      <top>
        <color indexed="0"/>
      </top>
      <bottom style="thick">
        <color theme="4" tint="0.499980002641678"/>
      </bottom>
    </border>
    <border>
      <left>
        <color indexed="0"/>
      </left>
      <right>
        <color indexed="0"/>
      </right>
      <top>
        <color indexed="0"/>
      </top>
      <bottom style="medium">
        <color theme="4" tint="0.399980008602142"/>
      </bottom>
    </border>
    <border>
      <left>
        <color indexed="0"/>
      </left>
      <right>
        <color indexed="0"/>
      </right>
      <top>
        <color indexed="0"/>
      </top>
      <bottom style="double">
        <color rgb="FFFF8001"/>
      </bottom>
    </border>
    <border>
      <left style="thin">
        <color rgb="FFB2B2B2"/>
      </left>
      <right style="thin">
        <color rgb="FFB2B2B2"/>
      </right>
      <top style="thin">
        <color rgb="FFB2B2B2"/>
      </top>
      <bottom style="thin">
        <color rgb="FFB2B2B2"/>
      </bottom>
    </border>
    <border>
      <left style="thin">
        <color rgb="FF3F3F3F"/>
      </left>
      <right style="thin">
        <color rgb="FF3F3F3F"/>
      </right>
      <top style="thin">
        <color rgb="FF3F3F3F"/>
      </top>
      <bottom style="thin">
        <color rgb="FF3F3F3F"/>
      </bottom>
    </border>
    <border>
      <left>
        <color indexed="0"/>
      </left>
      <right>
        <color indexed="0"/>
      </right>
      <top style="thin">
        <color theme="4"/>
      </top>
      <bottom style="double">
        <color theme="4"/>
      </bottom>
    </border>
    <border>
      <left style="thin">
        <color auto="1"/>
      </left>
      <right style="thin">
        <color auto="1"/>
      </right>
      <top style="thin">
        <color auto="1"/>
      </top>
      <bottom style="thin">
        <color auto="1"/>
      </bottom>
    </border>
    <border>
      <left style="thin">
        <color auto="1"/>
      </left>
      <right>
        <color indexed="0"/>
      </right>
      <top>
        <color indexed="0"/>
      </top>
      <bottom>
        <color indexed="0"/>
      </bottom>
    </border>
    <border>
      <left>
        <color indexed="0"/>
      </left>
      <right style="thin">
        <color auto="1"/>
      </right>
      <top>
        <color indexed="0"/>
      </top>
      <bottom>
        <color indexed="0"/>
      </bottom>
    </border>
    <border>
      <left/>
      <right/>
      <top style="thin">
        <color auto="1"/>
      </top>
      <bottom/>
    </border>
    <border>
      <left>
        <color indexed="0"/>
      </left>
      <right style="thin">
        <color auto="1"/>
      </right>
      <top style="thin">
        <color auto="1"/>
      </top>
      <bottom>
        <color indexed="0"/>
      </bottom>
    </border>
    <border>
      <left style="thin">
        <color auto="1"/>
      </left>
      <right>
        <color indexed="0"/>
      </right>
      <top style="thin">
        <color auto="1"/>
      </top>
      <bottom>
        <color indexed="0"/>
      </bottom>
    </border>
    <border>
      <left style="thin">
        <color auto="1"/>
      </left>
      <right>
        <color indexed="0"/>
      </right>
      <top>
        <color indexed="0"/>
      </top>
      <bottom style="thin">
        <color auto="1"/>
      </bottom>
    </border>
    <border>
      <left>
        <color indexed="0"/>
      </left>
      <right>
        <color indexed="0"/>
      </right>
      <top>
        <color indexed="0"/>
      </top>
      <bottom style="thin">
        <color auto="1"/>
      </bottom>
    </border>
    <border>
      <left>
        <color indexed="0"/>
      </left>
      <right style="thin">
        <color auto="1"/>
      </right>
      <top>
        <color indexed="0"/>
      </top>
      <bottom style="thin">
        <color auto="1"/>
      </bottom>
    </border>
    <border>
      <left style="thin">
        <color rgb="FF000000"/>
      </left>
      <right style="thin">
        <color rgb="FF000000"/>
      </right>
      <top style="thin">
        <color rgb="FF000000"/>
      </top>
      <bottom style="thin">
        <color rgb="FF000000"/>
      </bottom>
    </border>
    <border>
      <left style="thin">
        <color auto="1"/>
      </left>
      <right style="thin">
        <color auto="1"/>
      </right>
      <top style="thin">
        <color auto="1"/>
      </top>
      <bottom>
        <color indexed="0"/>
      </bottom>
    </border>
    <border>
      <left/>
      <right style="thin">
        <color rgb="FF000000"/>
      </right>
      <top/>
      <bottom/>
    </border>
    <border>
      <left style="thin">
        <color rgb="FF000000"/>
      </left>
      <right style="thin">
        <color rgb="FF000000"/>
      </right>
      <top style="thin">
        <color rgb="FF000000"/>
      </top>
      <bottom>
        <color indexed="0"/>
      </bottom>
    </border>
    <border>
      <left style="thin">
        <color auto="1"/>
      </left>
      <right style="thin">
        <color auto="1"/>
      </right>
      <top>
        <color indexed="0"/>
      </top>
      <bottom>
        <color indexed="0"/>
      </bottom>
    </border>
    <border>
      <left style="thin">
        <color auto="1"/>
      </left>
      <right/>
      <top style="thin">
        <color auto="1"/>
      </top>
      <bottom style="thin">
        <color auto="1"/>
      </bottom>
    </border>
    <border>
      <left/>
      <right/>
      <top style="thin">
        <color auto="1"/>
      </top>
      <bottom style="thin">
        <color auto="1"/>
      </bottom>
    </border>
    <border>
      <left style="thin">
        <color rgb="FF000000"/>
      </left>
      <right style="thin">
        <color rgb="FF000000"/>
      </right>
      <top/>
      <bottom style="thin">
        <color rgb="FF000000"/>
      </bottom>
    </border>
    <border>
      <left/>
      <right style="thin">
        <color auto="1"/>
      </right>
      <top style="thin">
        <color auto="1"/>
      </top>
      <bottom style="thin">
        <color auto="1"/>
      </bottom>
    </border>
    <border>
      <left/>
      <right style="thin">
        <color rgb="FF000000"/>
      </right>
      <top/>
      <bottom style="thin">
        <color rgb="FF000000"/>
      </bottom>
    </border>
    <border>
      <left/>
      <right style="thin">
        <color rgb="FF000000"/>
      </right>
      <top style="thin">
        <color rgb="FF000000"/>
      </top>
      <bottom style="thin">
        <color rgb="FF000000"/>
      </bottom>
    </border>
    <border>
      <left style="thin">
        <color auto="1"/>
      </left>
      <right style="thin">
        <color auto="1"/>
      </right>
      <top>
        <color indexed="0"/>
      </top>
      <bottom style="thin">
        <color auto="1"/>
      </bottom>
    </border>
    <border>
      <left style="thin">
        <color rgb="FF000000"/>
      </left>
      <right style="thin">
        <color rgb="FF000000"/>
      </right>
      <top/>
      <bottom/>
    </border>
    <border>
      <left style="thin">
        <color auto="1"/>
      </left>
      <right style="thin">
        <color auto="1"/>
      </right>
      <top style="medium">
        <color auto="1"/>
      </top>
      <bottom style="medium">
        <color auto="1"/>
      </bottom>
    </border>
    <border>
      <left style="medium">
        <color auto="1"/>
      </left>
      <right style="thin">
        <color auto="1"/>
      </right>
      <top style="medium">
        <color auto="1"/>
      </top>
      <bottom style="medium">
        <color auto="1"/>
      </bottom>
    </border>
    <border>
      <left>
        <color indexed="0"/>
      </left>
      <right style="thin">
        <color auto="1"/>
      </right>
      <top style="medium">
        <color auto="1"/>
      </top>
      <bottom style="medium">
        <color auto="1"/>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auto="1"/>
      </right>
      <top style="thin">
        <color rgb="FF000000"/>
      </top>
      <bottom style="thin">
        <color rgb="FF000000"/>
      </bottom>
    </border>
    <border>
      <left style="thin">
        <color rgb="FF000000"/>
      </left>
      <right>
        <color indexed="0"/>
      </right>
      <top style="thin">
        <color auto="1"/>
      </top>
      <bottom style="thin">
        <color rgb="FF000000"/>
      </bottom>
    </border>
    <border>
      <left>
        <color indexed="0"/>
      </left>
      <right>
        <color indexed="0"/>
      </right>
      <top style="thin">
        <color auto="1"/>
      </top>
      <bottom style="thin">
        <color rgb="FF000000"/>
      </bottom>
    </border>
    <border>
      <left>
        <color indexed="0"/>
      </left>
      <right style="thin">
        <color auto="1"/>
      </right>
      <top style="thin">
        <color auto="1"/>
      </top>
      <bottom style="thin">
        <color rgb="FF000000"/>
      </bottom>
    </border>
    <border>
      <left style="thin">
        <color rgb="FF000000"/>
      </left>
      <right/>
      <top/>
      <bottom style="thin">
        <color rgb="FF000000"/>
      </bottom>
    </border>
    <border>
      <left/>
      <right/>
      <top/>
      <bottom style="thin">
        <color rgb="FF000000"/>
      </bottom>
    </border>
    <border>
      <left style="thin">
        <color rgb="FF000000"/>
      </left>
      <right/>
      <top/>
      <bottom/>
    </border>
  </borders>
  <cellStyleXfs count="53">
    <xf numFmtId="0" fontId="0" fillId="0" borderId="0">
      <alignment/>
      <protection/>
    </xf>
    <xf numFmtId="0" fontId="118" fillId="2" borderId="0" applyNumberFormat="0" applyBorder="0" applyAlignment="0" applyProtection="0">
      <alignment/>
    </xf>
    <xf numFmtId="0" fontId="118" fillId="3" borderId="0" applyNumberFormat="0" applyBorder="0" applyAlignment="0" applyProtection="0">
      <alignment/>
    </xf>
    <xf numFmtId="0" fontId="118" fillId="4" borderId="0" applyNumberFormat="0" applyBorder="0" applyAlignment="0" applyProtection="0">
      <alignment/>
    </xf>
    <xf numFmtId="0" fontId="118" fillId="5" borderId="0" applyNumberFormat="0" applyBorder="0" applyAlignment="0" applyProtection="0">
      <alignment/>
    </xf>
    <xf numFmtId="0" fontId="118" fillId="6" borderId="0" applyNumberFormat="0" applyBorder="0" applyAlignment="0" applyProtection="0">
      <alignment/>
    </xf>
    <xf numFmtId="0" fontId="118" fillId="7" borderId="0" applyNumberFormat="0" applyBorder="0" applyAlignment="0" applyProtection="0">
      <alignment/>
    </xf>
    <xf numFmtId="0" fontId="118" fillId="8" borderId="0" applyNumberFormat="0" applyBorder="0" applyAlignment="0" applyProtection="0">
      <alignment/>
    </xf>
    <xf numFmtId="0" fontId="118" fillId="9" borderId="0" applyNumberFormat="0" applyBorder="0" applyAlignment="0" applyProtection="0">
      <alignment/>
    </xf>
    <xf numFmtId="0" fontId="118" fillId="10" borderId="0" applyNumberFormat="0" applyBorder="0" applyAlignment="0" applyProtection="0">
      <alignment/>
    </xf>
    <xf numFmtId="0" fontId="118" fillId="11" borderId="0" applyNumberFormat="0" applyBorder="0" applyAlignment="0" applyProtection="0">
      <alignment/>
    </xf>
    <xf numFmtId="0" fontId="118" fillId="12" borderId="0" applyNumberFormat="0" applyBorder="0" applyAlignment="0" applyProtection="0">
      <alignment/>
    </xf>
    <xf numFmtId="0" fontId="118" fillId="13" borderId="0" applyNumberFormat="0" applyBorder="0" applyAlignment="0" applyProtection="0">
      <alignment/>
    </xf>
    <xf numFmtId="0" fontId="159" fillId="14" borderId="0" applyNumberFormat="0" applyBorder="0" applyAlignment="0" applyProtection="0">
      <alignment/>
    </xf>
    <xf numFmtId="0" fontId="159" fillId="15" borderId="0" applyNumberFormat="0" applyBorder="0" applyAlignment="0" applyProtection="0">
      <alignment/>
    </xf>
    <xf numFmtId="0" fontId="159" fillId="16" borderId="0" applyNumberFormat="0" applyBorder="0" applyAlignment="0" applyProtection="0">
      <alignment/>
    </xf>
    <xf numFmtId="0" fontId="159" fillId="17" borderId="0" applyNumberFormat="0" applyBorder="0" applyAlignment="0" applyProtection="0">
      <alignment/>
    </xf>
    <xf numFmtId="0" fontId="159" fillId="18" borderId="0" applyNumberFormat="0" applyBorder="0" applyAlignment="0" applyProtection="0">
      <alignment/>
    </xf>
    <xf numFmtId="0" fontId="159" fillId="19" borderId="0" applyNumberFormat="0" applyBorder="0" applyAlignment="0" applyProtection="0">
      <alignment/>
    </xf>
    <xf numFmtId="0" fontId="159" fillId="20" borderId="0" applyNumberFormat="0" applyBorder="0" applyAlignment="0" applyProtection="0">
      <alignment/>
    </xf>
    <xf numFmtId="0" fontId="159" fillId="21" borderId="0" applyNumberFormat="0" applyBorder="0" applyAlignment="0" applyProtection="0">
      <alignment/>
    </xf>
    <xf numFmtId="0" fontId="159" fillId="22" borderId="0" applyNumberFormat="0" applyBorder="0" applyAlignment="0" applyProtection="0">
      <alignment/>
    </xf>
    <xf numFmtId="0" fontId="159" fillId="23" borderId="0" applyNumberFormat="0" applyBorder="0" applyAlignment="0" applyProtection="0">
      <alignment/>
    </xf>
    <xf numFmtId="0" fontId="159" fillId="24" borderId="0" applyNumberFormat="0" applyBorder="0" applyAlignment="0" applyProtection="0">
      <alignment/>
    </xf>
    <xf numFmtId="0" fontId="159" fillId="25" borderId="0" applyNumberFormat="0" applyBorder="0" applyAlignment="0" applyProtection="0">
      <alignment/>
    </xf>
    <xf numFmtId="0" fontId="158" fillId="26" borderId="0" applyNumberFormat="0" applyBorder="0" applyAlignment="0" applyProtection="0">
      <alignment/>
    </xf>
    <xf numFmtId="0" fontId="157" fillId="27" borderId="1" applyNumberFormat="0" applyAlignment="0" applyProtection="0">
      <alignment/>
    </xf>
    <xf numFmtId="0" fontId="156" fillId="28" borderId="2" applyNumberFormat="0" applyAlignment="0" applyProtection="0">
      <alignment/>
    </xf>
    <xf numFmtId="171" fontId="0" fillId="0" borderId="0" applyFont="0" applyFill="0" applyBorder="0" applyAlignment="0" applyProtection="0">
      <alignment/>
    </xf>
    <xf numFmtId="169" fontId="0" fillId="0" borderId="0" applyFont="0" applyFill="0" applyBorder="0" applyAlignment="0" applyProtection="0">
      <alignment/>
    </xf>
    <xf numFmtId="170" fontId="0" fillId="0" borderId="0" applyFont="0" applyFill="0" applyBorder="0" applyAlignment="0" applyProtection="0">
      <alignment/>
    </xf>
    <xf numFmtId="168" fontId="0" fillId="0" borderId="0" applyFont="0" applyFill="0" applyBorder="0" applyAlignment="0" applyProtection="0">
      <alignment/>
    </xf>
    <xf numFmtId="0" fontId="155" fillId="0" borderId="0" applyNumberFormat="0" applyFill="0" applyBorder="0" applyAlignment="0" applyProtection="0">
      <alignment/>
    </xf>
    <xf numFmtId="0" fontId="154" fillId="0" borderId="0" applyNumberFormat="0" applyFill="0" applyBorder="0" applyAlignment="0" applyProtection="0">
      <alignment/>
    </xf>
    <xf numFmtId="0" fontId="153" fillId="29" borderId="0" applyNumberFormat="0" applyBorder="0" applyAlignment="0" applyProtection="0">
      <alignment/>
    </xf>
    <xf numFmtId="0" fontId="152" fillId="0" borderId="3" applyNumberFormat="0" applyFill="0" applyAlignment="0" applyProtection="0">
      <alignment/>
    </xf>
    <xf numFmtId="0" fontId="151" fillId="0" borderId="4" applyNumberFormat="0" applyFill="0" applyAlignment="0" applyProtection="0">
      <alignment/>
    </xf>
    <xf numFmtId="0" fontId="150" fillId="0" borderId="5" applyNumberFormat="0" applyFill="0" applyAlignment="0" applyProtection="0">
      <alignment/>
    </xf>
    <xf numFmtId="0" fontId="150" fillId="0" borderId="0" applyNumberFormat="0" applyFill="0" applyBorder="0" applyAlignment="0" applyProtection="0">
      <alignment/>
    </xf>
    <xf numFmtId="0" fontId="140" fillId="0" borderId="0" applyNumberFormat="0" applyFill="0" applyBorder="0" applyAlignment="0" applyProtection="0">
      <alignment/>
    </xf>
    <xf numFmtId="0" fontId="149" fillId="30" borderId="1" applyNumberFormat="0" applyAlignment="0" applyProtection="0">
      <alignment/>
    </xf>
    <xf numFmtId="0" fontId="148" fillId="0" borderId="6" applyNumberFormat="0" applyFill="0" applyAlignment="0" applyProtection="0">
      <alignment/>
    </xf>
    <xf numFmtId="0" fontId="147" fillId="31" borderId="0" applyNumberFormat="0" applyBorder="0" applyAlignment="0" applyProtection="0">
      <alignment/>
    </xf>
    <xf numFmtId="0" fontId="118" fillId="0" borderId="0">
      <alignment/>
      <protection/>
    </xf>
    <xf numFmtId="0" fontId="0" fillId="0" borderId="0">
      <alignment/>
      <protection/>
    </xf>
    <xf numFmtId="0" fontId="13" fillId="32" borderId="0">
      <alignment vertical="center" wrapText="1"/>
      <protection/>
    </xf>
    <xf numFmtId="0" fontId="13" fillId="32" borderId="0">
      <alignment vertical="center" wrapText="1"/>
      <protection/>
    </xf>
    <xf numFmtId="0" fontId="0" fillId="33" borderId="7" applyNumberFormat="0" applyFont="0" applyAlignment="0" applyProtection="0">
      <alignment/>
    </xf>
    <xf numFmtId="0" fontId="146" fillId="27" borderId="8" applyNumberFormat="0" applyAlignment="0" applyProtection="0">
      <alignment/>
    </xf>
    <xf numFmtId="9" fontId="0" fillId="0" borderId="0" applyFont="0" applyFill="0" applyBorder="0" applyAlignment="0" applyProtection="0">
      <alignment/>
    </xf>
    <xf numFmtId="0" fontId="145" fillId="0" borderId="0" applyNumberFormat="0" applyFill="0" applyBorder="0" applyAlignment="0" applyProtection="0">
      <alignment/>
    </xf>
    <xf numFmtId="0" fontId="119" fillId="0" borderId="9" applyNumberFormat="0" applyFill="0" applyAlignment="0" applyProtection="0">
      <alignment/>
    </xf>
    <xf numFmtId="0" fontId="144" fillId="0" borderId="0" applyNumberFormat="0" applyFill="0" applyBorder="0" applyAlignment="0" applyProtection="0">
      <alignment/>
    </xf>
  </cellStyleXfs>
  <cellXfs count="599">
    <xf numFmtId="0" fontId="0" fillId="0" borderId="0" xfId="0" applyAlignment="1">
      <alignment/>
    </xf>
    <xf numFmtId="0" fontId="0" fillId="0" borderId="0" xfId="0" applyBorder="1" applyAlignment="1">
      <alignment/>
    </xf>
    <xf numFmtId="0" fontId="1" fillId="0" borderId="0" xfId="0" applyFont="1" applyBorder="1" applyAlignment="1">
      <alignment horizontal="left"/>
    </xf>
    <xf numFmtId="0" fontId="0" fillId="0" borderId="10" xfId="0" applyBorder="1" applyAlignment="1">
      <alignment horizontal="center"/>
    </xf>
    <xf numFmtId="171" fontId="118" fillId="0" borderId="0" xfId="28" applyFont="1" applyBorder="1" applyAlignment="1">
      <alignment/>
    </xf>
    <xf numFmtId="171" fontId="118" fillId="0" borderId="0" xfId="28" applyFont="1" applyAlignment="1">
      <alignment/>
    </xf>
    <xf numFmtId="0" fontId="0" fillId="0" borderId="0" xfId="0" applyAlignment="1">
      <alignment horizontal="left"/>
    </xf>
    <xf numFmtId="0" fontId="0" fillId="0" borderId="0" xfId="0" applyFont="1" applyBorder="1" applyAlignment="1">
      <alignment vertical="center"/>
    </xf>
    <xf numFmtId="171" fontId="118" fillId="0" borderId="0" xfId="28" applyFont="1" applyBorder="1" applyAlignment="1">
      <alignment horizontal="left"/>
    </xf>
    <xf numFmtId="0" fontId="4" fillId="0" borderId="0" xfId="0" applyFont="1" applyBorder="1" applyAlignment="1">
      <alignment/>
    </xf>
    <xf numFmtId="0" fontId="4" fillId="0" borderId="0" xfId="0" applyFont="1" applyAlignment="1">
      <alignment/>
    </xf>
    <xf numFmtId="0" fontId="1" fillId="34" borderId="10" xfId="0" applyFont="1" applyFill="1" applyBorder="1" applyAlignment="1">
      <alignment horizontal="center" vertical="center" wrapText="1"/>
    </xf>
    <xf numFmtId="0" fontId="1" fillId="35" borderId="10" xfId="0" applyFont="1" applyFill="1" applyBorder="1" applyAlignment="1">
      <alignment/>
    </xf>
    <xf numFmtId="0" fontId="1" fillId="35" borderId="10" xfId="0" applyFont="1" applyFill="1" applyBorder="1" applyAlignment="1">
      <alignment horizontal="center"/>
    </xf>
    <xf numFmtId="1" fontId="0" fillId="0" borderId="10" xfId="0" applyNumberFormat="1" applyBorder="1" applyAlignment="1">
      <alignment/>
    </xf>
    <xf numFmtId="4" fontId="0" fillId="0" borderId="10" xfId="0" applyNumberFormat="1" applyBorder="1" applyAlignment="1">
      <alignment/>
    </xf>
    <xf numFmtId="203" fontId="0" fillId="0" borderId="10" xfId="28" applyNumberFormat="1" applyFont="1" applyBorder="1" applyAlignment="1">
      <alignment/>
    </xf>
    <xf numFmtId="171" fontId="0" fillId="0" borderId="10" xfId="28" applyFont="1" applyBorder="1" applyAlignment="1">
      <alignment/>
    </xf>
    <xf numFmtId="39" fontId="1" fillId="0" borderId="10" xfId="28" applyNumberFormat="1" applyFont="1" applyBorder="1" applyAlignment="1">
      <alignment/>
    </xf>
    <xf numFmtId="17" fontId="0" fillId="0" borderId="10" xfId="28" applyNumberFormat="1" applyFont="1" applyBorder="1" applyAlignment="1">
      <alignment horizontal="left" wrapText="1"/>
    </xf>
    <xf numFmtId="171" fontId="0" fillId="0" borderId="0" xfId="0" applyNumberFormat="1" applyAlignment="1">
      <alignment/>
    </xf>
    <xf numFmtId="204" fontId="0" fillId="0" borderId="10" xfId="0" applyNumberFormat="1" applyBorder="1" applyAlignment="1">
      <alignment/>
    </xf>
    <xf numFmtId="205" fontId="0" fillId="0" borderId="10" xfId="28" applyNumberFormat="1" applyFont="1" applyBorder="1" applyAlignment="1">
      <alignment horizontal="left" wrapText="1"/>
    </xf>
    <xf numFmtId="0" fontId="0" fillId="0" borderId="0" xfId="0" applyBorder="1" applyAlignment="1">
      <alignment horizontal="center"/>
    </xf>
    <xf numFmtId="203" fontId="0" fillId="0" borderId="0" xfId="0" applyNumberFormat="1" applyBorder="1" applyAlignment="1">
      <alignment/>
    </xf>
    <xf numFmtId="204" fontId="0" fillId="0" borderId="0" xfId="0" applyNumberFormat="1" applyBorder="1" applyAlignment="1">
      <alignment/>
    </xf>
    <xf numFmtId="203" fontId="0" fillId="0" borderId="0" xfId="28" applyNumberFormat="1" applyFont="1" applyBorder="1" applyAlignment="1">
      <alignment/>
    </xf>
    <xf numFmtId="171" fontId="0" fillId="0" borderId="0" xfId="28" applyFont="1" applyBorder="1" applyAlignment="1">
      <alignment/>
    </xf>
    <xf numFmtId="39" fontId="1" fillId="0" borderId="0" xfId="28" applyNumberFormat="1" applyFont="1" applyBorder="1" applyAlignment="1">
      <alignment/>
    </xf>
    <xf numFmtId="171" fontId="0" fillId="0" borderId="0" xfId="28" applyFont="1" applyBorder="1" applyAlignment="1">
      <alignment horizontal="left" wrapText="1"/>
    </xf>
    <xf numFmtId="0" fontId="119" fillId="0" borderId="0" xfId="0" applyFont="1" applyAlignment="1">
      <alignment/>
    </xf>
    <xf numFmtId="0" fontId="0" fillId="0" borderId="0" xfId="0" applyFont="1" applyAlignment="1">
      <alignment/>
    </xf>
    <xf numFmtId="0" fontId="0" fillId="0" borderId="11" xfId="0" applyBorder="1" applyAlignment="1">
      <alignment/>
    </xf>
    <xf numFmtId="0" fontId="0" fillId="0" borderId="12" xfId="0" applyBorder="1" applyAlignment="1">
      <alignment/>
    </xf>
    <xf numFmtId="0" fontId="123" fillId="0" borderId="0" xfId="0" applyFont="1" applyAlignment="1">
      <alignment/>
    </xf>
    <xf numFmtId="0" fontId="120" fillId="0" borderId="0" xfId="0" applyFont="1" applyAlignment="1">
      <alignment/>
    </xf>
    <xf numFmtId="198" fontId="120" fillId="0" borderId="0" xfId="0" applyNumberFormat="1" applyFont="1" applyAlignment="1">
      <alignment/>
    </xf>
    <xf numFmtId="0" fontId="0" fillId="0" borderId="13" xfId="0" applyBorder="1" applyAlignment="1">
      <alignment/>
    </xf>
    <xf numFmtId="0" fontId="0" fillId="0" borderId="14" xfId="0" applyBorder="1" applyAlignment="1">
      <alignment/>
    </xf>
    <xf numFmtId="0" fontId="0" fillId="0" borderId="15" xfId="0" applyBorder="1" applyAlignment="1">
      <alignment/>
    </xf>
    <xf numFmtId="0" fontId="120" fillId="0" borderId="15" xfId="0" applyFont="1" applyBorder="1" applyAlignment="1">
      <alignment/>
    </xf>
    <xf numFmtId="0" fontId="120" fillId="0" borderId="13" xfId="0" applyFont="1" applyBorder="1" applyAlignment="1">
      <alignment/>
    </xf>
    <xf numFmtId="0" fontId="120" fillId="0" borderId="14" xfId="0" applyFont="1" applyBorder="1" applyAlignment="1">
      <alignment/>
    </xf>
    <xf numFmtId="0" fontId="120" fillId="0" borderId="11" xfId="0" applyFont="1" applyBorder="1" applyAlignment="1">
      <alignment/>
    </xf>
    <xf numFmtId="0" fontId="120" fillId="0" borderId="0" xfId="0" applyFont="1" applyBorder="1" applyAlignment="1">
      <alignment/>
    </xf>
    <xf numFmtId="0" fontId="120" fillId="0" borderId="12" xfId="0" applyFont="1" applyBorder="1" applyAlignment="1">
      <alignment/>
    </xf>
    <xf numFmtId="0" fontId="120" fillId="0" borderId="16" xfId="0" applyFont="1" applyBorder="1" applyAlignment="1">
      <alignment/>
    </xf>
    <xf numFmtId="0" fontId="120" fillId="0" borderId="17" xfId="0" applyFont="1" applyBorder="1" applyAlignment="1">
      <alignment/>
    </xf>
    <xf numFmtId="0" fontId="120" fillId="0" borderId="18" xfId="0" applyFont="1" applyBorder="1" applyAlignment="1">
      <alignment/>
    </xf>
    <xf numFmtId="0" fontId="5" fillId="0" borderId="0" xfId="0" applyFont="1" applyAlignment="1">
      <alignment/>
    </xf>
    <xf numFmtId="0" fontId="0" fillId="0" borderId="11" xfId="0" applyBorder="1" applyAlignment="1">
      <alignment wrapText="1"/>
    </xf>
    <xf numFmtId="0" fontId="0" fillId="0" borderId="0" xfId="0" applyBorder="1" applyAlignment="1">
      <alignment wrapText="1"/>
    </xf>
    <xf numFmtId="0" fontId="0" fillId="0" borderId="12" xfId="0" applyBorder="1" applyAlignment="1">
      <alignment wrapText="1"/>
    </xf>
    <xf numFmtId="0" fontId="126" fillId="0" borderId="16" xfId="0" applyFont="1" applyFill="1" applyBorder="1" applyAlignment="1">
      <alignment/>
    </xf>
    <xf numFmtId="0" fontId="126" fillId="0" borderId="17" xfId="0" applyFont="1" applyFill="1" applyBorder="1" applyAlignment="1">
      <alignment/>
    </xf>
    <xf numFmtId="0" fontId="126" fillId="0" borderId="18" xfId="0" applyFont="1" applyFill="1" applyBorder="1" applyAlignment="1">
      <alignment/>
    </xf>
    <xf numFmtId="0" fontId="124" fillId="0" borderId="0" xfId="0" applyFont="1" applyAlignment="1">
      <alignment/>
    </xf>
    <xf numFmtId="0" fontId="104" fillId="0" borderId="10" xfId="0" applyFont="1" applyBorder="1" applyAlignment="1">
      <alignment horizontal="left" vertical="center" wrapText="1"/>
    </xf>
    <xf numFmtId="0" fontId="104" fillId="0" borderId="0" xfId="0" applyFont="1" applyAlignment="1">
      <alignment/>
    </xf>
    <xf numFmtId="0" fontId="110" fillId="0" borderId="0" xfId="0" applyFont="1" applyAlignment="1">
      <alignment/>
    </xf>
    <xf numFmtId="0" fontId="114" fillId="0" borderId="10" xfId="0" applyFont="1" applyFill="1" applyBorder="1" applyAlignment="1">
      <alignment horizontal="center" vertical="center" wrapText="1"/>
    </xf>
    <xf numFmtId="0" fontId="112" fillId="8" borderId="19" xfId="0" applyFont="1" applyFill="1" applyBorder="1" applyAlignment="1">
      <alignment horizontal="center" vertical="center" wrapText="1"/>
    </xf>
    <xf numFmtId="0" fontId="112" fillId="8" borderId="20" xfId="0" applyFont="1" applyFill="1" applyBorder="1" applyAlignment="1">
      <alignment horizontal="center" vertical="center"/>
    </xf>
    <xf numFmtId="0" fontId="112" fillId="8" borderId="21" xfId="0" applyFont="1" applyFill="1" applyBorder="1" applyAlignment="1">
      <alignment horizontal="left" vertical="center" wrapText="1"/>
    </xf>
    <xf numFmtId="0" fontId="112" fillId="8" borderId="22" xfId="0" applyFont="1" applyFill="1" applyBorder="1" applyAlignment="1">
      <alignment horizontal="center" vertical="center" wrapText="1"/>
    </xf>
    <xf numFmtId="0" fontId="114" fillId="0" borderId="10" xfId="0" applyFont="1" applyBorder="1" applyAlignment="1">
      <alignment/>
    </xf>
    <xf numFmtId="3" fontId="115" fillId="0" borderId="10" xfId="0" applyNumberFormat="1" applyFont="1" applyFill="1" applyBorder="1" applyAlignment="1">
      <alignment horizontal="center" vertical="center" shrinkToFit="1"/>
    </xf>
    <xf numFmtId="4" fontId="117" fillId="0" borderId="10" xfId="0" applyNumberFormat="1" applyFont="1" applyFill="1" applyBorder="1" applyAlignment="1">
      <alignment horizontal="center" vertical="center" shrinkToFit="1"/>
    </xf>
    <xf numFmtId="0" fontId="114" fillId="0" borderId="0" xfId="0" applyFont="1" applyAlignment="1">
      <alignment/>
    </xf>
    <xf numFmtId="4" fontId="114" fillId="0" borderId="0" xfId="0" applyNumberFormat="1" applyFont="1" applyAlignment="1">
      <alignment/>
    </xf>
    <xf numFmtId="0" fontId="113" fillId="0" borderId="0" xfId="0" applyFont="1" applyAlignment="1">
      <alignment/>
    </xf>
    <xf numFmtId="0" fontId="108" fillId="34" borderId="10" xfId="0" applyFont="1" applyFill="1" applyBorder="1" applyAlignment="1">
      <alignment horizontal="center" vertical="center"/>
    </xf>
    <xf numFmtId="0" fontId="118" fillId="0" borderId="10" xfId="0" applyFont="1" applyBorder="1" applyAlignment="1">
      <alignment horizontal="center"/>
    </xf>
    <xf numFmtId="0" fontId="118" fillId="0" borderId="11" xfId="0" applyFont="1" applyBorder="1" applyAlignment="1">
      <alignment horizontal="center" vertical="center" wrapText="1"/>
    </xf>
    <xf numFmtId="0" fontId="118" fillId="0" borderId="11" xfId="0" applyFont="1" applyBorder="1" applyAlignment="1">
      <alignment horizontal="center" vertical="center"/>
    </xf>
    <xf numFmtId="0" fontId="118" fillId="0" borderId="10" xfId="0" applyFont="1" applyBorder="1" applyAlignment="1">
      <alignment horizontal="center" vertical="center"/>
    </xf>
    <xf numFmtId="0" fontId="118" fillId="0" borderId="15" xfId="0" applyFont="1" applyBorder="1" applyAlignment="1">
      <alignment/>
    </xf>
    <xf numFmtId="0" fontId="118" fillId="0" borderId="13" xfId="0" applyFont="1" applyBorder="1" applyAlignment="1">
      <alignment/>
    </xf>
    <xf numFmtId="0" fontId="118" fillId="0" borderId="14" xfId="0" applyFont="1" applyBorder="1" applyAlignment="1">
      <alignment/>
    </xf>
    <xf numFmtId="0" fontId="118" fillId="0" borderId="16" xfId="0" applyFont="1" applyBorder="1" applyAlignment="1">
      <alignment/>
    </xf>
    <xf numFmtId="0" fontId="118" fillId="0" borderId="17" xfId="0" applyFont="1" applyBorder="1" applyAlignment="1">
      <alignment/>
    </xf>
    <xf numFmtId="0" fontId="118" fillId="0" borderId="18" xfId="0" applyFont="1" applyBorder="1" applyAlignment="1">
      <alignment/>
    </xf>
    <xf numFmtId="0" fontId="124" fillId="0" borderId="11" xfId="0" applyFont="1" applyBorder="1" applyAlignment="1">
      <alignment vertical="center"/>
    </xf>
    <xf numFmtId="0" fontId="124" fillId="0" borderId="0" xfId="0" applyFont="1" applyBorder="1" applyAlignment="1">
      <alignment vertical="center"/>
    </xf>
    <xf numFmtId="0" fontId="124" fillId="0" borderId="12" xfId="0" applyFont="1" applyBorder="1" applyAlignment="1">
      <alignment vertical="center"/>
    </xf>
    <xf numFmtId="0" fontId="114" fillId="0" borderId="11" xfId="0" applyFont="1" applyBorder="1" applyAlignment="1">
      <alignment/>
    </xf>
    <xf numFmtId="0" fontId="114" fillId="0" borderId="0" xfId="0" applyFont="1" applyBorder="1" applyAlignment="1">
      <alignment/>
    </xf>
    <xf numFmtId="0" fontId="114" fillId="0" borderId="12" xfId="0" applyFont="1" applyBorder="1" applyAlignment="1">
      <alignment/>
    </xf>
    <xf numFmtId="0" fontId="123" fillId="36" borderId="10" xfId="0" applyFont="1" applyFill="1" applyBorder="1" applyAlignment="1">
      <alignment horizontal="center" vertical="center" wrapText="1"/>
    </xf>
    <xf numFmtId="0" fontId="124" fillId="0" borderId="20" xfId="0" applyFont="1" applyBorder="1" applyAlignment="1">
      <alignment horizontal="center" vertical="center"/>
    </xf>
    <xf numFmtId="0" fontId="124" fillId="0" borderId="20" xfId="0" applyFont="1" applyBorder="1" applyAlignment="1">
      <alignment vertical="center"/>
    </xf>
    <xf numFmtId="0" fontId="124" fillId="0" borderId="23" xfId="0" applyFont="1" applyBorder="1" applyAlignment="1">
      <alignment horizontal="center" vertical="center"/>
    </xf>
    <xf numFmtId="2" fontId="124" fillId="0" borderId="23" xfId="0" applyNumberFormat="1" applyFont="1" applyFill="1" applyBorder="1" applyAlignment="1" applyProtection="1">
      <alignment horizontal="center" vertical="center" wrapText="1"/>
      <protection/>
    </xf>
    <xf numFmtId="0" fontId="123" fillId="0" borderId="23" xfId="0" applyFont="1" applyBorder="1" applyAlignment="1">
      <alignment horizontal="center" vertical="center"/>
    </xf>
    <xf numFmtId="4" fontId="124" fillId="0" borderId="23" xfId="0" applyNumberFormat="1" applyFont="1" applyFill="1" applyBorder="1" applyAlignment="1" applyProtection="1">
      <alignment horizontal="center" vertical="center" wrapText="1"/>
      <protection/>
    </xf>
    <xf numFmtId="4" fontId="123" fillId="0" borderId="23" xfId="0" applyNumberFormat="1" applyFont="1" applyFill="1" applyBorder="1" applyAlignment="1">
      <alignment horizontal="center" vertical="center" wrapText="1"/>
    </xf>
    <xf numFmtId="4" fontId="128" fillId="36" borderId="10" xfId="0" applyNumberFormat="1" applyFont="1" applyFill="1" applyBorder="1" applyAlignment="1">
      <alignment horizontal="center" vertical="center" wrapText="1"/>
    </xf>
    <xf numFmtId="0" fontId="128" fillId="0" borderId="24" xfId="0" applyFont="1" applyFill="1" applyBorder="1" applyAlignment="1">
      <alignment horizontal="left" vertical="center" wrapText="1"/>
    </xf>
    <xf numFmtId="0" fontId="128" fillId="0" borderId="25" xfId="0" applyFont="1" applyFill="1" applyBorder="1" applyAlignment="1">
      <alignment horizontal="left" vertical="center" wrapText="1"/>
    </xf>
    <xf numFmtId="0" fontId="128" fillId="0" borderId="25" xfId="0" applyFont="1" applyFill="1" applyBorder="1" applyAlignment="1">
      <alignment vertical="center" wrapText="1"/>
    </xf>
    <xf numFmtId="0" fontId="124" fillId="0" borderId="11" xfId="0" applyFont="1" applyBorder="1" applyAlignment="1">
      <alignment/>
    </xf>
    <xf numFmtId="0" fontId="124" fillId="0" borderId="0" xfId="0" applyFont="1" applyBorder="1" applyAlignment="1">
      <alignment/>
    </xf>
    <xf numFmtId="0" fontId="104" fillId="0" borderId="0" xfId="0" applyFont="1" applyBorder="1" applyAlignment="1">
      <alignment/>
    </xf>
    <xf numFmtId="0" fontId="104" fillId="0" borderId="12" xfId="0" applyFont="1" applyBorder="1" applyAlignment="1">
      <alignment/>
    </xf>
    <xf numFmtId="0" fontId="121" fillId="0" borderId="15" xfId="0" applyFont="1" applyFill="1" applyBorder="1" applyAlignment="1">
      <alignment vertical="center"/>
    </xf>
    <xf numFmtId="0" fontId="121" fillId="0" borderId="13" xfId="0" applyFont="1" applyFill="1" applyBorder="1" applyAlignment="1">
      <alignment vertical="center"/>
    </xf>
    <xf numFmtId="0" fontId="121" fillId="0" borderId="14" xfId="0" applyFont="1" applyFill="1" applyBorder="1" applyAlignment="1">
      <alignment vertical="center"/>
    </xf>
    <xf numFmtId="0" fontId="121" fillId="0" borderId="11" xfId="0" applyFont="1" applyFill="1" applyBorder="1" applyAlignment="1">
      <alignment vertical="center"/>
    </xf>
    <xf numFmtId="0" fontId="121" fillId="0" borderId="0" xfId="0" applyFont="1" applyFill="1" applyBorder="1" applyAlignment="1">
      <alignment vertical="center"/>
    </xf>
    <xf numFmtId="0" fontId="121" fillId="0" borderId="0" xfId="0" applyFont="1" applyFill="1" applyBorder="1" applyAlignment="1">
      <alignment vertical="center" wrapText="1"/>
    </xf>
    <xf numFmtId="0" fontId="115" fillId="0" borderId="10" xfId="0" applyNumberFormat="1" applyFont="1" applyFill="1" applyBorder="1" applyAlignment="1">
      <alignment horizontal="center" vertical="center" shrinkToFit="1"/>
    </xf>
    <xf numFmtId="4" fontId="123" fillId="0" borderId="0" xfId="0" applyNumberFormat="1" applyFont="1" applyAlignment="1">
      <alignment/>
    </xf>
    <xf numFmtId="0" fontId="110" fillId="8" borderId="10" xfId="0" applyFont="1" applyFill="1" applyBorder="1" applyAlignment="1">
      <alignment horizontal="left" vertical="top"/>
    </xf>
    <xf numFmtId="0" fontId="110" fillId="8" borderId="10" xfId="0" applyFont="1" applyFill="1" applyBorder="1" applyAlignment="1">
      <alignment horizontal="left" vertical="top" wrapText="1"/>
    </xf>
    <xf numFmtId="0" fontId="111" fillId="0" borderId="0" xfId="0" applyFont="1" applyBorder="1" applyAlignment="1">
      <alignment horizontal="center" vertical="center"/>
    </xf>
    <xf numFmtId="2" fontId="104" fillId="0" borderId="10" xfId="0" applyNumberFormat="1" applyFont="1" applyBorder="1" applyAlignment="1">
      <alignment horizontal="left" vertical="center"/>
    </xf>
    <xf numFmtId="4" fontId="115" fillId="0" borderId="26" xfId="0" applyNumberFormat="1" applyFont="1" applyFill="1" applyBorder="1" applyAlignment="1">
      <alignment horizontal="center" vertical="center" shrinkToFit="1"/>
    </xf>
    <xf numFmtId="4" fontId="115" fillId="37" borderId="26" xfId="0" applyNumberFormat="1" applyFont="1" applyFill="1" applyBorder="1" applyAlignment="1">
      <alignment horizontal="center" vertical="center" shrinkToFit="1"/>
    </xf>
    <xf numFmtId="4" fontId="115" fillId="0" borderId="19" xfId="0" applyNumberFormat="1" applyFont="1" applyFill="1" applyBorder="1" applyAlignment="1">
      <alignment horizontal="center" vertical="center" shrinkToFit="1"/>
    </xf>
    <xf numFmtId="0" fontId="3" fillId="0" borderId="11" xfId="0" applyFont="1" applyBorder="1" applyAlignment="1">
      <alignment horizontal="center"/>
    </xf>
    <xf numFmtId="0" fontId="3" fillId="0" borderId="0" xfId="0" applyFont="1" applyBorder="1" applyAlignment="1">
      <alignment horizontal="center"/>
    </xf>
    <xf numFmtId="0" fontId="3" fillId="0" borderId="12" xfId="0" applyFont="1" applyBorder="1" applyAlignment="1">
      <alignment horizontal="center"/>
    </xf>
    <xf numFmtId="0" fontId="3" fillId="0" borderId="16" xfId="0" applyFont="1" applyBorder="1" applyAlignment="1">
      <alignment horizontal="center"/>
    </xf>
    <xf numFmtId="0" fontId="3" fillId="0" borderId="17" xfId="0" applyFont="1" applyBorder="1" applyAlignment="1">
      <alignment horizontal="center"/>
    </xf>
    <xf numFmtId="0" fontId="108" fillId="0" borderId="25" xfId="0" applyFont="1" applyFill="1" applyBorder="1" applyAlignment="1">
      <alignment horizontal="left" vertical="center" wrapText="1"/>
    </xf>
    <xf numFmtId="0" fontId="108" fillId="0" borderId="27" xfId="0" applyFont="1" applyFill="1" applyBorder="1" applyAlignment="1">
      <alignment horizontal="left" vertical="center" wrapText="1"/>
    </xf>
    <xf numFmtId="0" fontId="104" fillId="0" borderId="11" xfId="0" applyFont="1" applyBorder="1" applyAlignment="1">
      <alignment horizontal="left" vertical="center"/>
    </xf>
    <xf numFmtId="0" fontId="104" fillId="0" borderId="0" xfId="0" applyFont="1" applyBorder="1" applyAlignment="1">
      <alignment horizontal="left" vertical="center"/>
    </xf>
    <xf numFmtId="0" fontId="3" fillId="0" borderId="15" xfId="0" applyFont="1" applyBorder="1" applyAlignment="1">
      <alignment horizontal="center"/>
    </xf>
    <xf numFmtId="0" fontId="3" fillId="0" borderId="13" xfId="0" applyFont="1" applyBorder="1" applyAlignment="1">
      <alignment horizontal="center"/>
    </xf>
    <xf numFmtId="0" fontId="3" fillId="0" borderId="14" xfId="0" applyFont="1" applyBorder="1" applyAlignment="1">
      <alignment horizontal="center"/>
    </xf>
    <xf numFmtId="0" fontId="128" fillId="0" borderId="17" xfId="0" applyFont="1" applyBorder="1" applyAlignment="1">
      <alignment vertical="center"/>
    </xf>
    <xf numFmtId="2" fontId="119" fillId="0" borderId="17" xfId="0" applyNumberFormat="1" applyFont="1" applyBorder="1" applyAlignment="1">
      <alignment vertical="center"/>
    </xf>
    <xf numFmtId="2" fontId="119" fillId="0" borderId="18" xfId="0" applyNumberFormat="1" applyFont="1" applyBorder="1" applyAlignment="1">
      <alignment vertical="center"/>
    </xf>
    <xf numFmtId="0" fontId="104" fillId="0" borderId="10" xfId="0" applyFont="1" applyBorder="1" applyAlignment="1">
      <alignment horizontal="left" vertical="center"/>
    </xf>
    <xf numFmtId="0" fontId="104" fillId="0" borderId="20" xfId="0" applyFont="1" applyBorder="1" applyAlignment="1">
      <alignment horizontal="left" vertical="center"/>
    </xf>
    <xf numFmtId="0" fontId="104" fillId="0" borderId="20" xfId="0" applyFont="1" applyBorder="1" applyAlignment="1">
      <alignment horizontal="left" vertical="center" wrapText="1"/>
    </xf>
    <xf numFmtId="2" fontId="104" fillId="0" borderId="20" xfId="0" applyNumberFormat="1" applyFont="1" applyBorder="1" applyAlignment="1">
      <alignment horizontal="left" vertical="center"/>
    </xf>
    <xf numFmtId="4" fontId="104" fillId="0" borderId="20" xfId="0" applyNumberFormat="1" applyFont="1" applyBorder="1" applyAlignment="1">
      <alignment horizontal="left" vertical="center"/>
    </xf>
    <xf numFmtId="4" fontId="104" fillId="0" borderId="20" xfId="0" applyNumberFormat="1" applyFont="1" applyBorder="1" applyAlignment="1">
      <alignment horizontal="center" vertical="center"/>
    </xf>
    <xf numFmtId="4" fontId="104" fillId="0" borderId="10" xfId="0" applyNumberFormat="1" applyFont="1" applyBorder="1" applyAlignment="1">
      <alignment horizontal="left" vertical="center"/>
    </xf>
    <xf numFmtId="4" fontId="104" fillId="0" borderId="10" xfId="0" applyNumberFormat="1" applyFont="1" applyBorder="1" applyAlignment="1">
      <alignment horizontal="center" vertical="center"/>
    </xf>
    <xf numFmtId="0" fontId="128" fillId="0" borderId="0" xfId="0" applyFont="1" applyBorder="1" applyAlignment="1">
      <alignment horizontal="left" vertical="center"/>
    </xf>
    <xf numFmtId="0" fontId="128" fillId="0" borderId="25" xfId="0" applyFont="1" applyBorder="1" applyAlignment="1">
      <alignment horizontal="left" vertical="center"/>
    </xf>
    <xf numFmtId="0" fontId="124" fillId="0" borderId="11" xfId="0" applyFont="1" applyBorder="1" applyAlignment="1">
      <alignment horizontal="left" vertical="center"/>
    </xf>
    <xf numFmtId="0" fontId="124" fillId="0" borderId="0" xfId="0" applyFont="1" applyBorder="1" applyAlignment="1">
      <alignment horizontal="left" vertical="center"/>
    </xf>
    <xf numFmtId="0" fontId="124" fillId="0" borderId="12" xfId="0" applyFont="1" applyBorder="1" applyAlignment="1">
      <alignment horizontal="left" vertical="center"/>
    </xf>
    <xf numFmtId="0" fontId="128" fillId="0" borderId="11" xfId="0" applyFont="1" applyBorder="1" applyAlignment="1">
      <alignment horizontal="left" vertical="center"/>
    </xf>
    <xf numFmtId="0" fontId="128" fillId="0" borderId="12" xfId="0" applyFont="1" applyBorder="1" applyAlignment="1">
      <alignment horizontal="left" vertical="center"/>
    </xf>
    <xf numFmtId="0" fontId="0" fillId="0" borderId="10" xfId="0" applyFont="1" applyBorder="1" applyAlignment="1">
      <alignment horizontal="right"/>
    </xf>
    <xf numFmtId="0" fontId="0" fillId="0" borderId="10" xfId="0" applyFont="1" applyBorder="1" applyAlignment="1">
      <alignment/>
    </xf>
    <xf numFmtId="0" fontId="0" fillId="0" borderId="10" xfId="0" applyBorder="1" applyAlignment="1">
      <alignment/>
    </xf>
    <xf numFmtId="0" fontId="1" fillId="38" borderId="10" xfId="0" applyFont="1" applyFill="1" applyBorder="1" applyAlignment="1">
      <alignment/>
    </xf>
    <xf numFmtId="0" fontId="0" fillId="39" borderId="10" xfId="0" applyFill="1" applyBorder="1" applyAlignment="1">
      <alignment/>
    </xf>
    <xf numFmtId="0" fontId="1" fillId="0" borderId="10" xfId="0" applyFont="1" applyBorder="1" applyAlignment="1">
      <alignment/>
    </xf>
    <xf numFmtId="4" fontId="115" fillId="0" borderId="10" xfId="0" applyNumberFormat="1" applyFont="1" applyFill="1" applyBorder="1" applyAlignment="1">
      <alignment horizontal="center" vertical="center" shrinkToFit="1"/>
    </xf>
    <xf numFmtId="0" fontId="123" fillId="0" borderId="11" xfId="0" applyFont="1" applyFill="1" applyBorder="1" applyAlignment="1">
      <alignment horizontal="left" vertical="center" wrapText="1"/>
    </xf>
    <xf numFmtId="0" fontId="123" fillId="0" borderId="0" xfId="0" applyFont="1" applyFill="1" applyBorder="1" applyAlignment="1">
      <alignment horizontal="left" vertical="center" wrapText="1"/>
    </xf>
    <xf numFmtId="0" fontId="123" fillId="0" borderId="12" xfId="0" applyFont="1" applyFill="1" applyBorder="1" applyAlignment="1">
      <alignment horizontal="left" vertical="center" wrapText="1"/>
    </xf>
    <xf numFmtId="49" fontId="124" fillId="0" borderId="16" xfId="0" applyNumberFormat="1" applyFont="1" applyBorder="1" applyAlignment="1" quotePrefix="1">
      <alignment horizontal="left" vertical="center"/>
    </xf>
    <xf numFmtId="0" fontId="124" fillId="0" borderId="17" xfId="0" applyFont="1" applyBorder="1" applyAlignment="1">
      <alignment horizontal="left" vertical="center"/>
    </xf>
    <xf numFmtId="0" fontId="124" fillId="0" borderId="18" xfId="0" applyFont="1" applyBorder="1" applyAlignment="1">
      <alignment horizontal="left" vertical="center"/>
    </xf>
    <xf numFmtId="2" fontId="123" fillId="0" borderId="23" xfId="0" applyNumberFormat="1" applyFont="1" applyFill="1" applyBorder="1" applyAlignment="1">
      <alignment horizontal="center" vertical="center" wrapText="1"/>
    </xf>
    <xf numFmtId="0" fontId="123" fillId="0" borderId="23" xfId="0" applyFont="1" applyBorder="1" applyAlignment="1">
      <alignment vertical="center"/>
    </xf>
    <xf numFmtId="0" fontId="123" fillId="0" borderId="15" xfId="0" applyFont="1" applyFill="1" applyBorder="1" applyAlignment="1">
      <alignment vertical="center"/>
    </xf>
    <xf numFmtId="0" fontId="123" fillId="0" borderId="13" xfId="0" applyFont="1" applyFill="1" applyBorder="1" applyAlignment="1">
      <alignment vertical="center"/>
    </xf>
    <xf numFmtId="0" fontId="123" fillId="0" borderId="14" xfId="0" applyFont="1" applyFill="1" applyBorder="1" applyAlignment="1">
      <alignment vertical="center"/>
    </xf>
    <xf numFmtId="0" fontId="123" fillId="0" borderId="11" xfId="0" applyFont="1" applyFill="1" applyBorder="1" applyAlignment="1">
      <alignment vertical="center"/>
    </xf>
    <xf numFmtId="0" fontId="123" fillId="0" borderId="0" xfId="0" applyFont="1" applyFill="1" applyBorder="1" applyAlignment="1">
      <alignment vertical="center"/>
    </xf>
    <xf numFmtId="0" fontId="123" fillId="0" borderId="0" xfId="0" applyFont="1" applyFill="1" applyBorder="1" applyAlignment="1">
      <alignment vertical="center" wrapText="1"/>
    </xf>
    <xf numFmtId="2" fontId="128" fillId="0" borderId="25" xfId="0" applyNumberFormat="1" applyFont="1" applyBorder="1" applyAlignment="1">
      <alignment horizontal="center" vertical="center"/>
    </xf>
    <xf numFmtId="2" fontId="128" fillId="0" borderId="27" xfId="0" applyNumberFormat="1" applyFont="1" applyBorder="1" applyAlignment="1">
      <alignment horizontal="center" vertical="center"/>
    </xf>
    <xf numFmtId="0" fontId="124" fillId="0" borderId="16" xfId="0" applyFont="1" applyBorder="1" applyAlignment="1">
      <alignment/>
    </xf>
    <xf numFmtId="0" fontId="124" fillId="0" borderId="17" xfId="0" applyFont="1" applyBorder="1" applyAlignment="1">
      <alignment/>
    </xf>
    <xf numFmtId="0" fontId="112" fillId="0" borderId="27" xfId="0" applyFont="1" applyFill="1" applyBorder="1" applyAlignment="1">
      <alignment horizontal="center" vertical="center" wrapText="1"/>
    </xf>
    <xf numFmtId="1" fontId="115" fillId="0" borderId="24" xfId="0" applyNumberFormat="1" applyFont="1" applyFill="1" applyBorder="1" applyAlignment="1">
      <alignment horizontal="center" vertical="top" shrinkToFit="1"/>
    </xf>
    <xf numFmtId="0" fontId="114" fillId="0" borderId="28" xfId="0" applyFont="1" applyFill="1" applyBorder="1" applyAlignment="1">
      <alignment horizontal="center" vertical="center" wrapText="1"/>
    </xf>
    <xf numFmtId="0" fontId="114" fillId="0" borderId="29" xfId="0" applyFont="1" applyFill="1" applyBorder="1" applyAlignment="1">
      <alignment horizontal="center" vertical="center" wrapText="1"/>
    </xf>
    <xf numFmtId="4" fontId="110" fillId="8" borderId="30" xfId="0" applyNumberFormat="1" applyFont="1" applyFill="1" applyBorder="1" applyAlignment="1">
      <alignment horizontal="center" vertical="center"/>
    </xf>
    <xf numFmtId="0" fontId="143" fillId="8" borderId="31" xfId="0" applyFont="1" applyFill="1" applyBorder="1" applyAlignment="1">
      <alignment horizontal="left" vertical="center" wrapText="1"/>
    </xf>
    <xf numFmtId="0" fontId="124" fillId="0" borderId="10" xfId="0" applyFont="1" applyBorder="1" applyAlignment="1">
      <alignment horizontal="left" vertical="top" wrapText="1"/>
    </xf>
    <xf numFmtId="0" fontId="124" fillId="0" borderId="10" xfId="0" applyFont="1" applyBorder="1" applyAlignment="1">
      <alignment vertical="top" wrapText="1"/>
    </xf>
    <xf numFmtId="0" fontId="114" fillId="0" borderId="27" xfId="0" applyFont="1" applyFill="1" applyBorder="1" applyAlignment="1">
      <alignment horizontal="center" vertical="center" wrapText="1"/>
    </xf>
    <xf numFmtId="4" fontId="117" fillId="34" borderId="10" xfId="0" applyNumberFormat="1" applyFont="1" applyFill="1" applyBorder="1" applyAlignment="1">
      <alignment horizontal="center" vertical="center" shrinkToFit="1"/>
    </xf>
    <xf numFmtId="0" fontId="112" fillId="34" borderId="23" xfId="0" applyFont="1" applyFill="1" applyBorder="1" applyAlignment="1">
      <alignment horizontal="center" vertical="center"/>
    </xf>
    <xf numFmtId="0" fontId="112" fillId="34" borderId="0" xfId="0" applyFont="1" applyFill="1" applyBorder="1" applyAlignment="1">
      <alignment horizontal="left" vertical="top" wrapText="1"/>
    </xf>
    <xf numFmtId="0" fontId="143" fillId="34" borderId="10" xfId="0" applyFont="1" applyFill="1" applyBorder="1" applyAlignment="1">
      <alignment vertical="center" wrapText="1"/>
    </xf>
    <xf numFmtId="0" fontId="112" fillId="34" borderId="21" xfId="0" applyFont="1" applyFill="1" applyBorder="1" applyAlignment="1">
      <alignment horizontal="center" vertical="center" wrapText="1"/>
    </xf>
    <xf numFmtId="0" fontId="112" fillId="34" borderId="31" xfId="0" applyFont="1" applyFill="1" applyBorder="1" applyAlignment="1">
      <alignment horizontal="center" vertical="center" wrapText="1"/>
    </xf>
    <xf numFmtId="0" fontId="142" fillId="0" borderId="0" xfId="0" applyFont="1" applyAlignment="1">
      <alignment/>
    </xf>
    <xf numFmtId="0" fontId="0" fillId="0" borderId="0" xfId="0" applyAlignment="1">
      <alignment vertical="top" wrapText="1"/>
    </xf>
    <xf numFmtId="0" fontId="0" fillId="0" borderId="0" xfId="0" applyAlignment="1">
      <alignment horizontal="center"/>
    </xf>
    <xf numFmtId="0" fontId="17" fillId="0" borderId="0" xfId="0" applyFont="1" applyAlignment="1">
      <alignment vertical="top"/>
    </xf>
    <xf numFmtId="0" fontId="8" fillId="0" borderId="0" xfId="0" applyFont="1" applyAlignment="1">
      <alignment vertical="top"/>
    </xf>
    <xf numFmtId="0" fontId="0" fillId="0" borderId="0" xfId="0" applyAlignment="1">
      <alignment vertical="top"/>
    </xf>
    <xf numFmtId="0" fontId="121" fillId="0" borderId="0" xfId="0" applyFont="1" applyAlignment="1">
      <alignment vertical="top"/>
    </xf>
    <xf numFmtId="0" fontId="121" fillId="0" borderId="0" xfId="0" applyFont="1" applyAlignment="1">
      <alignment vertical="center"/>
    </xf>
    <xf numFmtId="0" fontId="103" fillId="0" borderId="0" xfId="0" applyFont="1" applyAlignment="1">
      <alignment vertical="center"/>
    </xf>
    <xf numFmtId="0" fontId="108" fillId="0" borderId="0" xfId="0" applyFont="1" applyAlignment="1">
      <alignment vertical="center"/>
    </xf>
    <xf numFmtId="4" fontId="108" fillId="0" borderId="0" xfId="0" applyNumberFormat="1" applyFont="1" applyAlignment="1">
      <alignment vertical="center"/>
    </xf>
    <xf numFmtId="222" fontId="1" fillId="0" borderId="0" xfId="0" applyNumberFormat="1" applyFont="1" applyAlignment="1">
      <alignment horizontal="left"/>
    </xf>
    <xf numFmtId="0" fontId="9" fillId="0" borderId="0" xfId="0" applyFont="1" applyAlignment="1">
      <alignment wrapText="1"/>
    </xf>
    <xf numFmtId="0" fontId="8" fillId="0" borderId="0" xfId="0" applyFont="1" applyAlignment="1">
      <alignment vertical="top" wrapText="1"/>
    </xf>
    <xf numFmtId="222" fontId="0" fillId="0" borderId="0" xfId="0" applyNumberFormat="1" applyAlignment="1">
      <alignment horizontal="left" vertical="top" wrapText="1"/>
    </xf>
    <xf numFmtId="0" fontId="103" fillId="0" borderId="0" xfId="0" applyFont="1" applyAlignment="1">
      <alignment/>
    </xf>
    <xf numFmtId="0" fontId="141" fillId="0" borderId="0" xfId="0" applyFont="1" applyAlignment="1">
      <alignment/>
    </xf>
    <xf numFmtId="215" fontId="141" fillId="0" borderId="0" xfId="0" applyNumberFormat="1" applyFont="1" applyAlignment="1">
      <alignment/>
    </xf>
    <xf numFmtId="0" fontId="121" fillId="0" borderId="0" xfId="0" applyFont="1" applyAlignment="1">
      <alignment/>
    </xf>
    <xf numFmtId="0" fontId="24" fillId="0" borderId="0" xfId="0" applyFont="1" applyAlignment="1">
      <alignment vertical="center"/>
    </xf>
    <xf numFmtId="0" fontId="102" fillId="0" borderId="0" xfId="0" applyFont="1" applyAlignment="1">
      <alignment vertical="center"/>
    </xf>
    <xf numFmtId="0" fontId="24" fillId="0" borderId="0" xfId="0" applyFont="1" applyAlignment="1">
      <alignment vertical="center" wrapText="1"/>
    </xf>
    <xf numFmtId="0" fontId="140" fillId="0" borderId="0" xfId="39" applyAlignment="1">
      <alignment/>
    </xf>
    <xf numFmtId="0" fontId="139" fillId="0" borderId="0" xfId="0" applyFont="1" applyAlignment="1">
      <alignment/>
    </xf>
    <xf numFmtId="0" fontId="25" fillId="0" borderId="0" xfId="0" applyFont="1" applyAlignment="1">
      <alignment/>
    </xf>
    <xf numFmtId="49" fontId="0" fillId="0" borderId="0" xfId="0" applyNumberFormat="1" applyFont="1" applyAlignment="1">
      <alignment/>
    </xf>
    <xf numFmtId="14" fontId="0" fillId="0" borderId="0" xfId="0" applyNumberFormat="1" applyAlignment="1">
      <alignment/>
    </xf>
    <xf numFmtId="0" fontId="108" fillId="0" borderId="0" xfId="0" applyFont="1" applyAlignment="1">
      <alignment horizontal="left" vertical="center"/>
    </xf>
    <xf numFmtId="4" fontId="108" fillId="0" borderId="0" xfId="0" applyNumberFormat="1" applyFont="1" applyAlignment="1">
      <alignment horizontal="left" vertical="center"/>
    </xf>
    <xf numFmtId="0" fontId="1" fillId="0" borderId="0" xfId="0" applyFont="1" applyAlignment="1">
      <alignment/>
    </xf>
    <xf numFmtId="4" fontId="0" fillId="0" borderId="0" xfId="0" applyNumberFormat="1" applyFont="1" applyAlignment="1">
      <alignment/>
    </xf>
    <xf numFmtId="215" fontId="0" fillId="0" borderId="0" xfId="0" applyNumberFormat="1" applyAlignment="1">
      <alignment/>
    </xf>
    <xf numFmtId="4" fontId="0" fillId="0" borderId="0" xfId="0" applyNumberFormat="1" applyAlignment="1">
      <alignment/>
    </xf>
    <xf numFmtId="0" fontId="138" fillId="0" borderId="0" xfId="0" applyFont="1" applyAlignment="1">
      <alignment/>
    </xf>
    <xf numFmtId="0" fontId="107" fillId="0" borderId="0" xfId="0" applyFont="1" applyAlignment="1">
      <alignment horizontal="center" vertical="center" wrapText="1"/>
    </xf>
    <xf numFmtId="0" fontId="107" fillId="0" borderId="0" xfId="0" applyFont="1" applyAlignment="1">
      <alignment horizontal="center" vertical="center"/>
    </xf>
    <xf numFmtId="0" fontId="0" fillId="0" borderId="0" xfId="0" applyAlignment="1">
      <alignment horizontal="center" vertical="center"/>
    </xf>
    <xf numFmtId="0" fontId="108" fillId="0" borderId="0" xfId="0" applyFont="1" applyAlignment="1">
      <alignment horizontal="center" vertical="center"/>
    </xf>
    <xf numFmtId="0" fontId="0" fillId="0" borderId="0" xfId="0" applyAlignment="1">
      <alignment vertical="center"/>
    </xf>
    <xf numFmtId="0" fontId="108" fillId="0" borderId="0" xfId="0" applyFont="1" applyAlignment="1" quotePrefix="1">
      <alignment horizontal="center" vertical="center"/>
    </xf>
    <xf numFmtId="0" fontId="108" fillId="0" borderId="0" xfId="0" applyFont="1" applyAlignment="1">
      <alignment vertical="top" wrapText="1"/>
    </xf>
    <xf numFmtId="0" fontId="108" fillId="0" borderId="0" xfId="0" applyFont="1" applyAlignment="1">
      <alignment horizontal="left" vertical="top" wrapText="1"/>
    </xf>
    <xf numFmtId="0" fontId="108" fillId="0" borderId="0" xfId="0" applyFont="1" applyAlignment="1">
      <alignment horizontal="left"/>
    </xf>
    <xf numFmtId="0" fontId="108" fillId="0" borderId="0" xfId="0" applyFont="1" applyAlignment="1">
      <alignment/>
    </xf>
    <xf numFmtId="222" fontId="108" fillId="0" borderId="0" xfId="0" applyNumberFormat="1" applyFont="1" applyAlignment="1">
      <alignment/>
    </xf>
    <xf numFmtId="222" fontId="108" fillId="0" borderId="0" xfId="0" applyNumberFormat="1" applyFont="1" applyAlignment="1">
      <alignment horizontal="left"/>
    </xf>
    <xf numFmtId="0" fontId="108" fillId="0" borderId="0" xfId="0" applyFont="1" applyAlignment="1">
      <alignment horizontal="left" vertical="top"/>
    </xf>
    <xf numFmtId="0" fontId="108" fillId="0" borderId="0" xfId="0" applyFont="1" applyAlignment="1">
      <alignment vertical="top"/>
    </xf>
    <xf numFmtId="0" fontId="107" fillId="0" borderId="0" xfId="0" applyFont="1" applyAlignment="1">
      <alignment vertical="top"/>
    </xf>
    <xf numFmtId="0" fontId="107" fillId="0" borderId="0" xfId="0" applyFont="1" applyAlignment="1">
      <alignment vertical="center"/>
    </xf>
    <xf numFmtId="0" fontId="128" fillId="0" borderId="0" xfId="0" applyFont="1" applyAlignment="1">
      <alignment vertical="center"/>
    </xf>
    <xf numFmtId="0" fontId="107" fillId="40" borderId="32" xfId="0" applyFont="1" applyFill="1" applyBorder="1" applyAlignment="1">
      <alignment horizontal="center" vertical="center"/>
    </xf>
    <xf numFmtId="0" fontId="107" fillId="0" borderId="0" xfId="0" applyFont="1" applyAlignment="1">
      <alignment horizontal="left" vertical="center" wrapText="1"/>
    </xf>
    <xf numFmtId="2" fontId="107" fillId="0" borderId="0" xfId="0" applyNumberFormat="1" applyFont="1" applyAlignment="1">
      <alignment horizontal="center" vertical="center"/>
    </xf>
    <xf numFmtId="1" fontId="107" fillId="0" borderId="0" xfId="0" applyNumberFormat="1" applyFont="1" applyAlignment="1">
      <alignment horizontal="center" vertical="center"/>
    </xf>
    <xf numFmtId="1" fontId="0" fillId="0" borderId="0" xfId="0" applyNumberFormat="1" applyAlignment="1">
      <alignment/>
    </xf>
    <xf numFmtId="0" fontId="126" fillId="0" borderId="0" xfId="0" applyFont="1" applyAlignment="1">
      <alignment/>
    </xf>
    <xf numFmtId="3" fontId="0" fillId="0" borderId="0" xfId="0" applyNumberFormat="1" applyFont="1" applyAlignment="1">
      <alignment/>
    </xf>
    <xf numFmtId="0" fontId="108" fillId="0" borderId="0" xfId="0" applyFont="1" applyAlignment="1">
      <alignment horizontal="left" vertical="top" wrapText="1"/>
    </xf>
    <xf numFmtId="0" fontId="108" fillId="0" borderId="0" xfId="0" applyFont="1" applyAlignment="1">
      <alignment horizontal="left" vertical="top"/>
    </xf>
    <xf numFmtId="0" fontId="107" fillId="0" borderId="0" xfId="0" applyFont="1" applyAlignment="1">
      <alignment horizontal="center" vertical="center"/>
    </xf>
    <xf numFmtId="0" fontId="8" fillId="0" borderId="0" xfId="0" applyFont="1" applyAlignment="1">
      <alignment wrapText="1"/>
    </xf>
    <xf numFmtId="222" fontId="0" fillId="0" borderId="0" xfId="0" applyNumberFormat="1" applyAlignment="1">
      <alignment horizontal="left" wrapText="1"/>
    </xf>
    <xf numFmtId="0" fontId="0" fillId="0" borderId="0" xfId="0" applyAlignment="1">
      <alignment wrapText="1"/>
    </xf>
    <xf numFmtId="0" fontId="0" fillId="0" borderId="0" xfId="0" applyAlignment="1">
      <alignment/>
    </xf>
    <xf numFmtId="226" fontId="0" fillId="0" borderId="0" xfId="0" applyNumberFormat="1" applyAlignment="1">
      <alignment/>
    </xf>
    <xf numFmtId="203" fontId="1" fillId="0" borderId="0" xfId="0" applyNumberFormat="1" applyFont="1" applyAlignment="1">
      <alignment horizontal="left"/>
    </xf>
    <xf numFmtId="0" fontId="107" fillId="0" borderId="0" xfId="0" applyFont="1" applyAlignment="1">
      <alignment horizontal="center" vertical="center"/>
    </xf>
    <xf numFmtId="0" fontId="27" fillId="0" borderId="0" xfId="0" applyFont="1" applyAlignment="1">
      <alignment/>
    </xf>
    <xf numFmtId="0" fontId="27" fillId="0" borderId="0" xfId="0" applyFont="1" applyAlignment="1">
      <alignment horizontal="left"/>
    </xf>
    <xf numFmtId="0" fontId="107" fillId="40" borderId="10" xfId="0" applyFont="1" applyFill="1" applyBorder="1" applyAlignment="1">
      <alignment horizontal="center" vertical="center" textRotation="90" wrapText="1"/>
    </xf>
    <xf numFmtId="0" fontId="107" fillId="40" borderId="10" xfId="0" applyFont="1" applyFill="1" applyBorder="1" applyAlignment="1">
      <alignment horizontal="center" vertical="center" wrapText="1"/>
    </xf>
    <xf numFmtId="0" fontId="107" fillId="40" borderId="10" xfId="0" applyFont="1" applyFill="1" applyBorder="1" applyAlignment="1">
      <alignment horizontal="center" vertical="center"/>
    </xf>
    <xf numFmtId="0" fontId="107" fillId="40" borderId="27" xfId="0" applyFont="1" applyFill="1" applyBorder="1" applyAlignment="1">
      <alignment horizontal="center" vertical="center"/>
    </xf>
    <xf numFmtId="0" fontId="107" fillId="40" borderId="24" xfId="0" applyFont="1" applyFill="1" applyBorder="1" applyAlignment="1">
      <alignment horizontal="center" vertical="center"/>
    </xf>
    <xf numFmtId="0" fontId="27" fillId="0" borderId="0" xfId="0" applyFont="1" applyAlignment="1">
      <alignment horizontal="center" vertical="center"/>
    </xf>
    <xf numFmtId="0" fontId="126" fillId="0" borderId="10" xfId="0" applyFont="1" applyBorder="1" applyAlignment="1">
      <alignment horizontal="center" vertical="center"/>
    </xf>
    <xf numFmtId="49" fontId="137" fillId="41" borderId="10" xfId="45" applyNumberFormat="1" applyFont="1" applyFill="1" applyBorder="1" applyProtection="1">
      <alignment vertical="center" wrapText="1"/>
      <protection locked="0"/>
    </xf>
    <xf numFmtId="2" fontId="28" fillId="41" borderId="10" xfId="46" applyNumberFormat="1" applyFont="1" applyFill="1" applyBorder="1">
      <alignment vertical="center" wrapText="1"/>
      <protection/>
    </xf>
    <xf numFmtId="1" fontId="126" fillId="0" borderId="10" xfId="0" applyNumberFormat="1" applyFont="1" applyBorder="1" applyAlignment="1">
      <alignment horizontal="center" vertical="center"/>
    </xf>
    <xf numFmtId="0" fontId="136" fillId="0" borderId="10" xfId="0" applyFont="1" applyBorder="1" applyAlignment="1">
      <alignment horizontal="center" vertical="center"/>
    </xf>
    <xf numFmtId="199" fontId="126" fillId="0" borderId="10" xfId="0" applyNumberFormat="1" applyFont="1" applyBorder="1" applyAlignment="1">
      <alignment horizontal="center" vertical="center"/>
    </xf>
    <xf numFmtId="1" fontId="135" fillId="0" borderId="10" xfId="0" applyNumberFormat="1" applyFont="1" applyBorder="1" applyAlignment="1">
      <alignment horizontal="center" vertical="center"/>
    </xf>
    <xf numFmtId="1" fontId="134" fillId="0" borderId="10" xfId="0" applyNumberFormat="1" applyFont="1" applyBorder="1" applyAlignment="1">
      <alignment horizontal="center" vertical="center"/>
    </xf>
    <xf numFmtId="49" fontId="126" fillId="0" borderId="10" xfId="0" applyNumberFormat="1" applyFont="1" applyBorder="1" applyAlignment="1">
      <alignment horizontal="center" vertical="center" wrapText="1"/>
    </xf>
    <xf numFmtId="49" fontId="126" fillId="0" borderId="10" xfId="0" applyNumberFormat="1" applyFont="1" applyBorder="1" applyAlignment="1">
      <alignment horizontal="center" vertical="center"/>
    </xf>
    <xf numFmtId="1" fontId="126" fillId="0" borderId="0" xfId="0" applyNumberFormat="1" applyFont="1" applyAlignment="1">
      <alignment horizontal="center" vertical="center"/>
    </xf>
    <xf numFmtId="0" fontId="126" fillId="0" borderId="0" xfId="0" applyFont="1" applyAlignment="1">
      <alignment horizontal="center" vertical="center"/>
    </xf>
    <xf numFmtId="0" fontId="107" fillId="40" borderId="33" xfId="0" applyFont="1" applyFill="1" applyBorder="1" applyAlignment="1">
      <alignment horizontal="center" vertical="center"/>
    </xf>
    <xf numFmtId="0" fontId="107" fillId="40" borderId="34" xfId="0" applyFont="1" applyFill="1" applyBorder="1" applyAlignment="1">
      <alignment horizontal="center" vertical="center"/>
    </xf>
    <xf numFmtId="2" fontId="107" fillId="40" borderId="32" xfId="0" applyNumberFormat="1" applyFont="1" applyFill="1" applyBorder="1" applyAlignment="1">
      <alignment horizontal="center" vertical="center"/>
    </xf>
    <xf numFmtId="0" fontId="133" fillId="0" borderId="15" xfId="0" applyFont="1" applyBorder="1" applyAlignment="1">
      <alignment horizontal="center" vertical="center"/>
    </xf>
    <xf numFmtId="0" fontId="133" fillId="0" borderId="13" xfId="0" applyFont="1" applyBorder="1" applyAlignment="1">
      <alignment horizontal="center" vertical="center"/>
    </xf>
    <xf numFmtId="0" fontId="133" fillId="0" borderId="14" xfId="0" applyFont="1" applyBorder="1" applyAlignment="1">
      <alignment horizontal="center" vertical="center"/>
    </xf>
    <xf numFmtId="0" fontId="133" fillId="0" borderId="11" xfId="0" applyFont="1" applyBorder="1" applyAlignment="1">
      <alignment horizontal="center" vertical="center"/>
    </xf>
    <xf numFmtId="0" fontId="133" fillId="0" borderId="0" xfId="0" applyFont="1" applyBorder="1" applyAlignment="1">
      <alignment horizontal="center" vertical="center"/>
    </xf>
    <xf numFmtId="0" fontId="133" fillId="0" borderId="12" xfId="0" applyFont="1" applyBorder="1" applyAlignment="1">
      <alignment horizontal="center" vertical="center"/>
    </xf>
    <xf numFmtId="0" fontId="133" fillId="0" borderId="16" xfId="0" applyFont="1" applyBorder="1" applyAlignment="1">
      <alignment horizontal="center" vertical="center"/>
    </xf>
    <xf numFmtId="0" fontId="133" fillId="0" borderId="17" xfId="0" applyFont="1" applyBorder="1" applyAlignment="1">
      <alignment horizontal="center" vertical="center"/>
    </xf>
    <xf numFmtId="0" fontId="133" fillId="0" borderId="18" xfId="0" applyFont="1" applyBorder="1" applyAlignment="1">
      <alignment horizontal="center" vertical="center"/>
    </xf>
    <xf numFmtId="0" fontId="129" fillId="0" borderId="10" xfId="0" applyFont="1" applyBorder="1" applyAlignment="1">
      <alignment horizontal="left" indent="1"/>
    </xf>
    <xf numFmtId="0" fontId="129" fillId="0" borderId="20" xfId="0" applyFont="1" applyBorder="1" applyAlignment="1">
      <alignment horizontal="left" indent="1"/>
    </xf>
    <xf numFmtId="0" fontId="123" fillId="0" borderId="15" xfId="0" applyFont="1" applyBorder="1" applyAlignment="1">
      <alignment horizontal="left" vertical="center"/>
    </xf>
    <xf numFmtId="0" fontId="123" fillId="0" borderId="14" xfId="0" applyFont="1" applyBorder="1" applyAlignment="1">
      <alignment horizontal="left" vertical="center"/>
    </xf>
    <xf numFmtId="0" fontId="128" fillId="0" borderId="15" xfId="0" applyFont="1" applyFill="1" applyBorder="1" applyAlignment="1">
      <alignment horizontal="left" vertical="center"/>
    </xf>
    <xf numFmtId="0" fontId="128" fillId="0" borderId="13" xfId="0" applyFont="1" applyFill="1" applyBorder="1" applyAlignment="1">
      <alignment horizontal="left" vertical="center"/>
    </xf>
    <xf numFmtId="0" fontId="128" fillId="0" borderId="14" xfId="0" applyFont="1" applyFill="1" applyBorder="1" applyAlignment="1">
      <alignment horizontal="left" vertical="center"/>
    </xf>
    <xf numFmtId="0" fontId="123" fillId="0" borderId="13" xfId="0" applyFont="1" applyBorder="1" applyAlignment="1">
      <alignment horizontal="left" vertical="center"/>
    </xf>
    <xf numFmtId="220" fontId="128" fillId="0" borderId="13" xfId="0" applyNumberFormat="1" applyFont="1" applyFill="1" applyBorder="1" applyAlignment="1">
      <alignment horizontal="left" vertical="center"/>
    </xf>
    <xf numFmtId="220" fontId="128" fillId="0" borderId="14" xfId="0" applyNumberFormat="1" applyFont="1" applyFill="1" applyBorder="1" applyAlignment="1">
      <alignment horizontal="left" vertical="center"/>
    </xf>
    <xf numFmtId="0" fontId="123" fillId="0" borderId="11" xfId="0" applyFont="1" applyBorder="1" applyAlignment="1">
      <alignment horizontal="left" vertical="center"/>
    </xf>
    <xf numFmtId="0" fontId="123" fillId="0" borderId="12" xfId="0" applyFont="1" applyBorder="1" applyAlignment="1">
      <alignment horizontal="left" vertical="center"/>
    </xf>
    <xf numFmtId="0" fontId="123" fillId="0" borderId="11" xfId="0" applyFont="1" applyFill="1" applyBorder="1" applyAlignment="1">
      <alignment horizontal="left" vertical="center"/>
    </xf>
    <xf numFmtId="0" fontId="123" fillId="0" borderId="0" xfId="0" applyFont="1" applyFill="1" applyBorder="1" applyAlignment="1">
      <alignment horizontal="left" vertical="center"/>
    </xf>
    <xf numFmtId="0" fontId="123" fillId="0" borderId="12" xfId="0" applyFont="1" applyFill="1" applyBorder="1" applyAlignment="1">
      <alignment horizontal="left" vertical="center"/>
    </xf>
    <xf numFmtId="0" fontId="123" fillId="0" borderId="0" xfId="0" applyFont="1" applyBorder="1" applyAlignment="1">
      <alignment horizontal="left" vertical="center"/>
    </xf>
    <xf numFmtId="49" fontId="123" fillId="0" borderId="0" xfId="0" applyNumberFormat="1" applyFont="1" applyFill="1" applyBorder="1" applyAlignment="1">
      <alignment horizontal="left" vertical="center"/>
    </xf>
    <xf numFmtId="49" fontId="123" fillId="0" borderId="12" xfId="0" applyNumberFormat="1" applyFont="1" applyFill="1" applyBorder="1" applyAlignment="1">
      <alignment horizontal="left" vertical="center"/>
    </xf>
    <xf numFmtId="0" fontId="123" fillId="0" borderId="16" xfId="0" applyFont="1" applyBorder="1" applyAlignment="1">
      <alignment horizontal="left" vertical="center"/>
    </xf>
    <xf numFmtId="0" fontId="123" fillId="0" borderId="18" xfId="0" applyFont="1" applyBorder="1" applyAlignment="1">
      <alignment horizontal="left" vertical="center"/>
    </xf>
    <xf numFmtId="0" fontId="123" fillId="0" borderId="17" xfId="0" applyFont="1" applyBorder="1" applyAlignment="1">
      <alignment horizontal="left" vertical="center"/>
    </xf>
    <xf numFmtId="0" fontId="132" fillId="0" borderId="17" xfId="0" applyFont="1" applyFill="1" applyBorder="1" applyAlignment="1">
      <alignment horizontal="left" vertical="center"/>
    </xf>
    <xf numFmtId="0" fontId="132" fillId="0" borderId="18" xfId="0" applyFont="1" applyFill="1" applyBorder="1" applyAlignment="1">
      <alignment horizontal="left" vertical="center"/>
    </xf>
    <xf numFmtId="0" fontId="131" fillId="0" borderId="24" xfId="0" applyFont="1" applyBorder="1" applyAlignment="1">
      <alignment horizontal="left" vertical="center"/>
    </xf>
    <xf numFmtId="0" fontId="128" fillId="0" borderId="25" xfId="0" applyFont="1" applyBorder="1" applyAlignment="1">
      <alignment horizontal="left" vertical="center"/>
    </xf>
    <xf numFmtId="0" fontId="131" fillId="0" borderId="25" xfId="0" applyFont="1" applyBorder="1" applyAlignment="1">
      <alignment horizontal="left" vertical="center"/>
    </xf>
    <xf numFmtId="0" fontId="128" fillId="0" borderId="27" xfId="0" applyFont="1" applyBorder="1" applyAlignment="1">
      <alignment horizontal="left" vertical="center"/>
    </xf>
    <xf numFmtId="0" fontId="128" fillId="0" borderId="15" xfId="0" applyFont="1" applyBorder="1" applyAlignment="1">
      <alignment horizontal="left" vertical="center"/>
    </xf>
    <xf numFmtId="0" fontId="128" fillId="0" borderId="13" xfId="0" applyFont="1" applyBorder="1" applyAlignment="1">
      <alignment horizontal="left" vertical="center"/>
    </xf>
    <xf numFmtId="0" fontId="128" fillId="0" borderId="14" xfId="0" applyFont="1" applyBorder="1" applyAlignment="1">
      <alignment horizontal="left" vertical="center"/>
    </xf>
    <xf numFmtId="0" fontId="124" fillId="0" borderId="11" xfId="0" applyFont="1" applyBorder="1" applyAlignment="1">
      <alignment horizontal="left" vertical="center"/>
    </xf>
    <xf numFmtId="0" fontId="124" fillId="0" borderId="0" xfId="0" applyFont="1" applyBorder="1" applyAlignment="1">
      <alignment horizontal="left" vertical="center"/>
    </xf>
    <xf numFmtId="0" fontId="124" fillId="0" borderId="12" xfId="0" applyFont="1" applyBorder="1" applyAlignment="1">
      <alignment horizontal="left" vertical="center"/>
    </xf>
    <xf numFmtId="0" fontId="128" fillId="0" borderId="11" xfId="0" applyFont="1" applyBorder="1" applyAlignment="1">
      <alignment horizontal="left" vertical="center"/>
    </xf>
    <xf numFmtId="0" fontId="128" fillId="0" borderId="0" xfId="0" applyFont="1" applyBorder="1" applyAlignment="1">
      <alignment horizontal="left" vertical="center"/>
    </xf>
    <xf numFmtId="0" fontId="128" fillId="0" borderId="12" xfId="0" applyFont="1" applyBorder="1" applyAlignment="1">
      <alignment horizontal="left" vertical="center"/>
    </xf>
    <xf numFmtId="49" fontId="124" fillId="0" borderId="16" xfId="0" applyNumberFormat="1" applyFont="1" applyBorder="1" applyAlignment="1">
      <alignment horizontal="left" vertical="center"/>
    </xf>
    <xf numFmtId="49" fontId="124" fillId="0" borderId="17" xfId="0" applyNumberFormat="1" applyFont="1" applyBorder="1" applyAlignment="1">
      <alignment horizontal="left" vertical="center"/>
    </xf>
    <xf numFmtId="49" fontId="124" fillId="0" borderId="18" xfId="0" applyNumberFormat="1" applyFont="1" applyBorder="1" applyAlignment="1">
      <alignment horizontal="left" vertical="center"/>
    </xf>
    <xf numFmtId="0" fontId="126" fillId="0" borderId="24" xfId="0" applyFont="1" applyFill="1" applyBorder="1" applyAlignment="1">
      <alignment horizontal="left" vertical="center" wrapText="1"/>
    </xf>
    <xf numFmtId="0" fontId="126" fillId="0" borderId="25" xfId="0" applyFont="1" applyFill="1" applyBorder="1" applyAlignment="1">
      <alignment horizontal="left" vertical="center" wrapText="1"/>
    </xf>
    <xf numFmtId="0" fontId="126" fillId="0" borderId="27" xfId="0" applyFont="1" applyFill="1" applyBorder="1" applyAlignment="1">
      <alignment horizontal="left" vertical="center" wrapText="1"/>
    </xf>
    <xf numFmtId="0" fontId="123" fillId="36" borderId="24" xfId="0" applyFont="1" applyFill="1" applyBorder="1" applyAlignment="1">
      <alignment horizontal="center" vertical="center" wrapText="1"/>
    </xf>
    <xf numFmtId="0" fontId="123" fillId="36" borderId="25" xfId="0" applyFont="1" applyFill="1" applyBorder="1" applyAlignment="1">
      <alignment horizontal="center" vertical="center" wrapText="1"/>
    </xf>
    <xf numFmtId="0" fontId="123" fillId="36" borderId="27" xfId="0" applyFont="1" applyFill="1" applyBorder="1" applyAlignment="1">
      <alignment horizontal="center" vertical="center" wrapText="1"/>
    </xf>
    <xf numFmtId="0" fontId="130" fillId="0" borderId="15" xfId="0" applyFont="1" applyFill="1" applyBorder="1" applyAlignment="1">
      <alignment horizontal="left" vertical="center" wrapText="1"/>
    </xf>
    <xf numFmtId="0" fontId="130" fillId="0" borderId="13" xfId="0" applyFont="1" applyFill="1" applyBorder="1" applyAlignment="1">
      <alignment horizontal="left" vertical="center" wrapText="1"/>
    </xf>
    <xf numFmtId="0" fontId="130" fillId="0" borderId="14" xfId="0" applyFont="1" applyFill="1" applyBorder="1" applyAlignment="1">
      <alignment horizontal="left" vertical="center" wrapText="1"/>
    </xf>
    <xf numFmtId="0" fontId="129" fillId="0" borderId="11" xfId="0" applyFont="1" applyFill="1" applyBorder="1" applyAlignment="1">
      <alignment horizontal="left" vertical="center" wrapText="1"/>
    </xf>
    <xf numFmtId="0" fontId="129" fillId="0" borderId="0" xfId="0" applyFont="1" applyFill="1" applyBorder="1" applyAlignment="1">
      <alignment horizontal="left" vertical="center" wrapText="1"/>
    </xf>
    <xf numFmtId="0" fontId="129" fillId="0" borderId="12" xfId="0" applyFont="1" applyFill="1" applyBorder="1" applyAlignment="1">
      <alignment horizontal="left" vertical="center" wrapText="1"/>
    </xf>
    <xf numFmtId="0" fontId="118" fillId="0" borderId="11" xfId="0" applyFont="1" applyFill="1" applyBorder="1" applyAlignment="1">
      <alignment horizontal="left" vertical="center" wrapText="1"/>
    </xf>
    <xf numFmtId="0" fontId="118" fillId="0" borderId="0" xfId="0" applyFont="1" applyFill="1" applyBorder="1" applyAlignment="1">
      <alignment horizontal="left" vertical="center" wrapText="1"/>
    </xf>
    <xf numFmtId="0" fontId="118" fillId="0" borderId="12" xfId="0" applyFont="1" applyFill="1" applyBorder="1" applyAlignment="1">
      <alignment horizontal="left" vertical="center" wrapText="1"/>
    </xf>
    <xf numFmtId="0" fontId="123" fillId="0" borderId="11" xfId="0" applyFont="1" applyFill="1" applyBorder="1" applyAlignment="1">
      <alignment horizontal="left" vertical="center" wrapText="1"/>
    </xf>
    <xf numFmtId="0" fontId="123" fillId="0" borderId="0" xfId="0" applyFont="1" applyFill="1" applyBorder="1" applyAlignment="1">
      <alignment horizontal="left" vertical="center" wrapText="1"/>
    </xf>
    <xf numFmtId="0" fontId="123" fillId="0" borderId="12" xfId="0" applyFont="1" applyFill="1" applyBorder="1" applyAlignment="1">
      <alignment horizontal="left" vertical="center" wrapText="1"/>
    </xf>
    <xf numFmtId="0" fontId="128" fillId="36" borderId="24" xfId="0" applyFont="1" applyFill="1" applyBorder="1" applyAlignment="1">
      <alignment horizontal="left" vertical="center" wrapText="1"/>
    </xf>
    <xf numFmtId="0" fontId="128" fillId="36" borderId="25" xfId="0" applyFont="1" applyFill="1" applyBorder="1" applyAlignment="1">
      <alignment horizontal="left" vertical="center" wrapText="1"/>
    </xf>
    <xf numFmtId="0" fontId="128" fillId="36" borderId="27" xfId="0" applyFont="1" applyFill="1" applyBorder="1" applyAlignment="1">
      <alignment horizontal="left" vertical="center" wrapText="1"/>
    </xf>
    <xf numFmtId="0" fontId="123" fillId="0" borderId="24" xfId="0" applyFont="1" applyFill="1" applyBorder="1" applyAlignment="1">
      <alignment horizontal="center" vertical="center" wrapText="1"/>
    </xf>
    <xf numFmtId="0" fontId="123" fillId="0" borderId="25" xfId="0" applyFont="1" applyFill="1" applyBorder="1" applyAlignment="1">
      <alignment horizontal="center" vertical="center" wrapText="1"/>
    </xf>
    <xf numFmtId="0" fontId="123" fillId="0" borderId="27" xfId="0" applyFont="1" applyFill="1" applyBorder="1" applyAlignment="1">
      <alignment horizontal="center" vertical="center" wrapText="1"/>
    </xf>
    <xf numFmtId="0" fontId="128" fillId="0" borderId="10" xfId="0" applyFont="1" applyBorder="1" applyAlignment="1">
      <alignment horizontal="left" vertical="center"/>
    </xf>
    <xf numFmtId="4" fontId="128" fillId="0" borderId="10" xfId="0" applyNumberFormat="1" applyFont="1" applyBorder="1" applyAlignment="1">
      <alignment horizontal="center" vertical="center"/>
    </xf>
    <xf numFmtId="0" fontId="128" fillId="0" borderId="24" xfId="0" applyFont="1" applyBorder="1" applyAlignment="1">
      <alignment horizontal="left" vertical="center"/>
    </xf>
    <xf numFmtId="4" fontId="128" fillId="0" borderId="24" xfId="0" applyNumberFormat="1" applyFont="1" applyBorder="1" applyAlignment="1">
      <alignment horizontal="center" vertical="center"/>
    </xf>
    <xf numFmtId="4" fontId="128" fillId="0" borderId="25" xfId="0" applyNumberFormat="1" applyFont="1" applyBorder="1" applyAlignment="1">
      <alignment horizontal="center" vertical="center"/>
    </xf>
    <xf numFmtId="4" fontId="128" fillId="0" borderId="27" xfId="0" applyNumberFormat="1" applyFont="1" applyBorder="1" applyAlignment="1">
      <alignment horizontal="center" vertical="center"/>
    </xf>
    <xf numFmtId="4" fontId="128" fillId="0" borderId="20" xfId="0" applyNumberFormat="1" applyFont="1" applyBorder="1" applyAlignment="1">
      <alignment horizontal="center" vertical="center"/>
    </xf>
    <xf numFmtId="0" fontId="108" fillId="0" borderId="24" xfId="0" applyFont="1" applyFill="1" applyBorder="1" applyAlignment="1">
      <alignment horizontal="left" vertical="center" wrapText="1"/>
    </xf>
    <xf numFmtId="0" fontId="108" fillId="0" borderId="25" xfId="0" applyFont="1" applyFill="1" applyBorder="1" applyAlignment="1">
      <alignment horizontal="left" vertical="center" wrapText="1"/>
    </xf>
    <xf numFmtId="0" fontId="108" fillId="0" borderId="27" xfId="0" applyFont="1" applyFill="1" applyBorder="1" applyAlignment="1">
      <alignment horizontal="left" vertical="center" wrapText="1"/>
    </xf>
    <xf numFmtId="0" fontId="104" fillId="0" borderId="15" xfId="0" applyFont="1" applyBorder="1" applyAlignment="1">
      <alignment horizontal="left" vertical="center"/>
    </xf>
    <xf numFmtId="0" fontId="104" fillId="0" borderId="13" xfId="0" applyFont="1" applyBorder="1" applyAlignment="1">
      <alignment horizontal="left" vertical="center"/>
    </xf>
    <xf numFmtId="0" fontId="104" fillId="0" borderId="14" xfId="0" applyFont="1" applyBorder="1" applyAlignment="1">
      <alignment horizontal="left" vertical="center"/>
    </xf>
    <xf numFmtId="0" fontId="104" fillId="0" borderId="0" xfId="0" applyFont="1" applyBorder="1" applyAlignment="1">
      <alignment horizontal="center" vertical="center"/>
    </xf>
    <xf numFmtId="0" fontId="104" fillId="0" borderId="12" xfId="0" applyFont="1" applyBorder="1" applyAlignment="1">
      <alignment horizontal="center" vertical="center"/>
    </xf>
    <xf numFmtId="0" fontId="104" fillId="0" borderId="17" xfId="0" applyFont="1" applyBorder="1" applyAlignment="1">
      <alignment horizontal="center" vertical="center"/>
    </xf>
    <xf numFmtId="0" fontId="104" fillId="0" borderId="18" xfId="0" applyFont="1" applyBorder="1" applyAlignment="1">
      <alignment horizontal="center" vertical="center"/>
    </xf>
    <xf numFmtId="0" fontId="3" fillId="0" borderId="11" xfId="0" applyFont="1" applyBorder="1" applyAlignment="1">
      <alignment horizontal="center"/>
    </xf>
    <xf numFmtId="0" fontId="3" fillId="0" borderId="0" xfId="0" applyFont="1" applyBorder="1" applyAlignment="1">
      <alignment horizontal="center"/>
    </xf>
    <xf numFmtId="0" fontId="3" fillId="0" borderId="12" xfId="0" applyFont="1" applyBorder="1" applyAlignment="1">
      <alignment horizontal="center"/>
    </xf>
    <xf numFmtId="0" fontId="3" fillId="0" borderId="16" xfId="0"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127" fillId="0" borderId="0" xfId="0" applyFont="1" applyFill="1" applyBorder="1" applyAlignment="1">
      <alignment horizontal="left" vertical="center"/>
    </xf>
    <xf numFmtId="2" fontId="119" fillId="0" borderId="0" xfId="0" applyNumberFormat="1" applyFont="1" applyBorder="1" applyAlignment="1">
      <alignment horizontal="center" vertical="center"/>
    </xf>
    <xf numFmtId="0" fontId="126" fillId="0" borderId="24" xfId="0" applyFont="1" applyFill="1" applyBorder="1" applyAlignment="1">
      <alignment vertical="center" wrapText="1"/>
    </xf>
    <xf numFmtId="0" fontId="126" fillId="0" borderId="25" xfId="0" applyFont="1" applyFill="1" applyBorder="1" applyAlignment="1">
      <alignment vertical="center" wrapText="1"/>
    </xf>
    <xf numFmtId="0" fontId="126" fillId="0" borderId="27" xfId="0" applyFont="1" applyFill="1" applyBorder="1" applyAlignment="1">
      <alignment vertical="center" wrapText="1"/>
    </xf>
    <xf numFmtId="0" fontId="108" fillId="0" borderId="10" xfId="0" applyFont="1" applyBorder="1" applyAlignment="1">
      <alignment horizontal="left" vertical="center"/>
    </xf>
    <xf numFmtId="4" fontId="108" fillId="0" borderId="10" xfId="0" applyNumberFormat="1" applyFont="1" applyBorder="1" applyAlignment="1">
      <alignment horizontal="center" vertical="center"/>
    </xf>
    <xf numFmtId="0" fontId="121" fillId="0" borderId="11" xfId="0" applyFont="1" applyFill="1" applyBorder="1" applyAlignment="1">
      <alignment horizontal="left" vertical="center" wrapText="1"/>
    </xf>
    <xf numFmtId="0" fontId="121" fillId="0" borderId="0" xfId="0" applyFont="1" applyFill="1" applyBorder="1" applyAlignment="1">
      <alignment horizontal="left" vertical="center" wrapText="1"/>
    </xf>
    <xf numFmtId="4" fontId="108" fillId="0" borderId="20" xfId="0" applyNumberFormat="1" applyFont="1" applyBorder="1" applyAlignment="1">
      <alignment horizontal="center" vertical="center"/>
    </xf>
    <xf numFmtId="0" fontId="125" fillId="0" borderId="24" xfId="0" applyFont="1" applyFill="1" applyBorder="1" applyAlignment="1">
      <alignment horizontal="center" vertical="center" wrapText="1"/>
    </xf>
    <xf numFmtId="0" fontId="125" fillId="0" borderId="25" xfId="0" applyFont="1" applyFill="1" applyBorder="1" applyAlignment="1">
      <alignment horizontal="center" vertical="center" wrapText="1"/>
    </xf>
    <xf numFmtId="0" fontId="125" fillId="0" borderId="27" xfId="0" applyFont="1" applyFill="1" applyBorder="1" applyAlignment="1">
      <alignment horizontal="center" vertical="center" wrapText="1"/>
    </xf>
    <xf numFmtId="0" fontId="110" fillId="0" borderId="24" xfId="0" applyFont="1" applyBorder="1" applyAlignment="1">
      <alignment horizontal="left" vertical="center"/>
    </xf>
    <xf numFmtId="0" fontId="110" fillId="0" borderId="25" xfId="0" applyFont="1" applyBorder="1" applyAlignment="1">
      <alignment horizontal="left" vertical="center"/>
    </xf>
    <xf numFmtId="0" fontId="110" fillId="0" borderId="27" xfId="0" applyFont="1" applyBorder="1" applyAlignment="1">
      <alignment horizontal="left" vertical="center"/>
    </xf>
    <xf numFmtId="2" fontId="110" fillId="0" borderId="24" xfId="0" applyNumberFormat="1" applyFont="1" applyBorder="1" applyAlignment="1">
      <alignment horizontal="center" vertical="center"/>
    </xf>
    <xf numFmtId="2" fontId="110" fillId="0" borderId="25" xfId="0" applyNumberFormat="1" applyFont="1" applyBorder="1" applyAlignment="1">
      <alignment horizontal="center" vertical="center"/>
    </xf>
    <xf numFmtId="2" fontId="110" fillId="0" borderId="27" xfId="0" applyNumberFormat="1" applyFont="1" applyBorder="1" applyAlignment="1">
      <alignment horizontal="center" vertical="center"/>
    </xf>
    <xf numFmtId="49" fontId="123" fillId="0" borderId="16" xfId="0" applyNumberFormat="1" applyFont="1" applyBorder="1" applyAlignment="1" quotePrefix="1">
      <alignment horizontal="left" vertical="center"/>
    </xf>
    <xf numFmtId="49" fontId="123" fillId="0" borderId="17" xfId="0" applyNumberFormat="1" applyFont="1" applyBorder="1" applyAlignment="1" quotePrefix="1">
      <alignment horizontal="left" vertical="center"/>
    </xf>
    <xf numFmtId="49" fontId="123" fillId="0" borderId="18" xfId="0" applyNumberFormat="1" applyFont="1" applyBorder="1" applyAlignment="1" quotePrefix="1">
      <alignment horizontal="left" vertical="center"/>
    </xf>
    <xf numFmtId="0" fontId="124" fillId="0" borderId="11" xfId="0" applyFont="1" applyBorder="1" applyAlignment="1">
      <alignment horizontal="left" vertical="center" wrapText="1"/>
    </xf>
    <xf numFmtId="0" fontId="123" fillId="0" borderId="17" xfId="0" applyFont="1" applyFill="1" applyBorder="1" applyAlignment="1">
      <alignment horizontal="left" vertical="center"/>
    </xf>
    <xf numFmtId="0" fontId="123" fillId="0" borderId="18" xfId="0" applyFont="1" applyFill="1" applyBorder="1" applyAlignment="1">
      <alignment horizontal="left" vertical="center"/>
    </xf>
    <xf numFmtId="0" fontId="107" fillId="0" borderId="15" xfId="0" applyFont="1" applyFill="1" applyBorder="1" applyAlignment="1">
      <alignment horizontal="left" vertical="center"/>
    </xf>
    <xf numFmtId="0" fontId="107" fillId="0" borderId="13" xfId="0" applyFont="1" applyFill="1" applyBorder="1" applyAlignment="1">
      <alignment horizontal="left" vertical="center"/>
    </xf>
    <xf numFmtId="0" fontId="107" fillId="0" borderId="14" xfId="0" applyFont="1" applyFill="1" applyBorder="1" applyAlignment="1">
      <alignment horizontal="left" vertical="center"/>
    </xf>
    <xf numFmtId="0" fontId="122" fillId="0" borderId="15" xfId="0" applyFont="1" applyBorder="1" applyAlignment="1">
      <alignment horizontal="center" vertical="center"/>
    </xf>
    <xf numFmtId="0" fontId="122" fillId="0" borderId="13" xfId="0" applyFont="1" applyBorder="1" applyAlignment="1">
      <alignment horizontal="center" vertical="center"/>
    </xf>
    <xf numFmtId="0" fontId="122" fillId="0" borderId="14" xfId="0" applyFont="1" applyBorder="1" applyAlignment="1">
      <alignment horizontal="center" vertical="center"/>
    </xf>
    <xf numFmtId="0" fontId="122" fillId="0" borderId="11" xfId="0" applyFont="1" applyBorder="1" applyAlignment="1">
      <alignment horizontal="center" vertical="center"/>
    </xf>
    <xf numFmtId="0" fontId="122" fillId="0" borderId="0" xfId="0" applyFont="1" applyBorder="1" applyAlignment="1">
      <alignment horizontal="center" vertical="center"/>
    </xf>
    <xf numFmtId="0" fontId="122" fillId="0" borderId="12" xfId="0" applyFont="1" applyBorder="1" applyAlignment="1">
      <alignment horizontal="center" vertical="center"/>
    </xf>
    <xf numFmtId="0" fontId="122" fillId="0" borderId="16" xfId="0" applyFont="1" applyBorder="1" applyAlignment="1">
      <alignment horizontal="center" vertical="center"/>
    </xf>
    <xf numFmtId="0" fontId="122" fillId="0" borderId="17" xfId="0" applyFont="1" applyBorder="1" applyAlignment="1">
      <alignment horizontal="center" vertical="center"/>
    </xf>
    <xf numFmtId="0" fontId="122" fillId="0" borderId="18" xfId="0" applyFont="1" applyBorder="1" applyAlignment="1">
      <alignment horizontal="center" vertical="center"/>
    </xf>
    <xf numFmtId="220" fontId="107" fillId="0" borderId="13" xfId="0" applyNumberFormat="1" applyFont="1" applyFill="1" applyBorder="1" applyAlignment="1">
      <alignment horizontal="left" vertical="center"/>
    </xf>
    <xf numFmtId="220" fontId="107" fillId="0" borderId="14" xfId="0" applyNumberFormat="1" applyFont="1" applyFill="1" applyBorder="1" applyAlignment="1">
      <alignment horizontal="left" vertical="center"/>
    </xf>
    <xf numFmtId="4" fontId="121" fillId="0" borderId="10" xfId="28" applyNumberFormat="1" applyFont="1" applyBorder="1" applyAlignment="1">
      <alignment horizontal="right"/>
    </xf>
    <xf numFmtId="4" fontId="107" fillId="0" borderId="24" xfId="28" applyNumberFormat="1" applyFont="1" applyBorder="1" applyAlignment="1">
      <alignment horizontal="right"/>
    </xf>
    <xf numFmtId="4" fontId="107" fillId="0" borderId="27" xfId="28" applyNumberFormat="1" applyFont="1" applyBorder="1" applyAlignment="1">
      <alignment horizontal="right"/>
    </xf>
    <xf numFmtId="4" fontId="121" fillId="0" borderId="24" xfId="28" applyNumberFormat="1" applyFont="1" applyBorder="1" applyAlignment="1">
      <alignment horizontal="right"/>
    </xf>
    <xf numFmtId="4" fontId="121" fillId="0" borderId="27" xfId="28" applyNumberFormat="1" applyFont="1" applyBorder="1" applyAlignment="1">
      <alignment horizontal="right"/>
    </xf>
    <xf numFmtId="0" fontId="121" fillId="0" borderId="24" xfId="0" applyFont="1" applyBorder="1" applyAlignment="1">
      <alignment horizontal="left"/>
    </xf>
    <xf numFmtId="0" fontId="121" fillId="0" borderId="25" xfId="0" applyFont="1" applyBorder="1" applyAlignment="1">
      <alignment horizontal="left"/>
    </xf>
    <xf numFmtId="0" fontId="121" fillId="0" borderId="27" xfId="0" applyFont="1" applyBorder="1" applyAlignment="1">
      <alignment horizontal="left"/>
    </xf>
    <xf numFmtId="0" fontId="121" fillId="0" borderId="24" xfId="0" applyFont="1" applyBorder="1" applyAlignment="1">
      <alignment horizontal="left" wrapText="1"/>
    </xf>
    <xf numFmtId="0" fontId="118" fillId="0" borderId="24" xfId="0" applyFont="1" applyBorder="1" applyAlignment="1">
      <alignment horizontal="center" vertical="center"/>
    </xf>
    <xf numFmtId="0" fontId="118" fillId="0" borderId="25" xfId="0" applyFont="1" applyBorder="1" applyAlignment="1">
      <alignment horizontal="center" vertical="center"/>
    </xf>
    <xf numFmtId="0" fontId="118" fillId="0" borderId="27" xfId="0" applyFont="1" applyBorder="1" applyAlignment="1">
      <alignment horizontal="center" vertical="center"/>
    </xf>
    <xf numFmtId="0" fontId="121" fillId="0" borderId="25" xfId="0" applyFont="1" applyBorder="1" applyAlignment="1">
      <alignment horizontal="left" wrapText="1"/>
    </xf>
    <xf numFmtId="0" fontId="121" fillId="0" borderId="27" xfId="0" applyFont="1" applyBorder="1" applyAlignment="1">
      <alignment horizontal="left" wrapText="1"/>
    </xf>
    <xf numFmtId="0" fontId="119" fillId="0" borderId="24" xfId="0" applyFont="1" applyBorder="1" applyAlignment="1">
      <alignment horizontal="center" vertical="center"/>
    </xf>
    <xf numFmtId="0" fontId="119" fillId="0" borderId="25" xfId="0" applyFont="1" applyBorder="1" applyAlignment="1">
      <alignment horizontal="center" vertical="center"/>
    </xf>
    <xf numFmtId="0" fontId="119" fillId="0" borderId="27" xfId="0" applyFont="1" applyBorder="1" applyAlignment="1">
      <alignment horizontal="center" vertical="center"/>
    </xf>
    <xf numFmtId="0" fontId="121" fillId="0" borderId="10" xfId="0" applyFont="1" applyBorder="1" applyAlignment="1">
      <alignment horizontal="left"/>
    </xf>
    <xf numFmtId="4" fontId="121" fillId="0" borderId="24" xfId="0" applyNumberFormat="1" applyFont="1" applyBorder="1" applyAlignment="1">
      <alignment horizontal="right"/>
    </xf>
    <xf numFmtId="4" fontId="121" fillId="0" borderId="27" xfId="0" applyNumberFormat="1" applyFont="1" applyBorder="1" applyAlignment="1">
      <alignment horizontal="right"/>
    </xf>
    <xf numFmtId="4" fontId="107" fillId="0" borderId="24" xfId="0" applyNumberFormat="1" applyFont="1" applyBorder="1" applyAlignment="1">
      <alignment horizontal="right"/>
    </xf>
    <xf numFmtId="4" fontId="107" fillId="0" borderId="27" xfId="0" applyNumberFormat="1" applyFont="1" applyBorder="1" applyAlignment="1">
      <alignment horizontal="right"/>
    </xf>
    <xf numFmtId="0" fontId="108" fillId="34" borderId="15" xfId="0" applyFont="1" applyFill="1" applyBorder="1" applyAlignment="1">
      <alignment horizontal="center" vertical="center" wrapText="1"/>
    </xf>
    <xf numFmtId="0" fontId="108" fillId="34" borderId="13" xfId="0" applyFont="1" applyFill="1" applyBorder="1" applyAlignment="1">
      <alignment horizontal="center" vertical="center" wrapText="1"/>
    </xf>
    <xf numFmtId="0" fontId="108" fillId="34" borderId="14" xfId="0" applyFont="1" applyFill="1" applyBorder="1" applyAlignment="1">
      <alignment horizontal="center" vertical="center" wrapText="1"/>
    </xf>
    <xf numFmtId="0" fontId="118" fillId="0" borderId="0" xfId="0" applyFont="1" applyBorder="1" applyAlignment="1">
      <alignment horizontal="left" vertical="center" wrapText="1"/>
    </xf>
    <xf numFmtId="0" fontId="118" fillId="0" borderId="12" xfId="0" applyFont="1" applyBorder="1" applyAlignment="1">
      <alignment horizontal="left" vertical="center" wrapText="1"/>
    </xf>
    <xf numFmtId="0" fontId="118" fillId="0" borderId="0" xfId="0" applyFont="1" applyBorder="1" applyAlignment="1">
      <alignment horizontal="left" vertical="center"/>
    </xf>
    <xf numFmtId="0" fontId="118" fillId="0" borderId="12" xfId="0" applyFont="1" applyBorder="1" applyAlignment="1">
      <alignment horizontal="left" vertical="center"/>
    </xf>
    <xf numFmtId="0" fontId="121" fillId="0" borderId="10" xfId="0" applyFont="1" applyBorder="1" applyAlignment="1">
      <alignment horizontal="left" wrapText="1"/>
    </xf>
    <xf numFmtId="4" fontId="107" fillId="0" borderId="10" xfId="28" applyNumberFormat="1" applyFont="1" applyBorder="1" applyAlignment="1">
      <alignment horizontal="right"/>
    </xf>
    <xf numFmtId="0" fontId="108" fillId="34" borderId="24" xfId="0" applyFont="1" applyFill="1" applyBorder="1" applyAlignment="1">
      <alignment horizontal="right" vertical="center" wrapText="1"/>
    </xf>
    <xf numFmtId="0" fontId="108" fillId="34" borderId="27" xfId="0" applyFont="1" applyFill="1" applyBorder="1" applyAlignment="1">
      <alignment horizontal="right" vertical="center" wrapText="1"/>
    </xf>
    <xf numFmtId="0" fontId="108" fillId="34" borderId="24" xfId="0" applyFont="1" applyFill="1" applyBorder="1" applyAlignment="1">
      <alignment horizontal="right" vertical="center"/>
    </xf>
    <xf numFmtId="0" fontId="108" fillId="34" borderId="27" xfId="0" applyFont="1" applyFill="1" applyBorder="1" applyAlignment="1">
      <alignment horizontal="right" vertical="center"/>
    </xf>
    <xf numFmtId="0" fontId="121" fillId="0" borderId="10" xfId="0" applyFont="1" applyBorder="1" applyAlignment="1">
      <alignment horizontal="left" vertical="center"/>
    </xf>
    <xf numFmtId="0" fontId="121" fillId="0" borderId="10" xfId="0" applyFont="1" applyFill="1" applyBorder="1" applyAlignment="1">
      <alignment horizontal="left" vertical="center"/>
    </xf>
    <xf numFmtId="0" fontId="108" fillId="0" borderId="24" xfId="0" applyFont="1" applyBorder="1" applyAlignment="1">
      <alignment horizontal="left" vertical="center"/>
    </xf>
    <xf numFmtId="0" fontId="108" fillId="0" borderId="25" xfId="0" applyFont="1" applyBorder="1" applyAlignment="1">
      <alignment horizontal="left" vertical="center"/>
    </xf>
    <xf numFmtId="0" fontId="108" fillId="0" borderId="27" xfId="0" applyFont="1" applyBorder="1" applyAlignment="1">
      <alignment horizontal="left" vertical="center"/>
    </xf>
    <xf numFmtId="0" fontId="107" fillId="0" borderId="10" xfId="0" applyFont="1" applyBorder="1" applyAlignment="1">
      <alignment horizontal="center" vertical="center"/>
    </xf>
    <xf numFmtId="0" fontId="121" fillId="0" borderId="10" xfId="0" applyFont="1" applyBorder="1" applyAlignment="1">
      <alignment horizontal="left" vertical="center" wrapText="1"/>
    </xf>
    <xf numFmtId="0" fontId="107" fillId="0" borderId="24" xfId="0" applyFont="1" applyBorder="1" applyAlignment="1">
      <alignment horizontal="left" vertical="center"/>
    </xf>
    <xf numFmtId="0" fontId="107" fillId="0" borderId="25" xfId="0" applyFont="1" applyBorder="1" applyAlignment="1">
      <alignment horizontal="left" vertical="center"/>
    </xf>
    <xf numFmtId="0" fontId="107" fillId="0" borderId="27" xfId="0" applyFont="1" applyBorder="1" applyAlignment="1">
      <alignment horizontal="left" vertical="center"/>
    </xf>
    <xf numFmtId="222" fontId="120" fillId="0" borderId="10" xfId="0" applyNumberFormat="1" applyFont="1" applyBorder="1" applyAlignment="1">
      <alignment horizontal="center"/>
    </xf>
    <xf numFmtId="0" fontId="119" fillId="0" borderId="24" xfId="0" applyFont="1" applyFill="1" applyBorder="1" applyAlignment="1">
      <alignment horizontal="center" vertical="center"/>
    </xf>
    <xf numFmtId="0" fontId="119" fillId="0" borderId="25" xfId="0" applyFont="1" applyFill="1" applyBorder="1" applyAlignment="1">
      <alignment horizontal="center" vertical="center"/>
    </xf>
    <xf numFmtId="0" fontId="119" fillId="0" borderId="27" xfId="0" applyFont="1" applyFill="1" applyBorder="1" applyAlignment="1">
      <alignment horizontal="center" vertical="center"/>
    </xf>
    <xf numFmtId="0" fontId="118" fillId="0" borderId="24" xfId="0" applyFont="1" applyFill="1" applyBorder="1" applyAlignment="1">
      <alignment horizontal="center" vertical="center"/>
    </xf>
    <xf numFmtId="0" fontId="118" fillId="0" borderId="25" xfId="0" applyFont="1" applyFill="1" applyBorder="1" applyAlignment="1">
      <alignment horizontal="center" vertical="center"/>
    </xf>
    <xf numFmtId="0" fontId="118" fillId="0" borderId="27" xfId="0" applyFont="1" applyFill="1" applyBorder="1" applyAlignment="1">
      <alignment horizontal="center" vertical="center"/>
    </xf>
    <xf numFmtId="0" fontId="104" fillId="0" borderId="10" xfId="0" applyFont="1" applyBorder="1" applyAlignment="1">
      <alignment horizontal="left" vertical="center"/>
    </xf>
    <xf numFmtId="0" fontId="108" fillId="34" borderId="24" xfId="0" applyFont="1" applyFill="1" applyBorder="1" applyAlignment="1">
      <alignment horizontal="left" vertical="center"/>
    </xf>
    <xf numFmtId="0" fontId="108" fillId="34" borderId="25" xfId="0" applyFont="1" applyFill="1" applyBorder="1" applyAlignment="1">
      <alignment horizontal="left" vertical="center"/>
    </xf>
    <xf numFmtId="0" fontId="108" fillId="34" borderId="27" xfId="0" applyFont="1" applyFill="1" applyBorder="1" applyAlignment="1">
      <alignment horizontal="left" vertical="center"/>
    </xf>
    <xf numFmtId="0" fontId="114" fillId="0" borderId="24" xfId="0" applyFont="1" applyFill="1" applyBorder="1" applyAlignment="1">
      <alignment horizontal="left" vertical="center" wrapText="1"/>
    </xf>
    <xf numFmtId="0" fontId="114" fillId="0" borderId="25" xfId="0" applyFont="1" applyFill="1" applyBorder="1" applyAlignment="1">
      <alignment horizontal="left" vertical="center" wrapText="1"/>
    </xf>
    <xf numFmtId="0" fontId="114" fillId="0" borderId="27" xfId="0" applyFont="1" applyFill="1" applyBorder="1" applyAlignment="1">
      <alignment horizontal="left" vertical="center" wrapText="1"/>
    </xf>
    <xf numFmtId="1" fontId="117" fillId="0" borderId="35" xfId="0" applyNumberFormat="1" applyFont="1" applyFill="1" applyBorder="1" applyAlignment="1">
      <alignment horizontal="left" vertical="center" shrinkToFit="1"/>
    </xf>
    <xf numFmtId="1" fontId="117" fillId="0" borderId="36" xfId="0" applyNumberFormat="1" applyFont="1" applyFill="1" applyBorder="1" applyAlignment="1">
      <alignment horizontal="left" vertical="center" shrinkToFit="1"/>
    </xf>
    <xf numFmtId="1" fontId="117" fillId="0" borderId="37" xfId="0" applyNumberFormat="1" applyFont="1" applyFill="1" applyBorder="1" applyAlignment="1">
      <alignment horizontal="left" vertical="center" shrinkToFit="1"/>
    </xf>
    <xf numFmtId="0" fontId="112" fillId="8" borderId="21" xfId="0" applyFont="1" applyFill="1" applyBorder="1" applyAlignment="1">
      <alignment horizontal="center" vertical="center" wrapText="1"/>
    </xf>
    <xf numFmtId="0" fontId="112" fillId="8" borderId="28" xfId="0" applyFont="1" applyFill="1" applyBorder="1" applyAlignment="1">
      <alignment horizontal="center" vertical="center" wrapText="1"/>
    </xf>
    <xf numFmtId="0" fontId="112" fillId="8" borderId="31" xfId="0" applyFont="1" applyFill="1" applyBorder="1" applyAlignment="1">
      <alignment horizontal="center" vertical="center" wrapText="1"/>
    </xf>
    <xf numFmtId="0" fontId="112" fillId="8" borderId="26" xfId="0" applyFont="1" applyFill="1" applyBorder="1" applyAlignment="1">
      <alignment horizontal="center" vertical="center" wrapText="1"/>
    </xf>
    <xf numFmtId="0" fontId="112" fillId="8" borderId="23" xfId="0" applyFont="1" applyFill="1" applyBorder="1" applyAlignment="1">
      <alignment horizontal="center" vertical="center"/>
    </xf>
    <xf numFmtId="0" fontId="112" fillId="8" borderId="30" xfId="0" applyFont="1" applyFill="1" applyBorder="1" applyAlignment="1">
      <alignment horizontal="center" vertical="center"/>
    </xf>
    <xf numFmtId="218" fontId="117" fillId="0" borderId="35" xfId="0" applyNumberFormat="1" applyFont="1" applyFill="1" applyBorder="1" applyAlignment="1">
      <alignment horizontal="left" vertical="center" shrinkToFit="1"/>
    </xf>
    <xf numFmtId="218" fontId="117" fillId="0" borderId="36" xfId="0" applyNumberFormat="1" applyFont="1" applyFill="1" applyBorder="1" applyAlignment="1">
      <alignment horizontal="left" vertical="center" shrinkToFit="1"/>
    </xf>
    <xf numFmtId="218" fontId="117" fillId="0" borderId="37" xfId="0" applyNumberFormat="1" applyFont="1" applyFill="1" applyBorder="1" applyAlignment="1">
      <alignment horizontal="left" vertical="center" shrinkToFit="1"/>
    </xf>
    <xf numFmtId="0" fontId="114" fillId="0" borderId="35" xfId="0" applyFont="1" applyFill="1" applyBorder="1" applyAlignment="1">
      <alignment horizontal="left" vertical="center" wrapText="1"/>
    </xf>
    <xf numFmtId="0" fontId="114" fillId="0" borderId="36" xfId="0" applyFont="1" applyFill="1" applyBorder="1" applyAlignment="1">
      <alignment horizontal="left" vertical="center" wrapText="1"/>
    </xf>
    <xf numFmtId="0" fontId="114" fillId="0" borderId="37" xfId="0" applyFont="1" applyFill="1" applyBorder="1" applyAlignment="1">
      <alignment horizontal="left" vertical="center" wrapText="1"/>
    </xf>
    <xf numFmtId="0" fontId="114" fillId="0" borderId="16" xfId="0" applyFont="1" applyFill="1" applyBorder="1" applyAlignment="1">
      <alignment horizontal="left" vertical="center"/>
    </xf>
    <xf numFmtId="0" fontId="114" fillId="0" borderId="17" xfId="0" applyFont="1" applyFill="1" applyBorder="1" applyAlignment="1">
      <alignment horizontal="left" vertical="center"/>
    </xf>
    <xf numFmtId="0" fontId="114" fillId="0" borderId="18" xfId="0" applyFont="1" applyFill="1" applyBorder="1" applyAlignment="1">
      <alignment horizontal="left" vertical="center"/>
    </xf>
    <xf numFmtId="0" fontId="116" fillId="0" borderId="24" xfId="0" applyFont="1" applyFill="1" applyBorder="1" applyAlignment="1">
      <alignment horizontal="center" vertical="top" wrapText="1"/>
    </xf>
    <xf numFmtId="0" fontId="116" fillId="0" borderId="25" xfId="0" applyFont="1" applyFill="1" applyBorder="1" applyAlignment="1">
      <alignment horizontal="center" vertical="top" wrapText="1"/>
    </xf>
    <xf numFmtId="0" fontId="116" fillId="0" borderId="27" xfId="0" applyFont="1" applyFill="1" applyBorder="1" applyAlignment="1">
      <alignment horizontal="center" vertical="top" wrapText="1"/>
    </xf>
    <xf numFmtId="0" fontId="112" fillId="0" borderId="24" xfId="0" applyFont="1" applyFill="1" applyBorder="1" applyAlignment="1">
      <alignment horizontal="left" vertical="center" wrapText="1"/>
    </xf>
    <xf numFmtId="0" fontId="112" fillId="0" borderId="25" xfId="0" applyFont="1" applyFill="1" applyBorder="1" applyAlignment="1">
      <alignment horizontal="left" vertical="center" wrapText="1"/>
    </xf>
    <xf numFmtId="0" fontId="112" fillId="0" borderId="27" xfId="0" applyFont="1" applyFill="1" applyBorder="1" applyAlignment="1">
      <alignment horizontal="left" vertical="center" wrapText="1"/>
    </xf>
    <xf numFmtId="220" fontId="115" fillId="0" borderId="38" xfId="0" applyNumberFormat="1" applyFont="1" applyFill="1" applyBorder="1" applyAlignment="1">
      <alignment horizontal="left" vertical="center" shrinkToFit="1"/>
    </xf>
    <xf numFmtId="220" fontId="115" fillId="0" borderId="39" xfId="0" applyNumberFormat="1" applyFont="1" applyFill="1" applyBorder="1" applyAlignment="1">
      <alignment horizontal="left" vertical="center" shrinkToFit="1"/>
    </xf>
    <xf numFmtId="220" fontId="115" fillId="0" borderId="40" xfId="0" applyNumberFormat="1" applyFont="1" applyFill="1" applyBorder="1" applyAlignment="1">
      <alignment horizontal="left" vertical="center" shrinkToFit="1"/>
    </xf>
    <xf numFmtId="0" fontId="114" fillId="0" borderId="41" xfId="0" applyFont="1" applyFill="1" applyBorder="1" applyAlignment="1">
      <alignment horizontal="center" vertical="center" wrapText="1"/>
    </xf>
    <xf numFmtId="0" fontId="114" fillId="0" borderId="28" xfId="0" applyFont="1" applyFill="1" applyBorder="1" applyAlignment="1">
      <alignment horizontal="center" vertical="center" wrapText="1"/>
    </xf>
    <xf numFmtId="0" fontId="112" fillId="0" borderId="35" xfId="0" applyFont="1" applyFill="1" applyBorder="1" applyAlignment="1">
      <alignment horizontal="center" vertical="center" wrapText="1"/>
    </xf>
    <xf numFmtId="0" fontId="112" fillId="0" borderId="36" xfId="0" applyFont="1" applyFill="1" applyBorder="1" applyAlignment="1">
      <alignment horizontal="center" vertical="center" wrapText="1"/>
    </xf>
    <xf numFmtId="0" fontId="112" fillId="0" borderId="29" xfId="0" applyFont="1" applyFill="1" applyBorder="1" applyAlignment="1">
      <alignment horizontal="center" vertical="center" wrapText="1"/>
    </xf>
    <xf numFmtId="0" fontId="114" fillId="0" borderId="35" xfId="0" applyFont="1" applyFill="1" applyBorder="1" applyAlignment="1">
      <alignment horizontal="center" vertical="center" wrapText="1"/>
    </xf>
    <xf numFmtId="0" fontId="114" fillId="0" borderId="29" xfId="0" applyFont="1" applyFill="1" applyBorder="1" applyAlignment="1">
      <alignment horizontal="center" vertical="center" wrapText="1"/>
    </xf>
    <xf numFmtId="0" fontId="114" fillId="0" borderId="23" xfId="0" applyFont="1" applyBorder="1" applyAlignment="1">
      <alignment horizontal="center"/>
    </xf>
    <xf numFmtId="0" fontId="114" fillId="0" borderId="30" xfId="0" applyFont="1" applyBorder="1" applyAlignment="1">
      <alignment horizontal="center"/>
    </xf>
    <xf numFmtId="0" fontId="113" fillId="0" borderId="0" xfId="0" applyFont="1" applyAlignment="1">
      <alignment horizontal="center"/>
    </xf>
    <xf numFmtId="0" fontId="113" fillId="34" borderId="24" xfId="0" applyFont="1" applyFill="1" applyBorder="1" applyAlignment="1">
      <alignment horizontal="center"/>
    </xf>
    <xf numFmtId="0" fontId="113" fillId="34" borderId="25" xfId="0" applyFont="1" applyFill="1" applyBorder="1" applyAlignment="1">
      <alignment horizontal="center"/>
    </xf>
    <xf numFmtId="0" fontId="113" fillId="34" borderId="27" xfId="0" applyFont="1" applyFill="1" applyBorder="1" applyAlignment="1">
      <alignment horizontal="center"/>
    </xf>
    <xf numFmtId="0" fontId="112" fillId="8" borderId="41" xfId="0" applyFont="1" applyFill="1" applyBorder="1" applyAlignment="1">
      <alignment horizontal="center" vertical="center" wrapText="1"/>
    </xf>
    <xf numFmtId="0" fontId="112" fillId="8" borderId="42" xfId="0" applyFont="1" applyFill="1" applyBorder="1" applyAlignment="1">
      <alignment horizontal="center" vertical="center" wrapText="1"/>
    </xf>
    <xf numFmtId="0" fontId="112" fillId="0" borderId="21" xfId="0" applyFont="1" applyFill="1" applyBorder="1" applyAlignment="1">
      <alignment horizontal="center" vertical="center" wrapText="1"/>
    </xf>
    <xf numFmtId="0" fontId="112" fillId="0" borderId="28" xfId="0" applyFont="1" applyFill="1" applyBorder="1" applyAlignment="1">
      <alignment horizontal="center" vertical="center" wrapText="1"/>
    </xf>
    <xf numFmtId="0" fontId="112" fillId="0" borderId="41" xfId="0" applyFont="1" applyFill="1" applyBorder="1" applyAlignment="1">
      <alignment horizontal="center" vertical="center" wrapText="1"/>
    </xf>
    <xf numFmtId="0" fontId="112" fillId="0" borderId="42" xfId="0" applyFont="1" applyFill="1" applyBorder="1" applyAlignment="1">
      <alignment horizontal="center" vertical="center" wrapText="1"/>
    </xf>
    <xf numFmtId="0" fontId="112" fillId="37" borderId="43" xfId="0" applyFont="1" applyFill="1" applyBorder="1" applyAlignment="1">
      <alignment horizontal="center" vertical="center" wrapText="1"/>
    </xf>
    <xf numFmtId="0" fontId="112" fillId="37" borderId="0" xfId="0" applyFont="1" applyFill="1" applyBorder="1" applyAlignment="1">
      <alignment horizontal="center" vertical="center" wrapText="1"/>
    </xf>
    <xf numFmtId="0" fontId="112" fillId="37" borderId="21" xfId="0" applyFont="1" applyFill="1" applyBorder="1" applyAlignment="1">
      <alignment horizontal="center" vertical="center" wrapText="1"/>
    </xf>
    <xf numFmtId="0" fontId="112" fillId="37" borderId="41" xfId="0" applyFont="1" applyFill="1" applyBorder="1" applyAlignment="1">
      <alignment horizontal="center" vertical="center" wrapText="1"/>
    </xf>
    <xf numFmtId="0" fontId="112" fillId="37" borderId="42" xfId="0" applyFont="1" applyFill="1" applyBorder="1" applyAlignment="1">
      <alignment horizontal="center" vertical="center" wrapText="1"/>
    </xf>
    <xf numFmtId="0" fontId="112" fillId="37" borderId="28" xfId="0" applyFont="1" applyFill="1" applyBorder="1" applyAlignment="1">
      <alignment horizontal="center" vertical="center" wrapText="1"/>
    </xf>
    <xf numFmtId="0" fontId="4" fillId="0" borderId="0" xfId="0" applyFont="1" applyBorder="1" applyAlignment="1">
      <alignment horizontal="left"/>
    </xf>
    <xf numFmtId="0" fontId="2" fillId="0" borderId="10" xfId="0" applyFont="1" applyBorder="1" applyAlignment="1">
      <alignment horizontal="center"/>
    </xf>
    <xf numFmtId="171" fontId="1" fillId="34" borderId="10" xfId="28" applyFont="1" applyFill="1" applyBorder="1" applyAlignment="1">
      <alignment horizontal="center" vertical="center" wrapText="1"/>
    </xf>
    <xf numFmtId="0" fontId="111" fillId="0" borderId="0" xfId="0" applyFont="1" applyBorder="1" applyAlignment="1">
      <alignment horizontal="center" vertical="center"/>
    </xf>
    <xf numFmtId="0" fontId="111" fillId="0" borderId="0" xfId="0" applyFont="1" applyAlignment="1">
      <alignment horizontal="center"/>
    </xf>
    <xf numFmtId="0" fontId="110" fillId="8" borderId="16" xfId="0" applyFont="1" applyFill="1" applyBorder="1" applyAlignment="1">
      <alignment horizontal="center" vertical="center"/>
    </xf>
    <xf numFmtId="0" fontId="110" fillId="8" borderId="17" xfId="0" applyFont="1" applyFill="1" applyBorder="1" applyAlignment="1">
      <alignment horizontal="center" vertical="center"/>
    </xf>
    <xf numFmtId="0" fontId="110" fillId="8" borderId="18" xfId="0" applyFont="1" applyFill="1" applyBorder="1" applyAlignment="1">
      <alignment horizontal="center" vertical="center"/>
    </xf>
    <xf numFmtId="0" fontId="110" fillId="0" borderId="0" xfId="0" applyFont="1" applyAlignment="1">
      <alignment horizontal="center"/>
    </xf>
    <xf numFmtId="0" fontId="109" fillId="0" borderId="0" xfId="0" applyFont="1" applyAlignment="1">
      <alignment horizontal="center" vertical="center"/>
    </xf>
    <xf numFmtId="0" fontId="107" fillId="0" borderId="0" xfId="0" applyFont="1" applyAlignment="1">
      <alignment horizontal="center" vertical="center" wrapText="1"/>
    </xf>
    <xf numFmtId="0" fontId="107" fillId="0" borderId="0" xfId="0" applyFont="1" applyAlignment="1">
      <alignment horizontal="center" vertical="center"/>
    </xf>
    <xf numFmtId="0" fontId="108" fillId="0" borderId="10" xfId="0" applyFont="1" applyBorder="1" applyAlignment="1">
      <alignment horizontal="center" vertical="center"/>
    </xf>
    <xf numFmtId="0" fontId="108" fillId="0" borderId="24" xfId="0" applyFont="1" applyBorder="1" applyAlignment="1">
      <alignment horizontal="center" vertical="center"/>
    </xf>
    <xf numFmtId="0" fontId="108" fillId="0" borderId="25" xfId="0" applyFont="1" applyBorder="1" applyAlignment="1">
      <alignment horizontal="center" vertical="center"/>
    </xf>
    <xf numFmtId="0" fontId="108" fillId="0" borderId="27" xfId="0" applyFont="1" applyBorder="1" applyAlignment="1">
      <alignment horizontal="center" vertical="center"/>
    </xf>
    <xf numFmtId="2" fontId="108" fillId="0" borderId="15" xfId="0" applyNumberFormat="1" applyFont="1" applyBorder="1" applyAlignment="1" quotePrefix="1">
      <alignment horizontal="center" vertical="center"/>
    </xf>
    <xf numFmtId="2" fontId="108" fillId="0" borderId="13" xfId="0" applyNumberFormat="1" applyFont="1" applyBorder="1" applyAlignment="1" quotePrefix="1">
      <alignment horizontal="center" vertical="center"/>
    </xf>
    <xf numFmtId="2" fontId="108" fillId="0" borderId="16" xfId="0" applyNumberFormat="1" applyFont="1" applyBorder="1" applyAlignment="1" quotePrefix="1">
      <alignment horizontal="center" vertical="center"/>
    </xf>
    <xf numFmtId="2" fontId="108" fillId="0" borderId="17" xfId="0" applyNumberFormat="1" applyFont="1" applyBorder="1" applyAlignment="1" quotePrefix="1">
      <alignment horizontal="center" vertical="center"/>
    </xf>
    <xf numFmtId="2" fontId="108" fillId="0" borderId="14" xfId="0" applyNumberFormat="1" applyFont="1" applyBorder="1" applyAlignment="1" quotePrefix="1">
      <alignment horizontal="center" vertical="center"/>
    </xf>
    <xf numFmtId="2" fontId="108" fillId="0" borderId="18" xfId="0" applyNumberFormat="1" applyFont="1" applyBorder="1" applyAlignment="1" quotePrefix="1">
      <alignment horizontal="center" vertical="center"/>
    </xf>
    <xf numFmtId="2" fontId="108" fillId="0" borderId="10" xfId="0" applyNumberFormat="1" applyFont="1" applyBorder="1" applyAlignment="1">
      <alignment horizontal="center" vertical="center"/>
    </xf>
    <xf numFmtId="0" fontId="108" fillId="0" borderId="24" xfId="0" applyFont="1" applyBorder="1" applyAlignment="1" quotePrefix="1">
      <alignment horizontal="center" vertical="center"/>
    </xf>
    <xf numFmtId="0" fontId="108" fillId="0" borderId="25" xfId="0" applyFont="1" applyBorder="1" applyAlignment="1" quotePrefix="1">
      <alignment horizontal="center" vertical="center"/>
    </xf>
    <xf numFmtId="0" fontId="108" fillId="0" borderId="27" xfId="0" applyFont="1" applyBorder="1" applyAlignment="1" quotePrefix="1">
      <alignment horizontal="center" vertical="center"/>
    </xf>
    <xf numFmtId="0" fontId="108" fillId="0" borderId="10" xfId="0" applyFont="1" applyBorder="1" applyAlignment="1" quotePrefix="1">
      <alignment horizontal="center" vertical="center"/>
    </xf>
    <xf numFmtId="0" fontId="108" fillId="0" borderId="0" xfId="0" applyFont="1" applyAlignment="1">
      <alignment horizontal="left" vertical="top" wrapText="1"/>
    </xf>
    <xf numFmtId="0" fontId="108" fillId="0" borderId="0" xfId="0" applyFont="1" applyAlignment="1">
      <alignment horizontal="left" vertical="top"/>
    </xf>
    <xf numFmtId="0" fontId="108" fillId="0" borderId="0" xfId="0" applyFont="1" applyAlignment="1">
      <alignment horizontal="center" vertical="top"/>
    </xf>
    <xf numFmtId="0" fontId="107" fillId="0" borderId="0" xfId="0" applyFont="1" applyAlignment="1" quotePrefix="1">
      <alignment horizontal="center" vertical="top"/>
    </xf>
    <xf numFmtId="0" fontId="107" fillId="0" borderId="0" xfId="0" applyFont="1" applyAlignment="1">
      <alignment horizontal="center" vertical="top"/>
    </xf>
    <xf numFmtId="0" fontId="107" fillId="40" borderId="20" xfId="0" applyFont="1" applyFill="1" applyBorder="1" applyAlignment="1">
      <alignment horizontal="center" vertical="center" wrapText="1"/>
    </xf>
    <xf numFmtId="0" fontId="107" fillId="40" borderId="30" xfId="0" applyFont="1" applyFill="1" applyBorder="1" applyAlignment="1">
      <alignment horizontal="center" vertical="center" wrapText="1"/>
    </xf>
    <xf numFmtId="0" fontId="107" fillId="40" borderId="10" xfId="0" applyFont="1" applyFill="1" applyBorder="1" applyAlignment="1">
      <alignment horizontal="center" vertical="center" wrapText="1"/>
    </xf>
    <xf numFmtId="0" fontId="107" fillId="40" borderId="20" xfId="0" applyFont="1" applyFill="1" applyBorder="1" applyAlignment="1">
      <alignment horizontal="center" vertical="center" textRotation="90" wrapText="1"/>
    </xf>
    <xf numFmtId="0" fontId="107" fillId="40" borderId="30" xfId="0" applyFont="1" applyFill="1" applyBorder="1" applyAlignment="1">
      <alignment horizontal="center" vertical="center" textRotation="90" wrapText="1"/>
    </xf>
    <xf numFmtId="0" fontId="107" fillId="40" borderId="10" xfId="0" applyFont="1" applyFill="1" applyBorder="1" applyAlignment="1">
      <alignment horizontal="center" vertical="center" textRotation="90" wrapText="1"/>
    </xf>
    <xf numFmtId="0" fontId="107" fillId="40" borderId="10" xfId="0" applyFont="1" applyFill="1" applyBorder="1" applyAlignment="1">
      <alignment horizontal="center"/>
    </xf>
    <xf numFmtId="0" fontId="8" fillId="0" borderId="24" xfId="0" applyFont="1" applyBorder="1" applyAlignment="1">
      <alignment horizontal="center" vertical="top" wrapText="1"/>
    </xf>
    <xf numFmtId="0" fontId="8" fillId="0" borderId="25" xfId="0" applyFont="1" applyBorder="1" applyAlignment="1">
      <alignment horizontal="center" vertical="top" wrapText="1"/>
    </xf>
    <xf numFmtId="0" fontId="8" fillId="0" borderId="27" xfId="0" applyFont="1" applyBorder="1" applyAlignment="1">
      <alignment horizontal="center" vertical="top" wrapText="1"/>
    </xf>
    <xf numFmtId="0" fontId="106" fillId="0" borderId="0" xfId="0" applyFont="1" applyAlignment="1">
      <alignment horizontal="center" vertical="center"/>
    </xf>
    <xf numFmtId="220" fontId="0" fillId="0" borderId="0" xfId="0" applyNumberFormat="1" applyAlignment="1">
      <alignment horizontal="center"/>
    </xf>
    <xf numFmtId="223" fontId="105" fillId="38" borderId="24" xfId="0" applyNumberFormat="1" applyFont="1" applyFill="1" applyBorder="1" applyAlignment="1">
      <alignment horizontal="center" vertical="top" shrinkToFit="1"/>
    </xf>
    <xf numFmtId="223" fontId="105" fillId="38" borderId="25" xfId="0" applyNumberFormat="1" applyFont="1" applyFill="1" applyBorder="1" applyAlignment="1">
      <alignment horizontal="center" vertical="top" shrinkToFit="1"/>
    </xf>
    <xf numFmtId="223" fontId="105" fillId="38" borderId="27" xfId="0" applyNumberFormat="1" applyFont="1" applyFill="1" applyBorder="1" applyAlignment="1">
      <alignment horizontal="center" vertical="top" shrinkToFit="1"/>
    </xf>
    <xf numFmtId="0" fontId="104" fillId="0" borderId="10" xfId="0" applyFont="1" applyBorder="1" applyAlignment="1">
      <alignment horizontal="center" vertical="center" wrapText="1"/>
    </xf>
    <xf numFmtId="223" fontId="102" fillId="0" borderId="24" xfId="0" applyNumberFormat="1" applyFont="1" applyBorder="1" applyAlignment="1">
      <alignment horizontal="center" vertical="top" shrinkToFit="1"/>
    </xf>
    <xf numFmtId="223" fontId="102" fillId="0" borderId="25" xfId="0" applyNumberFormat="1" applyFont="1" applyBorder="1" applyAlignment="1">
      <alignment horizontal="center" vertical="top" shrinkToFit="1"/>
    </xf>
    <xf numFmtId="223" fontId="102" fillId="0" borderId="27" xfId="0" applyNumberFormat="1" applyFont="1" applyBorder="1" applyAlignment="1">
      <alignment horizontal="center" vertical="top" shrinkToFit="1"/>
    </xf>
    <xf numFmtId="0" fontId="104" fillId="0" borderId="15" xfId="0" applyFont="1" applyBorder="1" applyAlignment="1">
      <alignment horizontal="center" vertical="center" wrapText="1"/>
    </xf>
    <xf numFmtId="0" fontId="104" fillId="0" borderId="13" xfId="0" applyFont="1" applyBorder="1" applyAlignment="1">
      <alignment horizontal="center" vertical="center" wrapText="1"/>
    </xf>
    <xf numFmtId="0" fontId="104" fillId="0" borderId="14" xfId="0" applyFont="1" applyBorder="1" applyAlignment="1">
      <alignment horizontal="center" vertical="center" wrapText="1"/>
    </xf>
    <xf numFmtId="0" fontId="14" fillId="0" borderId="0" xfId="0" applyFont="1" applyAlignment="1">
      <alignment horizontal="center" vertical="top" wrapText="1"/>
    </xf>
    <xf numFmtId="0" fontId="0" fillId="0" borderId="0" xfId="0" applyAlignment="1">
      <alignment horizontal="center" vertical="top" wrapText="1"/>
    </xf>
    <xf numFmtId="0" fontId="16" fillId="38" borderId="0" xfId="0" applyFont="1" applyFill="1" applyAlignment="1">
      <alignment horizontal="center" vertical="top" wrapText="1"/>
    </xf>
    <xf numFmtId="0" fontId="103" fillId="0" borderId="0" xfId="0" applyFont="1" applyAlignment="1">
      <alignment horizontal="left" vertical="center"/>
    </xf>
    <xf numFmtId="0" fontId="10" fillId="38" borderId="24" xfId="0" applyFont="1" applyFill="1" applyBorder="1" applyAlignment="1">
      <alignment horizontal="center" vertical="top"/>
    </xf>
    <xf numFmtId="0" fontId="10" fillId="38" borderId="25" xfId="0" applyFont="1" applyFill="1" applyBorder="1" applyAlignment="1">
      <alignment horizontal="center" vertical="top"/>
    </xf>
    <xf numFmtId="0" fontId="10" fillId="38" borderId="27" xfId="0" applyFont="1" applyFill="1" applyBorder="1" applyAlignment="1">
      <alignment horizontal="center" vertical="top"/>
    </xf>
    <xf numFmtId="223" fontId="102" fillId="42" borderId="15" xfId="0" applyNumberFormat="1" applyFont="1" applyFill="1" applyBorder="1" applyAlignment="1">
      <alignment horizontal="center" vertical="top" shrinkToFit="1"/>
    </xf>
    <xf numFmtId="223" fontId="102" fillId="42" borderId="13" xfId="0" applyNumberFormat="1" applyFont="1" applyFill="1" applyBorder="1" applyAlignment="1">
      <alignment horizontal="center" vertical="top" shrinkToFit="1"/>
    </xf>
    <xf numFmtId="223" fontId="102" fillId="42" borderId="14" xfId="0" applyNumberFormat="1" applyFont="1" applyFill="1" applyBorder="1" applyAlignment="1">
      <alignment horizontal="center" vertical="top" shrinkToFit="1"/>
    </xf>
    <xf numFmtId="0" fontId="8" fillId="0" borderId="15" xfId="0" applyFont="1" applyBorder="1" applyAlignment="1">
      <alignment horizontal="center" vertical="top" wrapText="1"/>
    </xf>
    <xf numFmtId="0" fontId="8" fillId="0" borderId="13" xfId="0" applyFont="1" applyBorder="1" applyAlignment="1">
      <alignment horizontal="center" vertical="top" wrapText="1"/>
    </xf>
    <xf numFmtId="0" fontId="8" fillId="0" borderId="14" xfId="0" applyFont="1" applyBorder="1" applyAlignment="1">
      <alignment horizontal="center" vertical="top" wrapText="1"/>
    </xf>
    <xf numFmtId="0" fontId="9" fillId="38" borderId="10" xfId="0" applyFont="1" applyFill="1" applyBorder="1" applyAlignment="1">
      <alignment horizontal="center" vertical="top" wrapText="1"/>
    </xf>
    <xf numFmtId="0" fontId="1" fillId="0" borderId="0" xfId="0" applyFont="1" applyAlignment="1">
      <alignment horizontal="left" vertical="top" wrapText="1"/>
    </xf>
    <xf numFmtId="0" fontId="1" fillId="43" borderId="24" xfId="0" applyFont="1" applyFill="1" applyBorder="1" applyAlignment="1">
      <alignment horizontal="center" wrapText="1"/>
    </xf>
    <xf numFmtId="0" fontId="1" fillId="43" borderId="25" xfId="0" applyFont="1" applyFill="1" applyBorder="1" applyAlignment="1">
      <alignment horizontal="center" wrapText="1"/>
    </xf>
    <xf numFmtId="0" fontId="1" fillId="43" borderId="27" xfId="0" applyFont="1" applyFill="1" applyBorder="1" applyAlignment="1">
      <alignment horizontal="center" wrapText="1"/>
    </xf>
    <xf numFmtId="0" fontId="0" fillId="43" borderId="25" xfId="0" applyFont="1" applyFill="1" applyBorder="1" applyAlignment="1">
      <alignment horizontal="center" wrapText="1"/>
    </xf>
    <xf numFmtId="0" fontId="0" fillId="43" borderId="27" xfId="0" applyFont="1" applyFill="1" applyBorder="1" applyAlignment="1">
      <alignment horizontal="center" wrapText="1"/>
    </xf>
  </cellXfs>
  <cellStyles count="53">
    <cellStyle name="Normal" xfId="0" builtinId="0"/>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Comma" xfId="28" builtinId="3"/>
    <cellStyle name="Comma [0]" xfId="29" builtinId="6"/>
    <cellStyle name="Currency" xfId="30" builtinId="4"/>
    <cellStyle name="Currency [0]" xfId="31" builtinId="7"/>
    <cellStyle name="Explanatory Text" xfId="32"/>
    <cellStyle name="Followed Hyperlink" xfId="33" builtinId="9"/>
    <cellStyle name="Good" xfId="34"/>
    <cellStyle name="Heading 1" xfId="35"/>
    <cellStyle name="Heading 2" xfId="36"/>
    <cellStyle name="Heading 3" xfId="37"/>
    <cellStyle name="Heading 4" xfId="38"/>
    <cellStyle name="Hyperlink" xfId="39" builtinId="8"/>
    <cellStyle name="Input" xfId="40"/>
    <cellStyle name="Linked Cell" xfId="41"/>
    <cellStyle name="Neutral" xfId="42"/>
    <cellStyle name="Normal 2" xfId="43"/>
    <cellStyle name="Normal 3" xfId="44"/>
    <cellStyle name="Normal 3 2" xfId="45"/>
    <cellStyle name="Normal 5" xfId="46"/>
    <cellStyle name="Note" xfId="47"/>
    <cellStyle name="Output" xfId="48"/>
    <cellStyle name="Percent" xfId="49" builtinId="5"/>
    <cellStyle name="Title" xfId="50"/>
    <cellStyle name="Total" xfId="51"/>
    <cellStyle name="Warning Text" xfId="52"/>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6" Type="http://schemas.openxmlformats.org/officeDocument/2006/relationships/externalLink" Target="externalLinks/externalLink2.xml" /><Relationship Id="rId6" Type="http://schemas.openxmlformats.org/officeDocument/2006/relationships/worksheet" Target="worksheets/sheet3.xml" /><Relationship Id="rId7" Type="http://schemas.openxmlformats.org/officeDocument/2006/relationships/worksheet" Target="worksheets/sheet4.xml" /><Relationship Id="rId5" Type="http://schemas.openxmlformats.org/officeDocument/2006/relationships/worksheet" Target="worksheets/sheet2.xml" /><Relationship Id="rId1" Type="http://schemas.openxmlformats.org/officeDocument/2006/relationships/theme" Target="theme/theme1.xml" /><Relationship Id="rId12" Type="http://schemas.openxmlformats.org/officeDocument/2006/relationships/worksheet" Target="worksheets/sheet9.xml" /><Relationship Id="rId2" Type="http://schemas.microsoft.com/office/2006/relationships/vbaProject" Target="vbaProject.bin" /><Relationship Id="rId4" Type="http://schemas.openxmlformats.org/officeDocument/2006/relationships/worksheet" Target="worksheets/sheet1.xml" /><Relationship Id="rId3" Type="http://schemas.openxmlformats.org/officeDocument/2006/relationships/styles" Target="styles.xml" /><Relationship Id="rId10" Type="http://schemas.openxmlformats.org/officeDocument/2006/relationships/worksheet" Target="worksheets/sheet7.xml" /><Relationship Id="rId13" Type="http://schemas.openxmlformats.org/officeDocument/2006/relationships/worksheet" Target="worksheets/sheet10.xml" /><Relationship Id="rId8" Type="http://schemas.openxmlformats.org/officeDocument/2006/relationships/worksheet" Target="worksheets/sheet5.xml" /><Relationship Id="rId14" Type="http://schemas.openxmlformats.org/officeDocument/2006/relationships/sharedStrings" Target="sharedStrings.xml" /><Relationship Id="rId15" Type="http://schemas.openxmlformats.org/officeDocument/2006/relationships/externalLink" Target="externalLinks/externalLink1.xml" /><Relationship Id="rId9" Type="http://schemas.openxmlformats.org/officeDocument/2006/relationships/worksheet" Target="worksheets/sheet6.xml" /><Relationship Id="rId11" Type="http://schemas.openxmlformats.org/officeDocument/2006/relationships/worksheet" Target="worksheets/sheet8.xml" /><Relationship Id="rId17" Type="http://schemas.openxmlformats.org/officeDocument/2006/relationships/calcChain" Target="calcChain.xml" /></Relationships>
</file>

<file path=xl/ctrProps/ctr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2" Type="http://schemas.openxmlformats.org/officeDocument/2006/relationships/image" Target="../media/image1.png" /><Relationship Id="rId1" Type="http://schemas.openxmlformats.org/officeDocument/2006/relationships/image" Target="../media/image1.jpeg" /><Relationship Id="rId3" Type="http://schemas.openxmlformats.org/officeDocument/2006/relationships/image" Target="../media/image2.png" /></Relationships>
</file>

<file path=xl/drawings/_rels/drawing2.xml.rels><?xml version="1.0" encoding="UTF-8" standalone="yes"?><Relationships xmlns="http://schemas.openxmlformats.org/package/2006/relationships"><Relationship Id="rId2" Type="http://schemas.openxmlformats.org/officeDocument/2006/relationships/image" Target="../media/image2.png" /><Relationship Id="rId1" Type="http://schemas.openxmlformats.org/officeDocument/2006/relationships/image" Target="../media/image1.png" /><Relationship Id="rId3" Type="http://schemas.openxmlformats.org/officeDocument/2006/relationships/image" Target="../media/image2.jpeg" /></Relationships>
</file>

<file path=xl/drawings/_rels/drawing3.xml.rels><?xml version="1.0" encoding="UTF-8" standalone="yes"?><Relationships xmlns="http://schemas.openxmlformats.org/package/2006/relationships"><Relationship Id="rId1" Type="http://schemas.openxmlformats.org/officeDocument/2006/relationships/image" Target="../media/image1.png" /><Relationship Id="rId2" Type="http://schemas.openxmlformats.org/officeDocument/2006/relationships/image" Target="../media/image2.png" /></Relationships>
</file>

<file path=xl/drawings/_rels/drawing5.xml.rels><?xml version="1.0" encoding="UTF-8" standalone="yes"?><Relationships xmlns="http://schemas.openxmlformats.org/package/2006/relationships"><Relationship Id="rId1" Type="http://schemas.openxmlformats.org/officeDocument/2006/relationships/image" Target="../media/image3.png" /><Relationship Id="rId2"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37830</xdr:colOff>
      <xdr:row>53</xdr:row>
      <xdr:rowOff>9823</xdr:rowOff>
    </xdr:from>
    <xdr:to>
      <xdr:col>11</xdr:col>
      <xdr:colOff>962062</xdr:colOff>
      <xdr:row>56</xdr:row>
      <xdr:rowOff>218777</xdr:rowOff>
    </xdr:to>
    <xdr:pic>
      <xdr:nvPicPr>
        <xdr:cNvPr id="1060" name="Picture 4">
          <a:extLst>
            <a:ext uri="{FF2B5EF4-FFF2-40B4-BE49-F238E27FC236}">
              <a16:creationId xmlns:a16="http://schemas.microsoft.com/office/drawing/2014/main" id="{6d7d9bae-19a3-4115-ba3b-482297f2e5f5}"/>
            </a:ext>
          </a:extLst>
        </xdr:cNvPr>
        <xdr:cNvPicPr>
          <a:picLocks noChangeAspect="1"/>
        </xdr:cNvPicPr>
      </xdr:nvPicPr>
      <xdr:blipFill>
        <a:blip r:embed="rId1"/>
        <a:stretch>
          <a:fillRect/>
        </a:stretch>
      </xdr:blipFill>
      <xdr:spPr>
        <a:xfrm>
          <a:off x="38100" y="13725525"/>
          <a:ext cx="9972675" cy="895350"/>
        </a:xfrm>
        <a:prstGeom prst="rect"/>
      </xdr:spPr>
    </xdr:pic>
    <xdr:clientData/>
  </xdr:twoCellAnchor>
  <xdr:oneCellAnchor>
    <xdr:from>
      <xdr:col>12</xdr:col>
      <xdr:colOff>285750</xdr:colOff>
      <xdr:row>2</xdr:row>
      <xdr:rowOff>76200</xdr:rowOff>
    </xdr:from>
    <xdr:ext cx="190500" cy="276225"/>
    <xdr:sp>
      <xdr:nvSpPr>
        <xdr:cNvPr id="1061" name="TextBox 2">
          <a:extLst>
            <a:ext uri="{FF2B5EF4-FFF2-40B4-BE49-F238E27FC236}">
              <a16:creationId xmlns:a16="http://schemas.microsoft.com/office/drawing/2014/main" id="{f40f0e29-2368-4d50-8b7d-72f122a3e113}"/>
            </a:ext>
          </a:extLst>
        </xdr:cNvPr>
        <xdr:cNvSpPr txBox="1"/>
      </xdr:nvSpPr>
      <xdr:spPr>
        <a:xfrm>
          <a:off x="10306050" y="533400"/>
          <a:ext cx="190500" cy="276225"/>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xmlns:a="http://schemas.openxmlformats.org/drawingml/2006/main"/>
        <a:p>
          <a:endParaRPr lang="en-IN"/>
        </a:p>
      </xdr:txBody>
    </xdr:sp>
    <xdr:clientData/>
  </xdr:oneCellAnchor>
  <xdr:oneCellAnchor>
    <xdr:from>
      <xdr:col>11</xdr:col>
      <xdr:colOff>723900</xdr:colOff>
      <xdr:row>10</xdr:row>
      <xdr:rowOff>28575</xdr:rowOff>
    </xdr:from>
    <xdr:ext cx="228600" cy="266700"/>
    <xdr:sp>
      <xdr:nvSpPr>
        <xdr:cNvPr id="1062" name="TextBox 3">
          <a:extLst>
            <a:ext uri="{FF2B5EF4-FFF2-40B4-BE49-F238E27FC236}">
              <a16:creationId xmlns:a16="http://schemas.microsoft.com/office/drawing/2014/main" id="{552a1399-f52c-46e1-8841-e693c9d4c81f}"/>
            </a:ext>
          </a:extLst>
        </xdr:cNvPr>
        <xdr:cNvSpPr txBox="1"/>
      </xdr:nvSpPr>
      <xdr:spPr>
        <a:xfrm>
          <a:off x="9772650" y="2314575"/>
          <a:ext cx="228600" cy="2667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xmlns:a="http://schemas.openxmlformats.org/drawingml/2006/main"/>
        <a:p>
          <a:endParaRPr lang="en-IN"/>
        </a:p>
      </xdr:txBody>
    </xdr:sp>
    <xdr:clientData/>
  </xdr:oneCellAnchor>
  <xdr:oneCellAnchor>
    <xdr:from>
      <xdr:col>0</xdr:col>
      <xdr:colOff>28575</xdr:colOff>
      <xdr:row>0</xdr:row>
      <xdr:rowOff>0</xdr:rowOff>
    </xdr:from>
    <xdr:ext cx="9505950" cy="266700"/>
    <xdr:sp>
      <xdr:nvSpPr>
        <xdr:cNvPr id="1063" name="TextBox 4">
          <a:extLst>
            <a:ext uri="{FF2B5EF4-FFF2-40B4-BE49-F238E27FC236}">
              <a16:creationId xmlns:a16="http://schemas.microsoft.com/office/drawing/2014/main" id="{d390fce8-1f1b-47ea-beb5-a14b5a9bb8d0}"/>
            </a:ext>
          </a:extLst>
        </xdr:cNvPr>
        <xdr:cNvSpPr txBox="1"/>
      </xdr:nvSpPr>
      <xdr:spPr>
        <a:xfrm>
          <a:off x="28575" y="0"/>
          <a:ext cx="9505950" cy="2667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square" rtlCol="0" anchor="t">
          <a:spAutoFit/>
        </a:bodyPr>
        <a:lstStyle xmlns:a="http://schemas.openxmlformats.org/drawingml/2006/main"/>
        <a:p>
          <a:endParaRPr lang="en-IN"/>
        </a:p>
      </xdr:txBody>
    </xdr:sp>
    <xdr:clientData/>
  </xdr:oneCellAnchor>
  <xdr:twoCellAnchor>
    <xdr:from>
      <xdr:col>0</xdr:col>
      <xdr:colOff>28575</xdr:colOff>
      <xdr:row>0</xdr:row>
      <xdr:rowOff>41275</xdr:rowOff>
    </xdr:from>
    <xdr:to>
      <xdr:col>11</xdr:col>
      <xdr:colOff>962727</xdr:colOff>
      <xdr:row>9</xdr:row>
      <xdr:rowOff>190517</xdr:rowOff>
    </xdr:to>
    <xdr:sp>
      <xdr:nvSpPr>
        <xdr:cNvPr id="1064" name="Text Box 9">
          <a:extLst>
            <a:ext uri="{FF2B5EF4-FFF2-40B4-BE49-F238E27FC236}">
              <a16:creationId xmlns:a16="http://schemas.microsoft.com/office/drawing/2014/main" id="{5d384a67-be39-49c8-b0fd-00bb53c6dca0}"/>
            </a:ext>
          </a:extLst>
        </xdr:cNvPr>
        <xdr:cNvSpPr txBox="1"/>
      </xdr:nvSpPr>
      <xdr:spPr>
        <a:xfrm>
          <a:off x="28575" y="38100"/>
          <a:ext cx="9982200" cy="2209800"/>
        </a:xfrm>
        <a:prstGeom prst="rect"/>
        <a:solidFill>
          <a:schemeClr val="bg1"/>
        </a:solidFill>
        <a:ln w="6350">
          <a:solidFill>
            <a:schemeClr val="bg1"/>
          </a:solidFill>
        </a:ln>
        <a:effectLst xmlns:a="http://schemas.openxmlformats.org/drawingml/2006/main"/>
      </xdr:spPr>
      <xdr:style>
        <a:lnRef idx="0">
          <a:schemeClr val="accent1"/>
        </a:lnRef>
        <a:fillRef idx="0">
          <a:schemeClr val="accent1"/>
        </a:fillRef>
        <a:effectRef idx="0">
          <a:schemeClr val="accent1"/>
        </a:effectRef>
        <a:fontRef idx="minor">
          <a:schemeClr val="tx1"/>
        </a:fontRef>
      </xdr:style>
      <xdr:txBody>
        <a:bodyPr fromWordArt="0" lIns="91440" tIns="45720" rIns="91440" bIns="45720" vert="horz" wrap="square" numCol="1" spcCol="0" rtlCol="0" anchor="ctr" anchorCtr="0">
          <a:prstTxWarp prst="textNoShape"/>
          <a:noAutofit/>
        </a:bodyPr>
        <a:lstStyle xmlns:a="http://schemas.openxmlformats.org/drawingml/2006/main"/>
        <a:p>
          <a:pPr algn="ctr" marL="0" marR="0">
            <a:spcBef>
              <a:spcPts val="0"/>
            </a:spcBef>
            <a:spcAft>
              <a:spcPts val="0"/>
            </a:spcAft>
            <a:tabLst>
              <a:tab algn="l" pos="-457200"/>
            </a:tabLst>
          </a:pPr>
          <a:r>
            <a:rPr lang="en-US" sz="1000" b="1">
              <a:solidFill>
                <a:schemeClr val="tx1"/>
              </a:solidFill>
              <a:effectLst/>
              <a:latin typeface="Gauge Heavy"/>
              <a:ea typeface="Calibri"/>
              <a:cs typeface="Times New Roman"/>
            </a:rPr>
            <a:t>           </a:t>
          </a:r>
        </a:p>
        <a:p>
          <a:pPr algn="ctr" marL="0" marR="0">
            <a:spcBef>
              <a:spcPts val="0"/>
            </a:spcBef>
            <a:spcAft>
              <a:spcPts val="0"/>
            </a:spcAft>
            <a:tabLst>
              <a:tab algn="l" pos="-457200"/>
            </a:tabLst>
          </a:pPr>
          <a:r>
            <a:rPr lang="en-US" sz="1000" b="1">
              <a:solidFill>
                <a:schemeClr val="tx1"/>
              </a:solidFill>
              <a:effectLst/>
              <a:latin typeface="Gauge Heavy"/>
              <a:ea typeface="Calibri"/>
              <a:cs typeface="Times New Roman"/>
            </a:rPr>
            <a:t>           </a:t>
          </a:r>
        </a:p>
        <a:p>
          <a:pPr algn="ctr" marL="0" marR="0">
            <a:lnSpc>
              <a:spcPts val="3500"/>
            </a:lnSpc>
            <a:spcBef>
              <a:spcPts val="0"/>
            </a:spcBef>
            <a:spcAft>
              <a:spcPts val="0"/>
            </a:spcAft>
            <a:tabLst>
              <a:tab algn="l" pos="-457200"/>
            </a:tabLst>
          </a:pPr>
          <a:r>
            <a:rPr lang="en-US" sz="1000" b="1">
              <a:solidFill>
                <a:schemeClr val="tx1"/>
              </a:solidFill>
              <a:effectLst/>
              <a:latin typeface="Gauge Heavy"/>
              <a:ea typeface="Calibri"/>
              <a:cs typeface="Times New Roman"/>
            </a:rPr>
            <a:t>               </a:t>
          </a:r>
          <a:r>
            <a:rPr lang="en-US" sz="3200" b="1">
              <a:solidFill>
                <a:schemeClr val="tx1"/>
              </a:solidFill>
              <a:effectLst/>
              <a:latin typeface="Gauge Heavy"/>
              <a:ea typeface="Calibri"/>
              <a:cs typeface="Times New Roman"/>
            </a:rPr>
            <a:t>Singh and Sons InfoTech Private Limited</a:t>
          </a:r>
          <a:endParaRPr lang="en-US" sz="3200">
            <a:solidFill>
              <a:srgbClr val="000000"/>
            </a:solidFill>
            <a:effectLst/>
            <a:ea typeface="Calibri"/>
            <a:cs typeface="Times New Roman"/>
          </a:endParaRPr>
        </a:p>
        <a:p>
          <a:pPr algn="ctr" marL="0" marR="0">
            <a:spcBef>
              <a:spcPts val="0"/>
            </a:spcBef>
            <a:spcAft>
              <a:spcPts val="0"/>
            </a:spcAft>
            <a:tabLst>
              <a:tab algn="l" pos="-457200"/>
            </a:tabLst>
          </a:pPr>
          <a:r>
            <a:rPr lang="en-US" sz="1900" b="1">
              <a:solidFill>
                <a:srgbClr val="FF0000"/>
              </a:solidFill>
              <a:effectLst/>
              <a:latin typeface="Futura Lt BT" pitchFamily="34" charset="0"/>
              <a:ea typeface="Calibri"/>
              <a:cs typeface="Times New Roman"/>
            </a:rPr>
            <a:t>        </a:t>
          </a:r>
          <a:r>
            <a:rPr lang="en-US" sz="2000" b="1">
              <a:solidFill>
                <a:srgbClr val="FF0000"/>
              </a:solidFill>
              <a:effectLst/>
              <a:latin typeface="Futura Lt BT" pitchFamily="34" charset="0"/>
              <a:ea typeface="Calibri"/>
              <a:cs typeface="Times New Roman"/>
            </a:rPr>
            <a:t>(An Integrated Facilities Management Company)</a:t>
          </a:r>
          <a:endParaRPr lang="en-US" sz="2000">
            <a:solidFill>
              <a:srgbClr val="000000"/>
            </a:solidFill>
            <a:effectLst/>
            <a:latin typeface="Futura Lt BT" pitchFamily="34" charset="0"/>
            <a:ea typeface="Calibri"/>
            <a:cs typeface="Times New Roman"/>
          </a:endParaRPr>
        </a:p>
        <a:p>
          <a:pPr algn="ctr" marL="0" marR="0">
            <a:lnSpc>
              <a:spcPts val="1600"/>
            </a:lnSpc>
            <a:spcBef>
              <a:spcPts val="0"/>
            </a:spcBef>
            <a:spcAft>
              <a:spcPts val="0"/>
            </a:spcAft>
            <a:tabLst>
              <a:tab algn="l" pos="-457200"/>
            </a:tabLst>
          </a:pPr>
          <a:r>
            <a:rPr lang="en-US" sz="1300" b="1">
              <a:solidFill>
                <a:schemeClr val="tx1"/>
              </a:solidFill>
              <a:effectLst/>
              <a:latin typeface="Futura Lt BT" pitchFamily="34" charset="0"/>
              <a:ea typeface="Calibri"/>
              <a:cs typeface="Calibri"/>
            </a:rPr>
            <a:t>             </a:t>
          </a:r>
          <a:r>
            <a:rPr lang="en-US" sz="1400" b="1">
              <a:solidFill>
                <a:schemeClr val="tx1"/>
              </a:solidFill>
              <a:effectLst/>
              <a:latin typeface="Futura Lt BT" pitchFamily="34" charset="0"/>
              <a:ea typeface="Calibri"/>
              <a:cs typeface="Calibri"/>
            </a:rPr>
            <a:t>Regd. Office: 21, Indra Nagar, Dibiyapur, Auraiya, (U.P) – 206244</a:t>
          </a:r>
          <a:endParaRPr lang="en-US" sz="1400" b="1">
            <a:solidFill>
              <a:srgbClr val="000000"/>
            </a:solidFill>
            <a:effectLst/>
            <a:latin typeface="Futura Lt BT" pitchFamily="34" charset="0"/>
            <a:ea typeface="Calibri"/>
            <a:cs typeface="Times New Roman"/>
          </a:endParaRPr>
        </a:p>
        <a:p>
          <a:pPr algn="ctr" marL="0" marR="0">
            <a:lnSpc>
              <a:spcPts val="1600"/>
            </a:lnSpc>
            <a:spcBef>
              <a:spcPts val="0"/>
            </a:spcBef>
            <a:spcAft>
              <a:spcPts val="0"/>
            </a:spcAft>
            <a:tabLst>
              <a:tab algn="l" pos="-457200"/>
            </a:tabLst>
          </a:pPr>
          <a:r>
            <a:rPr lang="en-US" sz="1400" b="1">
              <a:solidFill>
                <a:schemeClr val="tx1"/>
              </a:solidFill>
              <a:effectLst/>
              <a:latin typeface="Futura Lt BT" pitchFamily="34" charset="0"/>
              <a:ea typeface="Calibri"/>
              <a:cs typeface="Calibri"/>
            </a:rPr>
            <a:t>     (An ISO 9001:2015 Certified Company)</a:t>
          </a:r>
          <a:endParaRPr lang="en-US" sz="1400" b="1">
            <a:solidFill>
              <a:srgbClr val="000000"/>
            </a:solidFill>
            <a:effectLst/>
            <a:latin typeface="Futura Lt BT" pitchFamily="34" charset="0"/>
            <a:ea typeface="Calibri"/>
            <a:cs typeface="Times New Roman"/>
          </a:endParaRPr>
        </a:p>
        <a:p>
          <a:pPr marL="0" marR="0">
            <a:lnSpc>
              <a:spcPts val="1400"/>
            </a:lnSpc>
            <a:spcBef>
              <a:spcPts val="0"/>
            </a:spcBef>
            <a:spcAft>
              <a:spcPts val="1000"/>
            </a:spcAft>
          </a:pPr>
          <a:r>
            <a:rPr lang="en-US" sz="1100" b="0">
              <a:solidFill>
                <a:schemeClr val="tx1"/>
              </a:solidFill>
              <a:effectLst/>
              <a:ea typeface="Calibri"/>
              <a:cs typeface="Times New Roman"/>
            </a:rPr>
            <a:t> </a:t>
          </a:r>
        </a:p>
      </xdr:txBody>
    </xdr:sp>
    <xdr:clientData/>
  </xdr:twoCellAnchor>
  <xdr:twoCellAnchor>
    <xdr:from>
      <xdr:col>0</xdr:col>
      <xdr:colOff>371354</xdr:colOff>
      <xdr:row>2</xdr:row>
      <xdr:rowOff>218777</xdr:rowOff>
    </xdr:from>
    <xdr:to>
      <xdr:col>1</xdr:col>
      <xdr:colOff>752745</xdr:colOff>
      <xdr:row>8</xdr:row>
      <xdr:rowOff>114300</xdr:rowOff>
    </xdr:to>
    <xdr:pic>
      <xdr:nvPicPr>
        <xdr:cNvPr id="1065" name="image1.png">
          <a:extLst>
            <a:ext uri="{FF2B5EF4-FFF2-40B4-BE49-F238E27FC236}">
              <a16:creationId xmlns:a16="http://schemas.microsoft.com/office/drawing/2014/main" id="{4caba12b-4b61-4477-bf6b-c56fe28cce64}"/>
            </a:ext>
          </a:extLst>
        </xdr:cNvPr>
        <xdr:cNvPicPr>
          <a:picLocks noChangeAspect="1"/>
        </xdr:cNvPicPr>
      </xdr:nvPicPr>
      <xdr:blipFill>
        <a:blip r:embed="rId2"/>
        <a:stretch>
          <a:fillRect/>
        </a:stretch>
      </xdr:blipFill>
      <xdr:spPr>
        <a:xfrm>
          <a:off x="371475" y="676275"/>
          <a:ext cx="1171575" cy="1266825"/>
        </a:xfrm>
        <a:prstGeom prst="rect"/>
      </xdr:spPr>
    </xdr:pic>
    <xdr:clientData/>
  </xdr:twoCellAnchor>
  <xdr:twoCellAnchor editAs="oneCell">
    <xdr:from>
      <xdr:col>5</xdr:col>
      <xdr:colOff>781069</xdr:colOff>
      <xdr:row>0</xdr:row>
      <xdr:rowOff>0</xdr:rowOff>
    </xdr:from>
    <xdr:to>
      <xdr:col>6</xdr:col>
      <xdr:colOff>419416</xdr:colOff>
      <xdr:row>2</xdr:row>
      <xdr:rowOff>218777</xdr:rowOff>
    </xdr:to>
    <xdr:pic>
      <xdr:nvPicPr>
        <xdr:cNvPr id="1066" name="Picture 11">
          <a:extLst>
            <a:ext uri="{FF2B5EF4-FFF2-40B4-BE49-F238E27FC236}">
              <a16:creationId xmlns:a16="http://schemas.microsoft.com/office/drawing/2014/main" id="{474e687c-ecc9-420a-8f8b-3c7c207ef7eb}"/>
            </a:ext>
          </a:extLst>
        </xdr:cNvPr>
        <xdr:cNvPicPr>
          <a:picLocks noChangeAspect="1"/>
        </xdr:cNvPicPr>
      </xdr:nvPicPr>
      <xdr:blipFill>
        <a:blip r:embed="rId3"/>
        <a:stretch>
          <a:fillRect/>
        </a:stretch>
      </xdr:blipFill>
      <xdr:spPr>
        <a:xfrm>
          <a:off x="4686300" y="0"/>
          <a:ext cx="495300" cy="676275"/>
        </a:xfrm>
        <a:prstGeom prst="rect"/>
      </xdr:spPr>
    </xdr:pic>
    <xdr:clientData/>
  </xdr:twoCellAnchor>
  <xdr:oneCellAnchor>
    <xdr:from>
      <xdr:col>0</xdr:col>
      <xdr:colOff>38100</xdr:colOff>
      <xdr:row>0</xdr:row>
      <xdr:rowOff>38100</xdr:rowOff>
    </xdr:from>
    <xdr:ext cx="2105025" cy="438150"/>
    <xdr:sp>
      <xdr:nvSpPr>
        <xdr:cNvPr id="1067" name="TextBox 8">
          <a:extLst>
            <a:ext uri="{FF2B5EF4-FFF2-40B4-BE49-F238E27FC236}">
              <a16:creationId xmlns:a16="http://schemas.microsoft.com/office/drawing/2014/main" id="{bcf6e142-9bcb-45c7-a4d2-095cca109d15}"/>
            </a:ext>
          </a:extLst>
        </xdr:cNvPr>
        <xdr:cNvSpPr txBox="1"/>
      </xdr:nvSpPr>
      <xdr:spPr>
        <a:xfrm>
          <a:off x="38100" y="38100"/>
          <a:ext cx="2105025" cy="43815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xmlns:a="http://schemas.openxmlformats.org/drawingml/2006/main"/>
        <a:p>
          <a:pPr/>
          <a:r>
            <a:rPr lang="en-US" sz="1100" b="1">
              <a:solidFill>
                <a:schemeClr val="tx1"/>
              </a:solidFill>
              <a:latin typeface="Futura Lt BT" pitchFamily="34" charset="0"/>
            </a:rPr>
            <a:t>EMAIL : snsitech@gmail.com</a:t>
          </a:r>
        </a:p>
        <a:p>
          <a:r>
            <a:rPr lang="en-US" sz="1100" b="1">
              <a:solidFill>
                <a:schemeClr val="tx1"/>
              </a:solidFill>
              <a:latin typeface="Futura Lt BT" pitchFamily="34" charset="0"/>
            </a:rPr>
            <a:t>MOB</a:t>
          </a:r>
          <a:r>
            <a:rPr lang="en-US" sz="1100" b="1" baseline="0">
              <a:solidFill>
                <a:schemeClr val="tx1"/>
              </a:solidFill>
              <a:latin typeface="Futura Lt BT" pitchFamily="34" charset="0"/>
            </a:rPr>
            <a:t>  : +91-8979987689</a:t>
          </a:r>
          <a:endParaRPr lang="en-US" sz="1100" b="1">
            <a:latin typeface="Futura Lt BT" pitchFamily="34" charset="0"/>
          </a:endParaRPr>
        </a:p>
      </xdr:txBody>
    </xdr:sp>
    <xdr:clientData/>
  </xdr:oneCellAnchor>
  <xdr:oneCellAnchor>
    <xdr:from>
      <xdr:col>9</xdr:col>
      <xdr:colOff>390525</xdr:colOff>
      <xdr:row>0</xdr:row>
      <xdr:rowOff>9525</xdr:rowOff>
    </xdr:from>
    <xdr:ext cx="2266950" cy="495300"/>
    <xdr:sp>
      <xdr:nvSpPr>
        <xdr:cNvPr id="1068" name="TextBox 9">
          <a:extLst>
            <a:ext uri="{FF2B5EF4-FFF2-40B4-BE49-F238E27FC236}">
              <a16:creationId xmlns:a16="http://schemas.microsoft.com/office/drawing/2014/main" id="{216712e7-93a5-4dc9-bc3e-a20f93150023}"/>
            </a:ext>
          </a:extLst>
        </xdr:cNvPr>
        <xdr:cNvSpPr txBox="1"/>
      </xdr:nvSpPr>
      <xdr:spPr>
        <a:xfrm>
          <a:off x="7724775" y="9525"/>
          <a:ext cx="2266950" cy="4953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square" rtlCol="0" anchor="t">
          <a:spAutoFit/>
        </a:bodyPr>
        <a:lstStyle xmlns:a="http://schemas.openxmlformats.org/drawingml/2006/main"/>
        <a:p>
          <a:pPr algn="r">
            <a:lnSpc>
              <a:spcPts val="1100"/>
            </a:lnSpc>
          </a:pPr>
          <a:r>
            <a:rPr lang="en-US" sz="1100" b="1">
              <a:solidFill>
                <a:schemeClr val="tx1"/>
              </a:solidFill>
              <a:effectLst/>
              <a:latin typeface="Futura Lt BT" pitchFamily="34" charset="0"/>
              <a:ea typeface="+mn-ea"/>
              <a:cs typeface="+mn-cs"/>
            </a:rPr>
            <a:t>CIN: U40106UP2019PTC125182</a:t>
          </a:r>
          <a:endParaRPr lang="en-US" sz="1100">
            <a:solidFill>
              <a:srgbClr val="000000"/>
            </a:solidFill>
            <a:effectLst/>
            <a:latin typeface="Futura Lt BT" pitchFamily="34" charset="0"/>
          </a:endParaRPr>
        </a:p>
        <a:p>
          <a:pPr algn="r">
            <a:lnSpc>
              <a:spcPts val="900"/>
            </a:lnSpc>
          </a:pPr>
          <a:r>
            <a:rPr lang="en-US" sz="1100" b="1">
              <a:solidFill>
                <a:schemeClr val="tx1"/>
              </a:solidFill>
              <a:effectLst/>
              <a:latin typeface="Futura Lt BT" pitchFamily="34" charset="0"/>
              <a:ea typeface="+mn-ea"/>
              <a:cs typeface="+mn-cs"/>
            </a:rPr>
            <a:t>GSTIN:  09ABDCS1757M1ZU                                                                          </a:t>
          </a:r>
          <a:r>
            <a:rPr lang="en-US" sz="1100" b="1" baseline="0">
              <a:solidFill>
                <a:schemeClr val="tx1"/>
              </a:solidFill>
              <a:effectLst/>
              <a:latin typeface="Futura Lt BT" pitchFamily="34" charset="0"/>
              <a:ea typeface="+mn-ea"/>
              <a:cs typeface="+mn-cs"/>
            </a:rPr>
            <a:t>                                                                                          </a:t>
          </a:r>
          <a:r>
            <a:rPr lang="en-US" sz="1100" b="1">
              <a:solidFill>
                <a:schemeClr val="tx1"/>
              </a:solidFill>
              <a:effectLst/>
              <a:latin typeface="Futura Lt BT" pitchFamily="34" charset="0"/>
              <a:ea typeface="+mn-ea"/>
              <a:cs typeface="+mn-cs"/>
            </a:rPr>
            <a:t> </a:t>
          </a:r>
          <a:endParaRPr lang="en-US" sz="1100">
            <a:solidFill>
              <a:srgbClr val="000000"/>
            </a:solidFill>
            <a:effectLst/>
            <a:latin typeface="Futura Lt BT" pitchFamily="34" charset="0"/>
          </a:endParaRPr>
        </a:p>
        <a:p>
          <a:pPr>
            <a:lnSpc>
              <a:spcPts val="900"/>
            </a:lnSpc>
          </a:pPr>
          <a:endParaRPr lang="en-US" sz="1100"/>
        </a:p>
      </xdr:txBody>
    </xdr:sp>
    <xdr:clientData/>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oneCellAnchor>
    <xdr:from>
      <xdr:col>12</xdr:col>
      <xdr:colOff>285750</xdr:colOff>
      <xdr:row>2</xdr:row>
      <xdr:rowOff>76200</xdr:rowOff>
    </xdr:from>
    <xdr:ext cx="190500" cy="266700"/>
    <xdr:sp>
      <xdr:nvSpPr>
        <xdr:cNvPr id="1060" name="TextBox 1">
          <a:extLst>
            <a:ext uri="{FF2B5EF4-FFF2-40B4-BE49-F238E27FC236}">
              <a16:creationId xmlns:a16="http://schemas.microsoft.com/office/drawing/2014/main" id="{e1399ac1-6a7d-48a9-ac4c-80ce8bd21aa3}"/>
            </a:ext>
          </a:extLst>
        </xdr:cNvPr>
        <xdr:cNvSpPr txBox="1"/>
      </xdr:nvSpPr>
      <xdr:spPr>
        <a:xfrm>
          <a:off x="10363200" y="533400"/>
          <a:ext cx="190500" cy="2667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xmlns:a="http://schemas.openxmlformats.org/drawingml/2006/main"/>
        <a:p>
          <a:endParaRPr lang="en-IN"/>
        </a:p>
      </xdr:txBody>
    </xdr:sp>
    <xdr:clientData/>
  </xdr:oneCellAnchor>
  <xdr:oneCellAnchor>
    <xdr:from>
      <xdr:col>11</xdr:col>
      <xdr:colOff>742950</xdr:colOff>
      <xdr:row>10</xdr:row>
      <xdr:rowOff>19050</xdr:rowOff>
    </xdr:from>
    <xdr:ext cx="180975" cy="266700"/>
    <xdr:sp>
      <xdr:nvSpPr>
        <xdr:cNvPr id="1061" name="TextBox 2">
          <a:extLst>
            <a:ext uri="{FF2B5EF4-FFF2-40B4-BE49-F238E27FC236}">
              <a16:creationId xmlns:a16="http://schemas.microsoft.com/office/drawing/2014/main" id="{83ed1b5f-cb25-4f1d-8537-2596036cf995}"/>
            </a:ext>
          </a:extLst>
        </xdr:cNvPr>
        <xdr:cNvSpPr txBox="1"/>
      </xdr:nvSpPr>
      <xdr:spPr>
        <a:xfrm>
          <a:off x="9791700" y="2305050"/>
          <a:ext cx="180975" cy="2667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xmlns:a="http://schemas.openxmlformats.org/drawingml/2006/main"/>
        <a:p>
          <a:endParaRPr lang="en-IN"/>
        </a:p>
      </xdr:txBody>
    </xdr:sp>
    <xdr:clientData/>
  </xdr:oneCellAnchor>
  <xdr:oneCellAnchor>
    <xdr:from>
      <xdr:col>0</xdr:col>
      <xdr:colOff>28575</xdr:colOff>
      <xdr:row>0</xdr:row>
      <xdr:rowOff>0</xdr:rowOff>
    </xdr:from>
    <xdr:ext cx="9496425" cy="266700"/>
    <xdr:sp>
      <xdr:nvSpPr>
        <xdr:cNvPr id="1062" name="TextBox 6">
          <a:extLst>
            <a:ext uri="{FF2B5EF4-FFF2-40B4-BE49-F238E27FC236}">
              <a16:creationId xmlns:a16="http://schemas.microsoft.com/office/drawing/2014/main" id="{f3e1a72c-f5ba-47a3-8e3a-cf1610e46cec}"/>
            </a:ext>
          </a:extLst>
        </xdr:cNvPr>
        <xdr:cNvSpPr txBox="1"/>
      </xdr:nvSpPr>
      <xdr:spPr>
        <a:xfrm>
          <a:off x="28575" y="0"/>
          <a:ext cx="9496425" cy="2667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square" rtlCol="0" anchor="t">
          <a:spAutoFit/>
        </a:bodyPr>
        <a:lstStyle xmlns:a="http://schemas.openxmlformats.org/drawingml/2006/main"/>
        <a:p>
          <a:endParaRPr lang="en-IN"/>
        </a:p>
      </xdr:txBody>
    </xdr:sp>
    <xdr:clientData/>
  </xdr:oneCellAnchor>
  <xdr:twoCellAnchor>
    <xdr:from>
      <xdr:col>0</xdr:col>
      <xdr:colOff>28575</xdr:colOff>
      <xdr:row>0</xdr:row>
      <xdr:rowOff>41275</xdr:rowOff>
    </xdr:from>
    <xdr:to>
      <xdr:col>11</xdr:col>
      <xdr:colOff>986278</xdr:colOff>
      <xdr:row>9</xdr:row>
      <xdr:rowOff>190517</xdr:rowOff>
    </xdr:to>
    <xdr:sp>
      <xdr:nvSpPr>
        <xdr:cNvPr id="1063" name="Text Box 9">
          <a:extLst>
            <a:ext uri="{FF2B5EF4-FFF2-40B4-BE49-F238E27FC236}">
              <a16:creationId xmlns:a16="http://schemas.microsoft.com/office/drawing/2014/main" id="{fb25664b-a167-4173-abec-cc4dc64931d0}"/>
            </a:ext>
          </a:extLst>
        </xdr:cNvPr>
        <xdr:cNvSpPr txBox="1"/>
      </xdr:nvSpPr>
      <xdr:spPr>
        <a:xfrm>
          <a:off x="28575" y="38100"/>
          <a:ext cx="10010775" cy="2209800"/>
        </a:xfrm>
        <a:prstGeom prst="rect"/>
        <a:solidFill>
          <a:schemeClr val="bg1"/>
        </a:solidFill>
        <a:ln w="6350">
          <a:solidFill>
            <a:schemeClr val="bg1"/>
          </a:solidFill>
        </a:ln>
        <a:effectLst xmlns:a="http://schemas.openxmlformats.org/drawingml/2006/main"/>
      </xdr:spPr>
      <xdr:style>
        <a:lnRef idx="0">
          <a:schemeClr val="accent1"/>
        </a:lnRef>
        <a:fillRef idx="0">
          <a:schemeClr val="accent1"/>
        </a:fillRef>
        <a:effectRef idx="0">
          <a:schemeClr val="accent1"/>
        </a:effectRef>
        <a:fontRef idx="minor">
          <a:schemeClr val="tx1"/>
        </a:fontRef>
      </xdr:style>
      <xdr:txBody>
        <a:bodyPr fromWordArt="0" lIns="91440" tIns="45720" rIns="91440" bIns="45720" vert="horz" wrap="square" numCol="1" spcCol="0" rtlCol="0" anchor="ctr" anchorCtr="0">
          <a:prstTxWarp prst="textNoShape"/>
          <a:noAutofit/>
        </a:bodyPr>
        <a:lstStyle xmlns:a="http://schemas.openxmlformats.org/drawingml/2006/main"/>
        <a:p>
          <a:pPr algn="ctr" marL="0" marR="0">
            <a:spcBef>
              <a:spcPts val="0"/>
            </a:spcBef>
            <a:spcAft>
              <a:spcPts val="0"/>
            </a:spcAft>
            <a:tabLst>
              <a:tab algn="l" pos="-457200"/>
            </a:tabLst>
          </a:pPr>
          <a:r>
            <a:rPr lang="en-US" sz="1000" b="1">
              <a:solidFill>
                <a:schemeClr val="tx1"/>
              </a:solidFill>
              <a:effectLst/>
              <a:latin typeface="Gauge Heavy"/>
              <a:ea typeface="Calibri"/>
              <a:cs typeface="Times New Roman"/>
            </a:rPr>
            <a:t>           </a:t>
          </a:r>
        </a:p>
        <a:p>
          <a:pPr algn="ctr" marL="0" marR="0">
            <a:spcBef>
              <a:spcPts val="0"/>
            </a:spcBef>
            <a:spcAft>
              <a:spcPts val="0"/>
            </a:spcAft>
            <a:tabLst>
              <a:tab algn="l" pos="-457200"/>
            </a:tabLst>
          </a:pPr>
          <a:r>
            <a:rPr lang="en-US" sz="1000" b="1">
              <a:solidFill>
                <a:schemeClr val="tx1"/>
              </a:solidFill>
              <a:effectLst/>
              <a:latin typeface="Gauge Heavy"/>
              <a:ea typeface="Calibri"/>
              <a:cs typeface="Times New Roman"/>
            </a:rPr>
            <a:t>           </a:t>
          </a:r>
        </a:p>
        <a:p>
          <a:pPr algn="ctr" marL="0" marR="0">
            <a:lnSpc>
              <a:spcPts val="3500"/>
            </a:lnSpc>
            <a:spcBef>
              <a:spcPts val="0"/>
            </a:spcBef>
            <a:spcAft>
              <a:spcPts val="0"/>
            </a:spcAft>
            <a:tabLst>
              <a:tab algn="l" pos="-457200"/>
            </a:tabLst>
          </a:pPr>
          <a:r>
            <a:rPr lang="en-US" sz="1000" b="1">
              <a:solidFill>
                <a:schemeClr val="tx1"/>
              </a:solidFill>
              <a:effectLst/>
              <a:latin typeface="Gauge Heavy"/>
              <a:ea typeface="Calibri"/>
              <a:cs typeface="Times New Roman"/>
            </a:rPr>
            <a:t>               </a:t>
          </a:r>
          <a:r>
            <a:rPr lang="en-US" sz="3000" b="1">
              <a:solidFill>
                <a:schemeClr val="tx1"/>
              </a:solidFill>
              <a:effectLst/>
              <a:latin typeface="+mj-lt"/>
              <a:ea typeface="Calibri"/>
              <a:cs typeface="Times New Roman"/>
            </a:rPr>
            <a:t>Singh and Sons InfoTech Private Limited</a:t>
          </a:r>
          <a:endParaRPr lang="en-US" sz="3000">
            <a:solidFill>
              <a:srgbClr val="000000"/>
            </a:solidFill>
            <a:effectLst/>
            <a:latin typeface="+mj-lt"/>
            <a:ea typeface="Calibri"/>
            <a:cs typeface="Times New Roman"/>
          </a:endParaRPr>
        </a:p>
        <a:p>
          <a:pPr algn="ctr" marL="0" marR="0">
            <a:spcBef>
              <a:spcPts val="0"/>
            </a:spcBef>
            <a:spcAft>
              <a:spcPts val="0"/>
            </a:spcAft>
            <a:tabLst>
              <a:tab algn="l" pos="-457200"/>
            </a:tabLst>
          </a:pPr>
          <a:r>
            <a:rPr lang="en-US" sz="1900" b="1">
              <a:solidFill>
                <a:srgbClr val="FF0000"/>
              </a:solidFill>
              <a:effectLst/>
              <a:latin typeface="+mj-lt"/>
              <a:ea typeface="Calibri"/>
              <a:cs typeface="Times New Roman"/>
            </a:rPr>
            <a:t>       </a:t>
          </a:r>
          <a:r>
            <a:rPr lang="en-US" sz="2200" b="1">
              <a:solidFill>
                <a:srgbClr val="FF0000"/>
              </a:solidFill>
              <a:effectLst/>
              <a:latin typeface="+mj-lt"/>
              <a:ea typeface="Calibri"/>
              <a:cs typeface="Times New Roman"/>
            </a:rPr>
            <a:t> (An Integrated Facilities Management Company)</a:t>
          </a:r>
          <a:endParaRPr lang="en-US" sz="2200">
            <a:solidFill>
              <a:srgbClr val="000000"/>
            </a:solidFill>
            <a:effectLst/>
            <a:latin typeface="+mj-lt"/>
            <a:ea typeface="Calibri"/>
            <a:cs typeface="Times New Roman"/>
          </a:endParaRPr>
        </a:p>
        <a:p>
          <a:pPr algn="ctr" marL="0" marR="0">
            <a:lnSpc>
              <a:spcPts val="1600"/>
            </a:lnSpc>
            <a:spcBef>
              <a:spcPts val="0"/>
            </a:spcBef>
            <a:spcAft>
              <a:spcPts val="0"/>
            </a:spcAft>
            <a:tabLst>
              <a:tab algn="l" pos="-457200"/>
            </a:tabLst>
          </a:pPr>
          <a:r>
            <a:rPr lang="en-US" sz="1300" b="1">
              <a:solidFill>
                <a:schemeClr val="tx1"/>
              </a:solidFill>
              <a:effectLst/>
              <a:latin typeface="+mj-lt"/>
              <a:ea typeface="Calibri"/>
              <a:cs typeface="Calibri"/>
            </a:rPr>
            <a:t>            </a:t>
          </a:r>
          <a:r>
            <a:rPr lang="en-US" sz="1500" b="1">
              <a:solidFill>
                <a:schemeClr val="tx1"/>
              </a:solidFill>
              <a:effectLst/>
              <a:latin typeface="+mj-lt"/>
              <a:ea typeface="Calibri"/>
              <a:cs typeface="Calibri"/>
            </a:rPr>
            <a:t>Regd. Office: 21, Indra Nagar, Dibiyapur, Auraiya, (U.P) – 206244</a:t>
          </a:r>
          <a:endParaRPr lang="en-US" sz="1500" b="1">
            <a:solidFill>
              <a:srgbClr val="000000"/>
            </a:solidFill>
            <a:effectLst/>
            <a:latin typeface="+mj-lt"/>
            <a:ea typeface="Calibri"/>
            <a:cs typeface="Times New Roman"/>
          </a:endParaRPr>
        </a:p>
        <a:p>
          <a:pPr algn="ctr" marL="0" marR="0">
            <a:lnSpc>
              <a:spcPts val="1600"/>
            </a:lnSpc>
            <a:spcBef>
              <a:spcPts val="0"/>
            </a:spcBef>
            <a:spcAft>
              <a:spcPts val="0"/>
            </a:spcAft>
            <a:tabLst>
              <a:tab algn="l" pos="-457200"/>
            </a:tabLst>
          </a:pPr>
          <a:r>
            <a:rPr lang="en-US" sz="1500" b="1">
              <a:solidFill>
                <a:schemeClr val="tx1"/>
              </a:solidFill>
              <a:effectLst/>
              <a:latin typeface="+mj-lt"/>
              <a:ea typeface="Calibri"/>
              <a:cs typeface="Calibri"/>
            </a:rPr>
            <a:t>     (An ISO 9001:2015 Certified Company)</a:t>
          </a:r>
          <a:endParaRPr lang="en-US" sz="1500" b="1">
            <a:solidFill>
              <a:srgbClr val="000000"/>
            </a:solidFill>
            <a:effectLst/>
            <a:latin typeface="+mj-lt"/>
            <a:ea typeface="Calibri"/>
            <a:cs typeface="Times New Roman"/>
          </a:endParaRPr>
        </a:p>
        <a:p>
          <a:pPr marL="0" marR="0">
            <a:lnSpc>
              <a:spcPts val="1400"/>
            </a:lnSpc>
            <a:spcBef>
              <a:spcPts val="0"/>
            </a:spcBef>
            <a:spcAft>
              <a:spcPts val="1000"/>
            </a:spcAft>
          </a:pPr>
          <a:r>
            <a:rPr lang="en-US" sz="1400" b="0">
              <a:solidFill>
                <a:schemeClr val="tx1"/>
              </a:solidFill>
              <a:effectLst/>
              <a:ea typeface="Calibri"/>
              <a:cs typeface="Times New Roman"/>
            </a:rPr>
            <a:t> </a:t>
          </a:r>
        </a:p>
      </xdr:txBody>
    </xdr:sp>
    <xdr:clientData/>
  </xdr:twoCellAnchor>
  <xdr:twoCellAnchor>
    <xdr:from>
      <xdr:col>0</xdr:col>
      <xdr:colOff>266356</xdr:colOff>
      <xdr:row>3</xdr:row>
      <xdr:rowOff>28575</xdr:rowOff>
    </xdr:from>
    <xdr:to>
      <xdr:col>1</xdr:col>
      <xdr:colOff>628445</xdr:colOff>
      <xdr:row>8</xdr:row>
      <xdr:rowOff>114300</xdr:rowOff>
    </xdr:to>
    <xdr:pic>
      <xdr:nvPicPr>
        <xdr:cNvPr id="1064" name="image1.png">
          <a:extLst>
            <a:ext uri="{FF2B5EF4-FFF2-40B4-BE49-F238E27FC236}">
              <a16:creationId xmlns:a16="http://schemas.microsoft.com/office/drawing/2014/main" id="{e0629e98-baa3-4d46-afdb-a56184b8d025}"/>
            </a:ext>
          </a:extLst>
        </xdr:cNvPr>
        <xdr:cNvPicPr>
          <a:picLocks noChangeAspect="1"/>
        </xdr:cNvPicPr>
      </xdr:nvPicPr>
      <xdr:blipFill>
        <a:blip r:embed="rId1"/>
        <a:stretch>
          <a:fillRect/>
        </a:stretch>
      </xdr:blipFill>
      <xdr:spPr>
        <a:xfrm>
          <a:off x="266700" y="714375"/>
          <a:ext cx="1152525" cy="1228725"/>
        </a:xfrm>
        <a:prstGeom prst="rect"/>
      </xdr:spPr>
    </xdr:pic>
    <xdr:clientData/>
  </xdr:twoCellAnchor>
  <xdr:twoCellAnchor editAs="oneCell">
    <xdr:from>
      <xdr:col>5</xdr:col>
      <xdr:colOff>848041</xdr:colOff>
      <xdr:row>0</xdr:row>
      <xdr:rowOff>9823</xdr:rowOff>
    </xdr:from>
    <xdr:to>
      <xdr:col>6</xdr:col>
      <xdr:colOff>495598</xdr:colOff>
      <xdr:row>3</xdr:row>
      <xdr:rowOff>9823</xdr:rowOff>
    </xdr:to>
    <xdr:pic>
      <xdr:nvPicPr>
        <xdr:cNvPr id="1065" name="Picture 11">
          <a:extLst>
            <a:ext uri="{FF2B5EF4-FFF2-40B4-BE49-F238E27FC236}">
              <a16:creationId xmlns:a16="http://schemas.microsoft.com/office/drawing/2014/main" id="{ee42ff11-43db-4c98-b5a9-79fa67df4e38}"/>
            </a:ext>
          </a:extLst>
        </xdr:cNvPr>
        <xdr:cNvPicPr>
          <a:picLocks noChangeAspect="1"/>
        </xdr:cNvPicPr>
      </xdr:nvPicPr>
      <xdr:blipFill>
        <a:blip r:embed="rId2"/>
        <a:stretch>
          <a:fillRect/>
        </a:stretch>
      </xdr:blipFill>
      <xdr:spPr>
        <a:xfrm>
          <a:off x="4752975" y="9525"/>
          <a:ext cx="504825" cy="685800"/>
        </a:xfrm>
        <a:prstGeom prst="rect"/>
      </xdr:spPr>
    </xdr:pic>
    <xdr:clientData/>
  </xdr:twoCellAnchor>
  <xdr:oneCellAnchor>
    <xdr:from>
      <xdr:col>0</xdr:col>
      <xdr:colOff>19050</xdr:colOff>
      <xdr:row>0</xdr:row>
      <xdr:rowOff>19050</xdr:rowOff>
    </xdr:from>
    <xdr:ext cx="2238375" cy="419100"/>
    <xdr:sp>
      <xdr:nvSpPr>
        <xdr:cNvPr id="1066" name="TextBox 7">
          <a:extLst>
            <a:ext uri="{FF2B5EF4-FFF2-40B4-BE49-F238E27FC236}">
              <a16:creationId xmlns:a16="http://schemas.microsoft.com/office/drawing/2014/main" id="{7316e3bc-ebde-47a6-9d9d-fe60df24e150}"/>
            </a:ext>
          </a:extLst>
        </xdr:cNvPr>
        <xdr:cNvSpPr txBox="1"/>
      </xdr:nvSpPr>
      <xdr:spPr>
        <a:xfrm>
          <a:off x="19050" y="19050"/>
          <a:ext cx="2238375" cy="4191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xmlns:a="http://schemas.openxmlformats.org/drawingml/2006/main"/>
        <a:p>
          <a:pPr/>
          <a:r>
            <a:rPr lang="en-US" sz="1100" b="1">
              <a:solidFill>
                <a:schemeClr val="tx1"/>
              </a:solidFill>
              <a:latin typeface="+mj-lt"/>
            </a:rPr>
            <a:t>EMAIL : SNSITECH@GMAIL.COM</a:t>
          </a:r>
        </a:p>
        <a:p>
          <a:r>
            <a:rPr lang="en-US" sz="1100" b="1">
              <a:solidFill>
                <a:schemeClr val="tx1"/>
              </a:solidFill>
              <a:latin typeface="+mj-lt"/>
            </a:rPr>
            <a:t>MOB</a:t>
          </a:r>
          <a:r>
            <a:rPr lang="en-US" sz="1100" b="1" baseline="0">
              <a:solidFill>
                <a:schemeClr val="tx1"/>
              </a:solidFill>
              <a:latin typeface="+mj-lt"/>
            </a:rPr>
            <a:t>  : +91-8979987689</a:t>
          </a:r>
          <a:endParaRPr lang="en-US" sz="1100" b="1">
            <a:latin typeface="+mj-lt"/>
          </a:endParaRPr>
        </a:p>
      </xdr:txBody>
    </xdr:sp>
    <xdr:clientData/>
  </xdr:oneCellAnchor>
  <xdr:oneCellAnchor>
    <xdr:from>
      <xdr:col>9</xdr:col>
      <xdr:colOff>304800</xdr:colOff>
      <xdr:row>0</xdr:row>
      <xdr:rowOff>9525</xdr:rowOff>
    </xdr:from>
    <xdr:ext cx="2390775" cy="485775"/>
    <xdr:sp>
      <xdr:nvSpPr>
        <xdr:cNvPr id="1067" name="TextBox 8">
          <a:extLst>
            <a:ext uri="{FF2B5EF4-FFF2-40B4-BE49-F238E27FC236}">
              <a16:creationId xmlns:a16="http://schemas.microsoft.com/office/drawing/2014/main" id="{00749f54-dcd7-459a-974f-fe53cab10131}"/>
            </a:ext>
          </a:extLst>
        </xdr:cNvPr>
        <xdr:cNvSpPr txBox="1"/>
      </xdr:nvSpPr>
      <xdr:spPr>
        <a:xfrm>
          <a:off x="7639050" y="9525"/>
          <a:ext cx="2390775" cy="485775"/>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square" rtlCol="0" anchor="t">
          <a:noAutofit/>
        </a:bodyPr>
        <a:lstStyle xmlns:a="http://schemas.openxmlformats.org/drawingml/2006/main"/>
        <a:p>
          <a:pPr algn="r">
            <a:lnSpc>
              <a:spcPts val="1100"/>
            </a:lnSpc>
          </a:pPr>
          <a:r>
            <a:rPr lang="en-US" sz="1100" b="1">
              <a:solidFill>
                <a:schemeClr val="tx1"/>
              </a:solidFill>
              <a:effectLst/>
              <a:latin typeface="+mj-lt"/>
              <a:ea typeface="+mn-ea"/>
              <a:cs typeface="+mn-cs"/>
            </a:rPr>
            <a:t>CIN: U40106UP2019PTC125182</a:t>
          </a:r>
          <a:endParaRPr lang="en-US" sz="1100">
            <a:solidFill>
              <a:srgbClr val="000000"/>
            </a:solidFill>
            <a:effectLst/>
            <a:latin typeface="+mj-lt"/>
          </a:endParaRPr>
        </a:p>
        <a:p>
          <a:pPr algn="r">
            <a:lnSpc>
              <a:spcPts val="1000"/>
            </a:lnSpc>
          </a:pPr>
          <a:r>
            <a:rPr lang="en-US" sz="1100" b="1">
              <a:solidFill>
                <a:schemeClr val="tx1"/>
              </a:solidFill>
              <a:effectLst/>
              <a:latin typeface="+mj-lt"/>
              <a:ea typeface="+mn-ea"/>
              <a:cs typeface="+mn-cs"/>
            </a:rPr>
            <a:t>GSTIN:  09ABDCS1757M1ZU                                                                          </a:t>
          </a:r>
          <a:r>
            <a:rPr lang="en-US" sz="1100" b="1" baseline="0">
              <a:solidFill>
                <a:schemeClr val="tx1"/>
              </a:solidFill>
              <a:effectLst/>
              <a:latin typeface="+mj-lt"/>
              <a:ea typeface="+mn-ea"/>
              <a:cs typeface="+mn-cs"/>
            </a:rPr>
            <a:t>                                                                                          </a:t>
          </a:r>
          <a:r>
            <a:rPr lang="en-US" sz="1100" b="1">
              <a:solidFill>
                <a:schemeClr val="tx1"/>
              </a:solidFill>
              <a:effectLst/>
              <a:latin typeface="+mj-lt"/>
              <a:ea typeface="+mn-ea"/>
              <a:cs typeface="+mn-cs"/>
            </a:rPr>
            <a:t> </a:t>
          </a:r>
          <a:endParaRPr lang="en-US" sz="1100">
            <a:solidFill>
              <a:srgbClr val="000000"/>
            </a:solidFill>
            <a:effectLst/>
            <a:latin typeface="+mj-lt"/>
          </a:endParaRPr>
        </a:p>
        <a:p>
          <a:pPr>
            <a:lnSpc>
              <a:spcPts val="1100"/>
            </a:lnSpc>
          </a:pPr>
          <a:endParaRPr lang="en-US" sz="1100"/>
        </a:p>
      </xdr:txBody>
    </xdr:sp>
    <xdr:clientData/>
  </xdr:oneCellAnchor>
  <xdr:twoCellAnchor editAs="oneCell">
    <xdr:from>
      <xdr:col>0</xdr:col>
      <xdr:colOff>9265</xdr:colOff>
      <xdr:row>59</xdr:row>
      <xdr:rowOff>28575</xdr:rowOff>
    </xdr:from>
    <xdr:to>
      <xdr:col>11</xdr:col>
      <xdr:colOff>1000571</xdr:colOff>
      <xdr:row>62</xdr:row>
      <xdr:rowOff>200025</xdr:rowOff>
    </xdr:to>
    <xdr:pic>
      <xdr:nvPicPr>
        <xdr:cNvPr id="1068" name="Picture 4">
          <a:extLst>
            <a:ext uri="{FF2B5EF4-FFF2-40B4-BE49-F238E27FC236}">
              <a16:creationId xmlns:a16="http://schemas.microsoft.com/office/drawing/2014/main" id="{a97d6d60-0c4f-46d0-ac83-0c52937f93dd}"/>
            </a:ext>
          </a:extLst>
        </xdr:cNvPr>
        <xdr:cNvPicPr>
          <a:picLocks noChangeAspect="1"/>
        </xdr:cNvPicPr>
      </xdr:nvPicPr>
      <xdr:blipFill>
        <a:blip r:embed="rId3"/>
        <a:stretch>
          <a:fillRect/>
        </a:stretch>
      </xdr:blipFill>
      <xdr:spPr>
        <a:xfrm>
          <a:off x="9525" y="12906375"/>
          <a:ext cx="10039350" cy="857250"/>
        </a:xfrm>
        <a:prstGeom prst="rect"/>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oneCellAnchor>
    <xdr:from>
      <xdr:col>13</xdr:col>
      <xdr:colOff>295275</xdr:colOff>
      <xdr:row>1</xdr:row>
      <xdr:rowOff>228600</xdr:rowOff>
    </xdr:from>
    <xdr:ext cx="190500" cy="266700"/>
    <xdr:sp>
      <xdr:nvSpPr>
        <xdr:cNvPr id="1056" name="TextBox 3">
          <a:extLst>
            <a:ext uri="{FF2B5EF4-FFF2-40B4-BE49-F238E27FC236}">
              <a16:creationId xmlns:a16="http://schemas.microsoft.com/office/drawing/2014/main" id="{7ae74a05-de88-4caf-951d-494c3476ff38}"/>
            </a:ext>
          </a:extLst>
        </xdr:cNvPr>
        <xdr:cNvSpPr txBox="1"/>
      </xdr:nvSpPr>
      <xdr:spPr>
        <a:xfrm>
          <a:off x="10544175" y="476250"/>
          <a:ext cx="190500" cy="2667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xmlns:a="http://schemas.openxmlformats.org/drawingml/2006/main"/>
        <a:p>
          <a:endParaRPr lang="en-IN"/>
        </a:p>
      </xdr:txBody>
    </xdr:sp>
    <xdr:clientData/>
  </xdr:oneCellAnchor>
  <xdr:oneCellAnchor>
    <xdr:from>
      <xdr:col>13</xdr:col>
      <xdr:colOff>409575</xdr:colOff>
      <xdr:row>7</xdr:row>
      <xdr:rowOff>228600</xdr:rowOff>
    </xdr:from>
    <xdr:ext cx="180975" cy="266700"/>
    <xdr:sp>
      <xdr:nvSpPr>
        <xdr:cNvPr id="1057" name="TextBox 4">
          <a:extLst>
            <a:ext uri="{FF2B5EF4-FFF2-40B4-BE49-F238E27FC236}">
              <a16:creationId xmlns:a16="http://schemas.microsoft.com/office/drawing/2014/main" id="{42bb90e5-fa35-467f-ae12-6ac3a8763457}"/>
            </a:ext>
          </a:extLst>
        </xdr:cNvPr>
        <xdr:cNvSpPr txBox="1"/>
      </xdr:nvSpPr>
      <xdr:spPr>
        <a:xfrm>
          <a:off x="10658475" y="1962150"/>
          <a:ext cx="180975" cy="26670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xmlns:a="http://schemas.openxmlformats.org/drawingml/2006/main"/>
        <a:p>
          <a:endParaRPr lang="en-IN"/>
        </a:p>
      </xdr:txBody>
    </xdr:sp>
    <xdr:clientData/>
  </xdr:oneCellAnchor>
  <xdr:oneCellAnchor>
    <xdr:from>
      <xdr:col>0</xdr:col>
      <xdr:colOff>9525</xdr:colOff>
      <xdr:row>0</xdr:row>
      <xdr:rowOff>0</xdr:rowOff>
    </xdr:from>
    <xdr:ext cx="8524875" cy="276225"/>
    <xdr:sp>
      <xdr:nvSpPr>
        <xdr:cNvPr id="1058" name="TextBox 5">
          <a:extLst>
            <a:ext uri="{FF2B5EF4-FFF2-40B4-BE49-F238E27FC236}">
              <a16:creationId xmlns:a16="http://schemas.microsoft.com/office/drawing/2014/main" id="{077559e7-0288-4883-afcd-6c2a7c4e3b6c}"/>
            </a:ext>
          </a:extLst>
        </xdr:cNvPr>
        <xdr:cNvSpPr txBox="1"/>
      </xdr:nvSpPr>
      <xdr:spPr>
        <a:xfrm>
          <a:off x="9525" y="0"/>
          <a:ext cx="8524875" cy="276225"/>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square" rtlCol="0" anchor="t">
          <a:spAutoFit/>
        </a:bodyPr>
        <a:lstStyle xmlns:a="http://schemas.openxmlformats.org/drawingml/2006/main"/>
        <a:p>
          <a:endParaRPr lang="en-IN"/>
        </a:p>
      </xdr:txBody>
    </xdr:sp>
    <xdr:clientData/>
  </xdr:oneCellAnchor>
  <xdr:twoCellAnchor>
    <xdr:from>
      <xdr:col>0</xdr:col>
      <xdr:colOff>66675</xdr:colOff>
      <xdr:row>0</xdr:row>
      <xdr:rowOff>47625</xdr:rowOff>
    </xdr:from>
    <xdr:to>
      <xdr:col>10</xdr:col>
      <xdr:colOff>840160</xdr:colOff>
      <xdr:row>7</xdr:row>
      <xdr:rowOff>195627</xdr:rowOff>
    </xdr:to>
    <xdr:sp>
      <xdr:nvSpPr>
        <xdr:cNvPr id="1059" name="Text Box 9">
          <a:extLst>
            <a:ext uri="{FF2B5EF4-FFF2-40B4-BE49-F238E27FC236}">
              <a16:creationId xmlns:a16="http://schemas.microsoft.com/office/drawing/2014/main" id="{22ff2c3c-60b9-43b5-b921-e58f2735bc90}"/>
            </a:ext>
          </a:extLst>
        </xdr:cNvPr>
        <xdr:cNvSpPr txBox="1"/>
      </xdr:nvSpPr>
      <xdr:spPr>
        <a:xfrm>
          <a:off x="66675" y="47625"/>
          <a:ext cx="8810625" cy="1885950"/>
        </a:xfrm>
        <a:prstGeom prst="rect"/>
        <a:solidFill>
          <a:schemeClr val="bg1"/>
        </a:solidFill>
        <a:ln w="6350">
          <a:solidFill>
            <a:schemeClr val="bg1"/>
          </a:solidFill>
        </a:ln>
        <a:effectLst xmlns:a="http://schemas.openxmlformats.org/drawingml/2006/main"/>
      </xdr:spPr>
      <xdr:style>
        <a:lnRef idx="0">
          <a:schemeClr val="accent1"/>
        </a:lnRef>
        <a:fillRef idx="0">
          <a:schemeClr val="accent1"/>
        </a:fillRef>
        <a:effectRef idx="0">
          <a:schemeClr val="accent1"/>
        </a:effectRef>
        <a:fontRef idx="minor">
          <a:schemeClr val="tx1"/>
        </a:fontRef>
      </xdr:style>
      <xdr:txBody>
        <a:bodyPr fromWordArt="0" lIns="91440" tIns="45720" rIns="91440" bIns="45720" vert="horz" wrap="square" numCol="1" spcCol="0" rtlCol="0" anchor="ctr" anchorCtr="0">
          <a:prstTxWarp prst="textNoShape"/>
          <a:noAutofit/>
        </a:bodyPr>
        <a:lstStyle xmlns:a="http://schemas.openxmlformats.org/drawingml/2006/main"/>
        <a:p>
          <a:pPr algn="ctr" marL="0" marR="0">
            <a:spcBef>
              <a:spcPts val="0"/>
            </a:spcBef>
            <a:spcAft>
              <a:spcPts val="0"/>
            </a:spcAft>
            <a:tabLst>
              <a:tab algn="l" pos="-457200"/>
            </a:tabLst>
          </a:pPr>
          <a:r>
            <a:rPr lang="en-US" sz="1000" b="1">
              <a:solidFill>
                <a:schemeClr val="tx1"/>
              </a:solidFill>
              <a:effectLst/>
              <a:latin typeface="Gauge Heavy"/>
              <a:ea typeface="Calibri"/>
              <a:cs typeface="Times New Roman"/>
            </a:rPr>
            <a:t>           </a:t>
          </a:r>
        </a:p>
        <a:p>
          <a:pPr algn="ctr" marL="0" marR="0">
            <a:spcBef>
              <a:spcPts val="0"/>
            </a:spcBef>
            <a:spcAft>
              <a:spcPts val="0"/>
            </a:spcAft>
            <a:tabLst>
              <a:tab algn="l" pos="-457200"/>
            </a:tabLst>
          </a:pPr>
          <a:r>
            <a:rPr lang="en-US" sz="1000" b="1">
              <a:solidFill>
                <a:schemeClr val="tx1"/>
              </a:solidFill>
              <a:effectLst/>
              <a:latin typeface="Gauge Heavy"/>
              <a:ea typeface="Calibri"/>
              <a:cs typeface="Times New Roman"/>
            </a:rPr>
            <a:t>           </a:t>
          </a:r>
        </a:p>
        <a:p>
          <a:pPr algn="ctr" marL="0" marR="0">
            <a:spcBef>
              <a:spcPts val="0"/>
            </a:spcBef>
            <a:spcAft>
              <a:spcPts val="0"/>
            </a:spcAft>
            <a:tabLst>
              <a:tab algn="l" pos="-457200"/>
            </a:tabLst>
          </a:pPr>
          <a:r>
            <a:rPr lang="en-US" sz="2800" b="1">
              <a:solidFill>
                <a:schemeClr val="tx1"/>
              </a:solidFill>
              <a:effectLst/>
              <a:latin typeface="Times New Roman" panose="02020603050405020304" pitchFamily="18" charset="0"/>
              <a:ea typeface="Calibri"/>
              <a:cs typeface="Times New Roman" panose="02020603050405020304" pitchFamily="18" charset="0"/>
            </a:rPr>
            <a:t>Singh and Sons InfoTech Private Limited</a:t>
          </a:r>
          <a:endParaRPr lang="en-US" sz="2800" b="0">
            <a:solidFill>
              <a:srgbClr val="000000"/>
            </a:solidFill>
            <a:effectLst/>
            <a:latin typeface="Times New Roman" panose="02020603050405020304" pitchFamily="18" charset="0"/>
            <a:ea typeface="Calibri"/>
            <a:cs typeface="Times New Roman" panose="02020603050405020304" pitchFamily="18" charset="0"/>
          </a:endParaRPr>
        </a:p>
        <a:p>
          <a:pPr algn="ctr" marL="0" marR="0">
            <a:spcBef>
              <a:spcPts val="0"/>
            </a:spcBef>
            <a:spcAft>
              <a:spcPts val="0"/>
            </a:spcAft>
            <a:tabLst>
              <a:tab algn="l" pos="-457200"/>
            </a:tabLst>
          </a:pPr>
          <a:r>
            <a:rPr lang="en-US" sz="2200" b="1">
              <a:solidFill>
                <a:srgbClr val="FF0000"/>
              </a:solidFill>
              <a:effectLst/>
              <a:latin typeface="Times New Roman" panose="02020603050405020304" pitchFamily="18" charset="0"/>
              <a:ea typeface="Calibri"/>
              <a:cs typeface="Times New Roman" panose="02020603050405020304" pitchFamily="18" charset="0"/>
            </a:rPr>
            <a:t>(An Integrated Facilities Management Company)</a:t>
          </a:r>
          <a:endParaRPr lang="en-US" sz="2200" b="0">
            <a:solidFill>
              <a:schemeClr val="tx1"/>
            </a:solidFill>
            <a:effectLst/>
            <a:latin typeface="Times New Roman" panose="02020603050405020304" pitchFamily="18" charset="0"/>
            <a:ea typeface="Calibri"/>
            <a:cs typeface="Times New Roman" panose="02020603050405020304" pitchFamily="18" charset="0"/>
          </a:endParaRPr>
        </a:p>
        <a:p>
          <a:pPr algn="ctr" marL="0" marR="0">
            <a:spcBef>
              <a:spcPts val="0"/>
            </a:spcBef>
            <a:spcAft>
              <a:spcPts val="0"/>
            </a:spcAft>
            <a:tabLst>
              <a:tab algn="l" pos="-457200"/>
            </a:tabLst>
          </a:pPr>
          <a:r>
            <a:rPr lang="en-US" sz="1400" b="1">
              <a:solidFill>
                <a:schemeClr val="tx1"/>
              </a:solidFill>
              <a:effectLst/>
              <a:latin typeface="Times New Roman" panose="02020603050405020304" pitchFamily="18" charset="0"/>
              <a:ea typeface="Calibri"/>
              <a:cs typeface="Times New Roman" panose="02020603050405020304" pitchFamily="18" charset="0"/>
            </a:rPr>
            <a:t>Regd. Office: 21, Indra Nagar, Dibiyapur, Auraiya, (U.P) – 206244</a:t>
          </a:r>
        </a:p>
        <a:p>
          <a:pPr algn="ctr" marL="0" marR="0">
            <a:spcBef>
              <a:spcPts val="0"/>
            </a:spcBef>
            <a:spcAft>
              <a:spcPts val="0"/>
            </a:spcAft>
            <a:tabLst>
              <a:tab algn="l" pos="-457200"/>
            </a:tabLst>
          </a:pPr>
          <a:r>
            <a:rPr lang="en-US" sz="1400" b="1">
              <a:solidFill>
                <a:schemeClr val="tx1"/>
              </a:solidFill>
              <a:effectLst/>
              <a:latin typeface="Times New Roman" panose="02020603050405020304" pitchFamily="18" charset="0"/>
              <a:ea typeface="Calibri"/>
              <a:cs typeface="Times New Roman" panose="02020603050405020304" pitchFamily="18" charset="0"/>
            </a:rPr>
            <a:t>(An ISO 9001:2015 Certified Company)</a:t>
          </a:r>
        </a:p>
        <a:p>
          <a:pPr marL="0" marR="0">
            <a:lnSpc>
              <a:spcPts val="1400"/>
            </a:lnSpc>
            <a:spcBef>
              <a:spcPts val="0"/>
            </a:spcBef>
            <a:spcAft>
              <a:spcPts val="1000"/>
            </a:spcAft>
          </a:pPr>
          <a:r>
            <a:rPr lang="en-US" sz="1100" b="0">
              <a:solidFill>
                <a:schemeClr val="tx1"/>
              </a:solidFill>
              <a:effectLst/>
              <a:latin typeface="Times New Roman" panose="02020603050405020304" pitchFamily="18" charset="0"/>
              <a:ea typeface="Calibri"/>
              <a:cs typeface="Times New Roman" panose="02020603050405020304" pitchFamily="18" charset="0"/>
            </a:rPr>
            <a:t> </a:t>
          </a:r>
        </a:p>
      </xdr:txBody>
    </xdr:sp>
    <xdr:clientData/>
  </xdr:twoCellAnchor>
  <xdr:twoCellAnchor>
    <xdr:from>
      <xdr:col>0</xdr:col>
      <xdr:colOff>152251</xdr:colOff>
      <xdr:row>2</xdr:row>
      <xdr:rowOff>64815</xdr:rowOff>
    </xdr:from>
    <xdr:to>
      <xdr:col>1</xdr:col>
      <xdr:colOff>552785</xdr:colOff>
      <xdr:row>6</xdr:row>
      <xdr:rowOff>64815</xdr:rowOff>
    </xdr:to>
    <xdr:pic>
      <xdr:nvPicPr>
        <xdr:cNvPr id="1060" name="image1.png">
          <a:extLst>
            <a:ext uri="{FF2B5EF4-FFF2-40B4-BE49-F238E27FC236}">
              <a16:creationId xmlns:a16="http://schemas.microsoft.com/office/drawing/2014/main" id="{f4988988-8f0a-4b8c-8eb9-8d6b6e7bd3db}"/>
            </a:ext>
          </a:extLst>
        </xdr:cNvPr>
        <xdr:cNvPicPr>
          <a:picLocks noChangeAspect="1"/>
        </xdr:cNvPicPr>
      </xdr:nvPicPr>
      <xdr:blipFill>
        <a:blip r:embed="rId1"/>
        <a:stretch>
          <a:fillRect/>
        </a:stretch>
      </xdr:blipFill>
      <xdr:spPr>
        <a:xfrm>
          <a:off x="152400" y="561975"/>
          <a:ext cx="990600" cy="990600"/>
        </a:xfrm>
        <a:prstGeom prst="rect"/>
      </xdr:spPr>
    </xdr:pic>
    <xdr:clientData/>
  </xdr:twoCellAnchor>
  <xdr:twoCellAnchor editAs="oneCell">
    <xdr:from>
      <xdr:col>5</xdr:col>
      <xdr:colOff>419416</xdr:colOff>
      <xdr:row>0</xdr:row>
      <xdr:rowOff>9674</xdr:rowOff>
    </xdr:from>
    <xdr:to>
      <xdr:col>5</xdr:col>
      <xdr:colOff>848041</xdr:colOff>
      <xdr:row>2</xdr:row>
      <xdr:rowOff>28054</xdr:rowOff>
    </xdr:to>
    <xdr:pic>
      <xdr:nvPicPr>
        <xdr:cNvPr id="1061" name="Picture 8">
          <a:extLst>
            <a:ext uri="{FF2B5EF4-FFF2-40B4-BE49-F238E27FC236}">
              <a16:creationId xmlns:a16="http://schemas.microsoft.com/office/drawing/2014/main" id="{946163ab-9c7b-49c6-9203-208e825bdc11}"/>
            </a:ext>
          </a:extLst>
        </xdr:cNvPr>
        <xdr:cNvPicPr>
          <a:picLocks noChangeAspect="1"/>
        </xdr:cNvPicPr>
      </xdr:nvPicPr>
      <xdr:blipFill>
        <a:blip r:embed="rId2"/>
        <a:stretch>
          <a:fillRect/>
        </a:stretch>
      </xdr:blipFill>
      <xdr:spPr>
        <a:xfrm>
          <a:off x="4171950" y="9525"/>
          <a:ext cx="428625" cy="514350"/>
        </a:xfrm>
        <a:prstGeom prst="rect"/>
      </xdr:spPr>
    </xdr:pic>
    <xdr:clientData/>
  </xdr:twoCellAnchor>
  <xdr:oneCellAnchor>
    <xdr:from>
      <xdr:col>0</xdr:col>
      <xdr:colOff>0</xdr:colOff>
      <xdr:row>0</xdr:row>
      <xdr:rowOff>0</xdr:rowOff>
    </xdr:from>
    <xdr:ext cx="1981200" cy="514350"/>
    <xdr:sp>
      <xdr:nvSpPr>
        <xdr:cNvPr id="1062" name="TextBox 9">
          <a:extLst>
            <a:ext uri="{FF2B5EF4-FFF2-40B4-BE49-F238E27FC236}">
              <a16:creationId xmlns:a16="http://schemas.microsoft.com/office/drawing/2014/main" id="{6666f18e-f632-438d-9dcf-12f241a000fb}"/>
            </a:ext>
          </a:extLst>
        </xdr:cNvPr>
        <xdr:cNvSpPr txBox="1"/>
      </xdr:nvSpPr>
      <xdr:spPr>
        <a:xfrm>
          <a:off x="0" y="0"/>
          <a:ext cx="1981200" cy="51435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none" rtlCol="0" anchor="t">
          <a:noAutofit/>
        </a:bodyPr>
        <a:lstStyle xmlns:a="http://schemas.openxmlformats.org/drawingml/2006/main"/>
        <a:p>
          <a:pPr/>
          <a:r>
            <a:rPr lang="en-US" sz="1200" b="1">
              <a:solidFill>
                <a:schemeClr val="tx1"/>
              </a:solidFill>
              <a:latin typeface="+mn-lt"/>
              <a:cs typeface="Times New Roman" panose="02020603050405020304" pitchFamily="18" charset="0"/>
            </a:rPr>
            <a:t>EMAIL : snsitech@gmail.com</a:t>
          </a:r>
        </a:p>
        <a:p>
          <a:r>
            <a:rPr lang="en-US" sz="1200" b="1">
              <a:solidFill>
                <a:schemeClr val="tx1"/>
              </a:solidFill>
              <a:latin typeface="+mn-lt"/>
              <a:cs typeface="Times New Roman" panose="02020603050405020304" pitchFamily="18" charset="0"/>
            </a:rPr>
            <a:t>MOB</a:t>
          </a:r>
          <a:r>
            <a:rPr lang="en-US" sz="1200" b="1" baseline="0">
              <a:solidFill>
                <a:schemeClr val="tx1"/>
              </a:solidFill>
              <a:latin typeface="+mn-lt"/>
              <a:cs typeface="Times New Roman" panose="02020603050405020304" pitchFamily="18" charset="0"/>
            </a:rPr>
            <a:t>  : +91-8979987689</a:t>
          </a:r>
          <a:endParaRPr lang="en-US" sz="1200" b="1">
            <a:latin typeface="+mn-lt"/>
            <a:cs typeface="Times New Roman" panose="02020603050405020304" pitchFamily="18" charset="0"/>
          </a:endParaRPr>
        </a:p>
      </xdr:txBody>
    </xdr:sp>
    <xdr:clientData/>
  </xdr:oneCellAnchor>
  <xdr:oneCellAnchor>
    <xdr:from>
      <xdr:col>8</xdr:col>
      <xdr:colOff>114300</xdr:colOff>
      <xdr:row>0</xdr:row>
      <xdr:rowOff>28575</xdr:rowOff>
    </xdr:from>
    <xdr:ext cx="2486025" cy="438150"/>
    <xdr:sp>
      <xdr:nvSpPr>
        <xdr:cNvPr id="1063" name="TextBox 10">
          <a:extLst>
            <a:ext uri="{FF2B5EF4-FFF2-40B4-BE49-F238E27FC236}">
              <a16:creationId xmlns:a16="http://schemas.microsoft.com/office/drawing/2014/main" id="{766788a7-b997-4866-9e76-39daea33749c}"/>
            </a:ext>
          </a:extLst>
        </xdr:cNvPr>
        <xdr:cNvSpPr txBox="1"/>
      </xdr:nvSpPr>
      <xdr:spPr>
        <a:xfrm>
          <a:off x="6438900" y="28575"/>
          <a:ext cx="2486025" cy="438150"/>
        </a:xfrm>
        <a:prstGeom prst="rect"/>
        <a:noFill/>
      </xdr:spPr>
      <xdr:style>
        <a:lnRef idx="0">
          <a:srgbClr val="000000"/>
        </a:lnRef>
        <a:fillRef idx="0">
          <a:srgbClr val="000000"/>
        </a:fillRef>
        <a:effectRef idx="0">
          <a:srgbClr val="000000"/>
        </a:effectRef>
        <a:fontRef idx="minor">
          <a:schemeClr val="tx1"/>
        </a:fontRef>
      </xdr:style>
      <xdr:txBody>
        <a:bodyPr vertOverflow="clip" horzOverflow="clip" wrap="square" rtlCol="0" anchor="t">
          <a:noAutofit/>
        </a:bodyPr>
        <a:lstStyle xmlns:a="http://schemas.openxmlformats.org/drawingml/2006/main"/>
        <a:p>
          <a:pPr algn="r">
            <a:lnSpc>
              <a:spcPts val="1000"/>
            </a:lnSpc>
          </a:pPr>
          <a:r>
            <a:rPr lang="en-US" sz="1200" b="1">
              <a:solidFill>
                <a:schemeClr val="tx1"/>
              </a:solidFill>
              <a:effectLst/>
              <a:latin typeface="+mn-lt"/>
              <a:ea typeface="+mn-ea"/>
              <a:cs typeface="Times New Roman" panose="02020603050405020304" pitchFamily="18" charset="0"/>
            </a:rPr>
            <a:t>CIN: U40106UP2019PTC125182</a:t>
          </a:r>
          <a:endParaRPr lang="en-US" sz="1200">
            <a:solidFill>
              <a:srgbClr val="000000"/>
            </a:solidFill>
            <a:effectLst/>
            <a:latin typeface="+mn-lt"/>
            <a:cs typeface="Times New Roman" panose="02020603050405020304" pitchFamily="18" charset="0"/>
          </a:endParaRPr>
        </a:p>
        <a:p>
          <a:pPr algn="r">
            <a:lnSpc>
              <a:spcPts val="1100"/>
            </a:lnSpc>
          </a:pPr>
          <a:r>
            <a:rPr lang="en-US" sz="1200" b="1">
              <a:solidFill>
                <a:schemeClr val="tx1"/>
              </a:solidFill>
              <a:effectLst/>
              <a:latin typeface="+mn-lt"/>
              <a:ea typeface="+mn-ea"/>
              <a:cs typeface="Times New Roman" panose="02020603050405020304" pitchFamily="18" charset="0"/>
            </a:rPr>
            <a:t>GSTIN:  09ABDCS1757M1ZU                                                                          </a:t>
          </a:r>
          <a:r>
            <a:rPr lang="en-US" sz="1200" b="1" baseline="0">
              <a:solidFill>
                <a:schemeClr val="tx1"/>
              </a:solidFill>
              <a:effectLst/>
              <a:latin typeface="+mn-lt"/>
              <a:ea typeface="+mn-ea"/>
              <a:cs typeface="Times New Roman" panose="02020603050405020304" pitchFamily="18" charset="0"/>
            </a:rPr>
            <a:t>                                                                                          </a:t>
          </a:r>
          <a:r>
            <a:rPr lang="en-US" sz="1200" b="1">
              <a:solidFill>
                <a:schemeClr val="tx1"/>
              </a:solidFill>
              <a:effectLst/>
              <a:latin typeface="+mn-lt"/>
              <a:ea typeface="+mn-ea"/>
              <a:cs typeface="Times New Roman" panose="02020603050405020304" pitchFamily="18" charset="0"/>
            </a:rPr>
            <a:t> </a:t>
          </a:r>
          <a:endParaRPr lang="en-US" sz="1200">
            <a:solidFill>
              <a:srgbClr val="000000"/>
            </a:solidFill>
            <a:effectLst/>
            <a:latin typeface="+mn-lt"/>
            <a:cs typeface="Times New Roman" panose="02020603050405020304" pitchFamily="18" charset="0"/>
          </a:endParaRPr>
        </a:p>
        <a:p>
          <a:pPr>
            <a:lnSpc>
              <a:spcPts val="1000"/>
            </a:lnSpc>
          </a:pPr>
          <a:endParaRPr lang="en-US" sz="1100"/>
        </a:p>
      </xdr:txBody>
    </xdr:sp>
    <xdr:clientData/>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a14="http://schemas.microsoft.com/office/drawing/2010/main">
  <mc:AlternateContent xmlns:mc="http://schemas.openxmlformats.org/markup-compatibility/2006">
    <mc:Choice xmlns:a14="http://schemas.microsoft.com/office/drawing/2010/main" Requires="a14">
      <xdr:twoCellAnchor>
        <xdr:from>
          <xdr:col>8</xdr:col>
          <xdr:colOff>533400</xdr:colOff>
          <xdr:row>1</xdr:row>
          <xdr:rowOff>66415</xdr:rowOff>
        </xdr:from>
        <xdr:to>
          <xdr:col>14</xdr:col>
          <xdr:colOff>57150</xdr:colOff>
          <xdr:row>8</xdr:row>
          <xdr:rowOff>95510</xdr:rowOff>
        </xdr:to>
        <xdr:sp macro="[0]!Button2_Click">
          <xdr:nvSpPr>
            <xdr:cNvPr id="46082" name="Button 2" hidden="1">
              <a:extLst>
                <a:ext uri="{63B3BB69-23CF-44E3-9099-C40C66FF867C}">
                  <a14:compatExt spid="_x0000_s46082"/>
                </a:ext>
                <a:ext uri="{FF2B5EF4-FFF2-40B4-BE49-F238E27FC236}">
                  <a16:creationId xmlns:a16="http://schemas.microsoft.com/office/drawing/2014/main" id="{08959cc8-ca03-4b2d-a8aa-61854ba28667}"/>
                </a:ext>
              </a:extLst>
            </xdr:cNvPr>
            <xdr:cNvSpPr>
              <a:spLocks noRot="1"/>
            </xdr:cNvSpPr>
          </xdr:nvSpPr>
          <xdr:spPr>
            <a:xfrm>
              <a:off x="8505825" y="228600"/>
              <a:ext cx="3181350" cy="1162050"/>
            </a:xfrm>
            <a:prstGeom prst="rect"/>
            <a:ln w="9525"/>
          </xdr:spPr>
          <xdr:txBody>
            <a:bodyPr lIns="91440" tIns="45720" rIns="91440" bIns="45720" vert="horz" anchor="ctr" anchorCtr="1" upright="1"/>
            <a:p>
              <a:pPr/>
              <a:r>
                <a:rPr lang="en-US" sz="1000" b="0" i="0" u="dbl" baseline="0">
                  <a:solidFill>
                    <a:srgbClr val="FF0000"/>
                  </a:solidFill>
                  <a:latin typeface="Arial"/>
                  <a:ea typeface="Arial"/>
                  <a:cs typeface="Arial"/>
                </a:rPr>
                <a:t>FOR JAIPUR
PRESS - MOP &amp; AOC BUTTON FIRST 
AND THEN COPY PASTE FORM 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1</xdr:col>
      <xdr:colOff>180770</xdr:colOff>
      <xdr:row>8</xdr:row>
      <xdr:rowOff>133462</xdr:rowOff>
    </xdr:from>
    <xdr:to>
      <xdr:col>9</xdr:col>
      <xdr:colOff>352425</xdr:colOff>
      <xdr:row>35</xdr:row>
      <xdr:rowOff>171115</xdr:rowOff>
    </xdr:to>
    <xdr:pic>
      <xdr:nvPicPr>
        <xdr:cNvPr id="577" name="Picture 5">
          <a:extLst>
            <a:ext uri="{FF2B5EF4-FFF2-40B4-BE49-F238E27FC236}">
              <a16:creationId xmlns:a16="http://schemas.microsoft.com/office/drawing/2014/main" id="{4f8292b0-4f9a-4404-adbd-8e26c0a41dc2}"/>
            </a:ext>
          </a:extLst>
        </xdr:cNvPr>
        <xdr:cNvPicPr>
          <a:picLocks noChangeAspect="1"/>
        </xdr:cNvPicPr>
      </xdr:nvPicPr>
      <xdr:blipFill>
        <a:blip r:embed="rId1"/>
        <a:stretch>
          <a:fillRect/>
        </a:stretch>
      </xdr:blipFill>
      <xdr:spPr>
        <a:xfrm>
          <a:off x="790575" y="1638300"/>
          <a:ext cx="5124450" cy="5410200"/>
        </a:xfrm>
        <a:prstGeom prst="rect"/>
      </xdr:spPr>
    </xdr:pic>
    <xdr:clientData/>
  </xdr:twoCellAnchor>
  <xdr:twoCellAnchor editAs="oneCell">
    <xdr:from>
      <xdr:col>0</xdr:col>
      <xdr:colOff>38100</xdr:colOff>
      <xdr:row>0</xdr:row>
      <xdr:rowOff>57299</xdr:rowOff>
    </xdr:from>
    <xdr:to>
      <xdr:col>1</xdr:col>
      <xdr:colOff>514090</xdr:colOff>
      <xdr:row>6</xdr:row>
      <xdr:rowOff>9488</xdr:rowOff>
    </xdr:to>
    <xdr:pic>
      <xdr:nvPicPr>
        <xdr:cNvPr id="578" name="image1.png">
          <a:extLst>
            <a:ext uri="{FF2B5EF4-FFF2-40B4-BE49-F238E27FC236}">
              <a16:creationId xmlns:a16="http://schemas.microsoft.com/office/drawing/2014/main" id="{70dd81ad-baac-47c9-af82-c6bc6474bef6}"/>
            </a:ext>
          </a:extLst>
        </xdr:cNvPr>
        <xdr:cNvPicPr>
          <a:picLocks noChangeAspect="1"/>
        </xdr:cNvPicPr>
      </xdr:nvPicPr>
      <xdr:blipFill>
        <a:blip r:embed="rId2"/>
        <a:stretch>
          <a:fillRect/>
        </a:stretch>
      </xdr:blipFill>
      <xdr:spPr>
        <a:xfrm>
          <a:off x="38100" y="57150"/>
          <a:ext cx="1085850" cy="1095375"/>
        </a:xfrm>
        <a:prstGeom prst="rect"/>
      </xdr:spPr>
    </xdr:pic>
    <xdr:clientData/>
  </xdr:twoCellAnchor>
  <xdr:twoCellAnchor editAs="oneCell">
    <xdr:from>
      <xdr:col>0</xdr:col>
      <xdr:colOff>76200</xdr:colOff>
      <xdr:row>48</xdr:row>
      <xdr:rowOff>47625</xdr:rowOff>
    </xdr:from>
    <xdr:to>
      <xdr:col>1</xdr:col>
      <xdr:colOff>552227</xdr:colOff>
      <xdr:row>54</xdr:row>
      <xdr:rowOff>18752</xdr:rowOff>
    </xdr:to>
    <xdr:pic>
      <xdr:nvPicPr>
        <xdr:cNvPr id="579" name="image1.png">
          <a:extLst>
            <a:ext uri="{FF2B5EF4-FFF2-40B4-BE49-F238E27FC236}">
              <a16:creationId xmlns:a16="http://schemas.microsoft.com/office/drawing/2014/main" id="{ca3fb8f3-ad5b-42e8-a2fb-1be2e8e19bd9}"/>
            </a:ext>
          </a:extLst>
        </xdr:cNvPr>
        <xdr:cNvPicPr>
          <a:picLocks noChangeAspect="1"/>
        </xdr:cNvPicPr>
      </xdr:nvPicPr>
      <xdr:blipFill>
        <a:blip r:embed="rId2"/>
        <a:stretch>
          <a:fillRect/>
        </a:stretch>
      </xdr:blipFill>
      <xdr:spPr>
        <a:xfrm>
          <a:off x="76200" y="9477375"/>
          <a:ext cx="1085850" cy="1114425"/>
        </a:xfrm>
        <a:prstGeom prst="rect"/>
      </xdr:spPr>
    </xdr:pic>
    <xdr:clientData/>
  </xdr:twoCellAnchor>
  <xdr:twoCellAnchor editAs="oneCell">
    <xdr:from>
      <xdr:col>1</xdr:col>
      <xdr:colOff>257045</xdr:colOff>
      <xdr:row>57</xdr:row>
      <xdr:rowOff>161739</xdr:rowOff>
    </xdr:from>
    <xdr:to>
      <xdr:col>9</xdr:col>
      <xdr:colOff>447675</xdr:colOff>
      <xdr:row>86</xdr:row>
      <xdr:rowOff>95250</xdr:rowOff>
    </xdr:to>
    <xdr:pic>
      <xdr:nvPicPr>
        <xdr:cNvPr id="580" name="Picture 7">
          <a:extLst>
            <a:ext uri="{FF2B5EF4-FFF2-40B4-BE49-F238E27FC236}">
              <a16:creationId xmlns:a16="http://schemas.microsoft.com/office/drawing/2014/main" id="{7d665a3b-647a-4939-bb37-e663c621b502}"/>
            </a:ext>
          </a:extLst>
        </xdr:cNvPr>
        <xdr:cNvPicPr>
          <a:picLocks noChangeAspect="1"/>
        </xdr:cNvPicPr>
      </xdr:nvPicPr>
      <xdr:blipFill>
        <a:blip r:embed="rId1"/>
        <a:stretch>
          <a:fillRect/>
        </a:stretch>
      </xdr:blipFill>
      <xdr:spPr>
        <a:xfrm>
          <a:off x="866775" y="11325225"/>
          <a:ext cx="5143500" cy="5343525"/>
        </a:xfrm>
        <a:prstGeom prst="rect"/>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dell\AppData\Roaming\Microsoft\AddIns\SpellNumber.xlam" TargetMode="External" /></Relationships>
</file>

<file path=xl/externalLinks/_rels/externalLink2.xml.rels><?xml version="1.0" encoding="UTF-8" standalone="yes"?><Relationships xmlns="http://schemas.openxmlformats.org/package/2006/relationships"><Relationship Id="rId1" Type="http://schemas.microsoft.com/office/2006/relationships/xlExternalLinkPath/xlLibrary" Target="SpellNumber.xla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SpellNumber"/>
    </definedNames>
    <sheetDataSet>
      <sheetData sheetId="0"/>
      <sheetData sheetId="1"/>
      <sheetData sheetId="2"/>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SpellNumber"/>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_rels/sheet4.xml.rels><?xml version="1.0" encoding="UTF-8" standalone="yes"?><Relationships xmlns="http://schemas.openxmlformats.org/package/2006/relationships"><Relationship Id="rId1" Type="http://schemas.openxmlformats.org/officeDocument/2006/relationships/printerSettings" Target="../printerSettings/printerSettings4.bin" /></Relationships>
</file>

<file path=xl/worksheets/_rels/sheet6.xml.rels><?xml version="1.0" encoding="UTF-8" standalone="yes"?><Relationships xmlns="http://schemas.openxmlformats.org/package/2006/relationships"><Relationship Id="rId1" Type="http://schemas.openxmlformats.org/officeDocument/2006/relationships/printerSettings" Target="../printerSettings/printerSettings5.bin" /></Relationships>
</file>

<file path=xl/worksheets/_rels/sheet7.xml.rels><?xml version="1.0" encoding="UTF-8" standalone="yes"?><Relationships xmlns="http://schemas.openxmlformats.org/package/2006/relationships"><Relationship Id="rId1" Type="http://schemas.openxmlformats.org/officeDocument/2006/relationships/printerSettings" Target="../printerSettings/printerSettings6.bin" /></Relationships>
</file>

<file path=xl/worksheets/_rels/sheet8.xml.rels><?xml version="1.0" encoding="UTF-8" standalone="yes"?><Relationships xmlns="http://schemas.openxmlformats.org/package/2006/relationships"><Relationship Id="rId2" Type="http://schemas.openxmlformats.org/officeDocument/2006/relationships/drawing" Target="../drawings/drawing4.xml" /><Relationship Id="rId1" Type="http://schemas.openxmlformats.org/officeDocument/2006/relationships/ctrlProp" Target="../ctrProps/ctrProp1.xml" /><Relationship Id="rId3" Type="http://schemas.openxmlformats.org/officeDocument/2006/relationships/vmlDrawing" Target="../drawings/vmlDrawing1.vml" /><Relationship Id="rId4" Type="http://schemas.openxmlformats.org/officeDocument/2006/relationships/printerSettings" Target="../printerSettings/printerSettings7.bin" /></Relationships>
</file>

<file path=xl/worksheets/_rels/sheet9.xml.rels><?xml version="1.0" encoding="UTF-8" standalone="yes"?><Relationships xmlns="http://schemas.openxmlformats.org/package/2006/relationships"><Relationship Id="rId5" Type="http://schemas.openxmlformats.org/officeDocument/2006/relationships/drawing" Target="../drawings/drawing5.xml" /><Relationship Id="rId1" Type="http://schemas.openxmlformats.org/officeDocument/2006/relationships/hyperlink" Target="mailto:snsitech@gmail.com" TargetMode="External" /><Relationship Id="rId2" Type="http://schemas.openxmlformats.org/officeDocument/2006/relationships/hyperlink" Target="http://www.snsinfotech.com/" TargetMode="External" /><Relationship Id="rId6" Type="http://schemas.openxmlformats.org/officeDocument/2006/relationships/printerSettings" Target="../printerSettings/printerSettings8.bin" /><Relationship Id="rId3" Type="http://schemas.openxmlformats.org/officeDocument/2006/relationships/hyperlink" Target="mailto:snsitech@gmail.com" TargetMode="External" /><Relationship Id="rId4" Type="http://schemas.openxmlformats.org/officeDocument/2006/relationships/hyperlink" Target="http://www.snsinfotech.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52B58A6E-64B6-42F6-8011-47D40651B9AB}">
  <sheetPr codeName="Sheet1">
    <pageSetUpPr fitToPage="1"/>
  </sheetPr>
  <dimension ref="A1:M58"/>
  <sheetViews>
    <sheetView zoomScale="78" zoomScaleNormal="78" zoomScalePageLayoutView="75" workbookViewId="0" topLeftCell="A21">
      <selection pane="topLeft" activeCell="N11" sqref="N11"/>
    </sheetView>
  </sheetViews>
  <sheetFormatPr defaultRowHeight="12.75"/>
  <cols>
    <col min="1" max="4" width="11.8571428571429" customWidth="1"/>
    <col min="5" max="5" width="11.1428571428571" customWidth="1"/>
    <col min="6" max="11" width="12.8571428571429" customWidth="1"/>
    <col min="12" max="12" width="14.5714285714286" customWidth="1"/>
  </cols>
  <sheetData>
    <row r="1" spans="1:12" ht="18" customHeight="1">
      <c r="A1" s="39"/>
      <c r="B1" s="37"/>
      <c r="C1" s="37"/>
      <c r="D1" s="37"/>
      <c r="E1" s="37"/>
      <c r="F1" s="37"/>
      <c r="G1" s="37"/>
      <c r="H1" s="37"/>
      <c r="I1" s="37"/>
      <c r="J1" s="37"/>
      <c r="K1" s="37"/>
      <c r="L1" s="38"/>
    </row>
    <row r="2" spans="1:12" ht="18" customHeight="1">
      <c r="A2" s="32"/>
      <c r="B2" s="1"/>
      <c r="C2" s="1"/>
      <c r="D2" s="1"/>
      <c r="E2" s="1"/>
      <c r="F2" s="1"/>
      <c r="G2" s="1"/>
      <c r="H2" s="1"/>
      <c r="I2" s="1"/>
      <c r="J2" s="1"/>
      <c r="K2" s="1"/>
      <c r="L2" s="33"/>
    </row>
    <row r="3" spans="1:12" ht="18" customHeight="1">
      <c r="A3" s="32"/>
      <c r="B3" s="1"/>
      <c r="C3" s="1"/>
      <c r="D3" s="1"/>
      <c r="E3" s="1"/>
      <c r="F3" s="1"/>
      <c r="G3" s="1"/>
      <c r="H3" s="1"/>
      <c r="I3" s="1"/>
      <c r="J3" s="1"/>
      <c r="K3" s="1"/>
      <c r="L3" s="33"/>
    </row>
    <row r="4" spans="1:12" ht="18" customHeight="1">
      <c r="A4" s="32"/>
      <c r="B4" s="1"/>
      <c r="C4" s="1"/>
      <c r="D4" s="1"/>
      <c r="E4" s="1"/>
      <c r="F4" s="1"/>
      <c r="G4" s="1"/>
      <c r="H4" s="1"/>
      <c r="I4" s="1"/>
      <c r="J4" s="1"/>
      <c r="K4" s="1"/>
      <c r="L4" s="33"/>
    </row>
    <row r="5" spans="1:12" ht="18" customHeight="1">
      <c r="A5" s="32"/>
      <c r="B5" s="1"/>
      <c r="C5" s="1"/>
      <c r="D5" s="1"/>
      <c r="E5" s="1"/>
      <c r="F5" s="1"/>
      <c r="G5" s="1"/>
      <c r="H5" s="1"/>
      <c r="I5" s="1"/>
      <c r="J5" s="1"/>
      <c r="K5" s="1"/>
      <c r="L5" s="33"/>
    </row>
    <row r="6" spans="1:12" ht="18" customHeight="1">
      <c r="A6" s="32"/>
      <c r="B6" s="1"/>
      <c r="C6" s="1"/>
      <c r="D6" s="1"/>
      <c r="E6" s="1"/>
      <c r="F6" s="1"/>
      <c r="G6" s="1"/>
      <c r="H6" s="1"/>
      <c r="I6" s="1"/>
      <c r="J6" s="1"/>
      <c r="K6" s="1"/>
      <c r="L6" s="33"/>
    </row>
    <row r="7" spans="1:12" ht="18" customHeight="1">
      <c r="A7" s="32"/>
      <c r="B7" s="1"/>
      <c r="C7" s="1"/>
      <c r="D7" s="1"/>
      <c r="E7" s="1"/>
      <c r="F7" s="1"/>
      <c r="G7" s="1"/>
      <c r="H7" s="1"/>
      <c r="I7" s="1"/>
      <c r="J7" s="1"/>
      <c r="K7" s="1"/>
      <c r="L7" s="33"/>
    </row>
    <row r="8" spans="1:12" ht="18" customHeight="1">
      <c r="A8" s="32"/>
      <c r="B8" s="1"/>
      <c r="C8" s="1"/>
      <c r="D8" s="1"/>
      <c r="E8" s="1"/>
      <c r="F8" s="1"/>
      <c r="G8" s="1"/>
      <c r="H8" s="1"/>
      <c r="I8" s="1"/>
      <c r="J8" s="1"/>
      <c r="K8" s="1"/>
      <c r="L8" s="33"/>
    </row>
    <row r="9" spans="1:12" ht="18" customHeight="1">
      <c r="A9" s="50"/>
      <c r="B9" s="51"/>
      <c r="C9" s="51"/>
      <c r="D9" s="51"/>
      <c r="E9" s="51"/>
      <c r="F9" s="51"/>
      <c r="G9" s="51"/>
      <c r="H9" s="51"/>
      <c r="I9" s="51"/>
      <c r="J9" s="51"/>
      <c r="K9" s="51"/>
      <c r="L9" s="52"/>
    </row>
    <row r="10" spans="1:12" ht="18" customHeight="1">
      <c r="A10" s="53"/>
      <c r="B10" s="54"/>
      <c r="C10" s="54"/>
      <c r="D10" s="54"/>
      <c r="E10" s="54"/>
      <c r="F10" s="54"/>
      <c r="G10" s="54"/>
      <c r="H10" s="54"/>
      <c r="I10" s="54"/>
      <c r="J10" s="54"/>
      <c r="K10" s="54"/>
      <c r="L10" s="55"/>
    </row>
    <row r="11" spans="1:12" ht="15" customHeight="1">
      <c r="A11" s="280" t="s">
        <v>128</v>
      </c>
      <c r="B11" s="281"/>
      <c r="C11" s="281"/>
      <c r="D11" s="281"/>
      <c r="E11" s="281"/>
      <c r="F11" s="281"/>
      <c r="G11" s="281"/>
      <c r="H11" s="281"/>
      <c r="I11" s="281"/>
      <c r="J11" s="282"/>
      <c r="K11" s="289" t="s">
        <v>18</v>
      </c>
      <c r="L11" s="289"/>
    </row>
    <row r="12" spans="1:12" ht="15" customHeight="1">
      <c r="A12" s="283"/>
      <c r="B12" s="284"/>
      <c r="C12" s="284"/>
      <c r="D12" s="284"/>
      <c r="E12" s="284"/>
      <c r="F12" s="284"/>
      <c r="G12" s="284"/>
      <c r="H12" s="284"/>
      <c r="I12" s="284"/>
      <c r="J12" s="285"/>
      <c r="K12" s="289" t="s">
        <v>19</v>
      </c>
      <c r="L12" s="289"/>
    </row>
    <row r="13" spans="1:12" ht="15" customHeight="1">
      <c r="A13" s="286"/>
      <c r="B13" s="287"/>
      <c r="C13" s="287"/>
      <c r="D13" s="287"/>
      <c r="E13" s="287"/>
      <c r="F13" s="287"/>
      <c r="G13" s="287"/>
      <c r="H13" s="287"/>
      <c r="I13" s="287"/>
      <c r="J13" s="288"/>
      <c r="K13" s="290" t="s">
        <v>20</v>
      </c>
      <c r="L13" s="290"/>
    </row>
    <row r="14" spans="1:12" ht="15" customHeight="1">
      <c r="A14" s="291" t="s">
        <v>21</v>
      </c>
      <c r="B14" s="292"/>
      <c r="C14" s="293" t="s">
        <v>125</v>
      </c>
      <c r="D14" s="294"/>
      <c r="E14" s="294"/>
      <c r="F14" s="295"/>
      <c r="G14" s="296" t="s">
        <v>22</v>
      </c>
      <c r="H14" s="292"/>
      <c r="I14" s="297">
        <v>44874</v>
      </c>
      <c r="J14" s="297"/>
      <c r="K14" s="297"/>
      <c r="L14" s="298"/>
    </row>
    <row r="15" spans="1:12" ht="15" customHeight="1">
      <c r="A15" s="299" t="s">
        <v>23</v>
      </c>
      <c r="B15" s="300"/>
      <c r="C15" s="301" t="s">
        <v>45</v>
      </c>
      <c r="D15" s="302"/>
      <c r="E15" s="302"/>
      <c r="F15" s="303"/>
      <c r="G15" s="304" t="s">
        <v>24</v>
      </c>
      <c r="H15" s="300"/>
      <c r="I15" s="305" t="s">
        <v>70</v>
      </c>
      <c r="J15" s="305"/>
      <c r="K15" s="305"/>
      <c r="L15" s="306"/>
    </row>
    <row r="16" spans="1:12" ht="15" customHeight="1">
      <c r="A16" s="299" t="s">
        <v>25</v>
      </c>
      <c r="B16" s="300"/>
      <c r="C16" s="301" t="s">
        <v>124</v>
      </c>
      <c r="D16" s="302"/>
      <c r="E16" s="302"/>
      <c r="F16" s="303"/>
      <c r="G16" s="304" t="s">
        <v>26</v>
      </c>
      <c r="H16" s="300"/>
      <c r="I16" s="302">
        <v>101065975</v>
      </c>
      <c r="J16" s="302"/>
      <c r="K16" s="302"/>
      <c r="L16" s="303"/>
    </row>
    <row r="17" spans="1:13" ht="15" customHeight="1">
      <c r="A17" s="307" t="s">
        <v>27</v>
      </c>
      <c r="B17" s="308"/>
      <c r="C17" s="307" t="s">
        <v>115</v>
      </c>
      <c r="D17" s="309"/>
      <c r="E17" s="309"/>
      <c r="F17" s="308"/>
      <c r="G17" s="309" t="s">
        <v>28</v>
      </c>
      <c r="H17" s="308"/>
      <c r="I17" s="310" t="s">
        <v>116</v>
      </c>
      <c r="J17" s="310"/>
      <c r="K17" s="310"/>
      <c r="L17" s="311"/>
      <c r="M17" s="49"/>
    </row>
    <row r="18" spans="1:12" ht="4.5" customHeight="1">
      <c r="A18" s="82"/>
      <c r="B18" s="83"/>
      <c r="C18" s="83"/>
      <c r="D18" s="83"/>
      <c r="E18" s="83"/>
      <c r="F18" s="83"/>
      <c r="G18" s="83"/>
      <c r="H18" s="83"/>
      <c r="I18" s="83"/>
      <c r="J18" s="83"/>
      <c r="K18" s="83"/>
      <c r="L18" s="84"/>
    </row>
    <row r="19" spans="1:12" ht="15" customHeight="1">
      <c r="A19" s="312" t="s">
        <v>79</v>
      </c>
      <c r="B19" s="313"/>
      <c r="C19" s="313"/>
      <c r="D19" s="313"/>
      <c r="E19" s="313"/>
      <c r="F19" s="313"/>
      <c r="G19" s="314" t="s">
        <v>78</v>
      </c>
      <c r="H19" s="313"/>
      <c r="I19" s="313"/>
      <c r="J19" s="313"/>
      <c r="K19" s="313"/>
      <c r="L19" s="315"/>
    </row>
    <row r="20" spans="1:12" ht="15" customHeight="1">
      <c r="A20" s="291" t="s">
        <v>29</v>
      </c>
      <c r="B20" s="292"/>
      <c r="C20" s="316" t="s">
        <v>30</v>
      </c>
      <c r="D20" s="317"/>
      <c r="E20" s="317"/>
      <c r="F20" s="318"/>
      <c r="G20" s="291" t="s">
        <v>29</v>
      </c>
      <c r="H20" s="292"/>
      <c r="I20" s="316" t="s">
        <v>46</v>
      </c>
      <c r="J20" s="317"/>
      <c r="K20" s="317"/>
      <c r="L20" s="318"/>
    </row>
    <row r="21" spans="1:12" ht="15" customHeight="1">
      <c r="A21" s="299" t="s">
        <v>31</v>
      </c>
      <c r="B21" s="300"/>
      <c r="C21" s="144" t="s">
        <v>111</v>
      </c>
      <c r="D21" s="145"/>
      <c r="E21" s="145"/>
      <c r="F21" s="146"/>
      <c r="G21" s="299" t="s">
        <v>31</v>
      </c>
      <c r="H21" s="300"/>
      <c r="I21" s="319" t="s">
        <v>63</v>
      </c>
      <c r="J21" s="320"/>
      <c r="K21" s="320"/>
      <c r="L21" s="321"/>
    </row>
    <row r="22" spans="1:12" ht="15" customHeight="1">
      <c r="A22" s="299"/>
      <c r="B22" s="300"/>
      <c r="C22" s="144" t="s">
        <v>112</v>
      </c>
      <c r="D22" s="145"/>
      <c r="E22" s="145"/>
      <c r="F22" s="146"/>
      <c r="G22" s="299"/>
      <c r="H22" s="300"/>
      <c r="I22" s="319" t="s">
        <v>64</v>
      </c>
      <c r="J22" s="320"/>
      <c r="K22" s="320"/>
      <c r="L22" s="321"/>
    </row>
    <row r="23" spans="1:12" ht="15" customHeight="1">
      <c r="A23" s="299"/>
      <c r="B23" s="300"/>
      <c r="C23" s="144" t="s">
        <v>113</v>
      </c>
      <c r="D23" s="145"/>
      <c r="E23" s="145"/>
      <c r="F23" s="146"/>
      <c r="G23" s="299"/>
      <c r="H23" s="300"/>
      <c r="I23" s="319" t="s">
        <v>65</v>
      </c>
      <c r="J23" s="320"/>
      <c r="K23" s="320"/>
      <c r="L23" s="321"/>
    </row>
    <row r="24" spans="1:12" ht="15" customHeight="1">
      <c r="A24" s="299" t="s">
        <v>32</v>
      </c>
      <c r="B24" s="300"/>
      <c r="C24" s="144" t="s">
        <v>45</v>
      </c>
      <c r="D24" s="145"/>
      <c r="E24" s="145"/>
      <c r="F24" s="146"/>
      <c r="G24" s="299" t="s">
        <v>33</v>
      </c>
      <c r="H24" s="300"/>
      <c r="I24" s="322" t="s">
        <v>62</v>
      </c>
      <c r="J24" s="323"/>
      <c r="K24" s="323"/>
      <c r="L24" s="324"/>
    </row>
    <row r="25" spans="1:12" ht="15" customHeight="1">
      <c r="A25" s="299" t="s">
        <v>33</v>
      </c>
      <c r="B25" s="300"/>
      <c r="C25" s="147" t="s">
        <v>114</v>
      </c>
      <c r="D25" s="142"/>
      <c r="E25" s="142"/>
      <c r="F25" s="148"/>
      <c r="G25" s="299" t="s">
        <v>23</v>
      </c>
      <c r="H25" s="300"/>
      <c r="I25" s="319" t="s">
        <v>45</v>
      </c>
      <c r="J25" s="320"/>
      <c r="K25" s="320"/>
      <c r="L25" s="321"/>
    </row>
    <row r="26" spans="1:12" ht="15" customHeight="1">
      <c r="A26" s="307" t="s">
        <v>34</v>
      </c>
      <c r="B26" s="308"/>
      <c r="C26" s="159" t="s">
        <v>70</v>
      </c>
      <c r="D26" s="160"/>
      <c r="E26" s="160"/>
      <c r="F26" s="161"/>
      <c r="G26" s="307" t="s">
        <v>34</v>
      </c>
      <c r="H26" s="308"/>
      <c r="I26" s="325" t="s">
        <v>70</v>
      </c>
      <c r="J26" s="326"/>
      <c r="K26" s="326"/>
      <c r="L26" s="327"/>
    </row>
    <row r="27" spans="1:12" ht="4.35" customHeight="1">
      <c r="A27" s="85"/>
      <c r="B27" s="86"/>
      <c r="C27" s="86"/>
      <c r="D27" s="86"/>
      <c r="E27" s="86"/>
      <c r="F27" s="86"/>
      <c r="G27" s="86"/>
      <c r="H27" s="86"/>
      <c r="I27" s="86"/>
      <c r="J27" s="86"/>
      <c r="K27" s="86"/>
      <c r="L27" s="87"/>
    </row>
    <row r="28" spans="1:12" ht="38.25" customHeight="1">
      <c r="A28" s="328" t="s">
        <v>181</v>
      </c>
      <c r="B28" s="329"/>
      <c r="C28" s="329"/>
      <c r="D28" s="329"/>
      <c r="E28" s="329"/>
      <c r="F28" s="329"/>
      <c r="G28" s="329"/>
      <c r="H28" s="329"/>
      <c r="I28" s="329"/>
      <c r="J28" s="329"/>
      <c r="K28" s="329"/>
      <c r="L28" s="330"/>
    </row>
    <row r="29" spans="1:12" ht="30" customHeight="1">
      <c r="A29" s="88" t="s">
        <v>35</v>
      </c>
      <c r="B29" s="331" t="s">
        <v>36</v>
      </c>
      <c r="C29" s="332"/>
      <c r="D29" s="333"/>
      <c r="E29" s="88" t="s">
        <v>37</v>
      </c>
      <c r="F29" s="88" t="s">
        <v>38</v>
      </c>
      <c r="G29" s="88" t="s">
        <v>2</v>
      </c>
      <c r="H29" s="88" t="s">
        <v>39</v>
      </c>
      <c r="I29" s="88" t="s">
        <v>40</v>
      </c>
      <c r="J29" s="88" t="s">
        <v>41</v>
      </c>
      <c r="K29" s="88" t="s">
        <v>42</v>
      </c>
      <c r="L29" s="88" t="s">
        <v>43</v>
      </c>
    </row>
    <row r="30" spans="1:12" ht="23.25">
      <c r="A30" s="89"/>
      <c r="B30" s="334" t="s">
        <v>117</v>
      </c>
      <c r="C30" s="335"/>
      <c r="D30" s="336"/>
      <c r="E30" s="90"/>
      <c r="F30" s="90"/>
      <c r="G30" s="90"/>
      <c r="H30" s="90"/>
      <c r="I30" s="90"/>
      <c r="J30" s="90"/>
      <c r="K30" s="90"/>
      <c r="L30" s="90"/>
    </row>
    <row r="31" spans="1:12" ht="39" customHeight="1">
      <c r="A31" s="91">
        <v>1</v>
      </c>
      <c r="B31" s="337" t="s">
        <v>126</v>
      </c>
      <c r="C31" s="338"/>
      <c r="D31" s="339"/>
      <c r="E31" s="92"/>
      <c r="F31" s="93">
        <v>998311</v>
      </c>
      <c r="G31" s="93" t="s">
        <v>71</v>
      </c>
      <c r="H31" s="92">
        <f>AOC!J13</f>
        <v>1</v>
      </c>
      <c r="I31" s="94">
        <v>13200</v>
      </c>
      <c r="J31" s="94">
        <f>I31*H31</f>
        <v>13200</v>
      </c>
      <c r="K31" s="94">
        <v>0</v>
      </c>
      <c r="L31" s="95">
        <f>(((J31-K31)))</f>
        <v>13200</v>
      </c>
    </row>
    <row r="32" spans="1:12" ht="42" customHeight="1">
      <c r="A32" s="91">
        <v>2</v>
      </c>
      <c r="B32" s="337"/>
      <c r="C32" s="338"/>
      <c r="D32" s="339"/>
      <c r="E32" s="92"/>
      <c r="F32" s="93"/>
      <c r="G32" s="93"/>
      <c r="H32" s="92"/>
      <c r="I32" s="92"/>
      <c r="J32" s="94"/>
      <c r="K32" s="94"/>
      <c r="L32" s="95"/>
    </row>
    <row r="33" spans="1:12" ht="12.75">
      <c r="A33" s="91"/>
      <c r="B33" s="337"/>
      <c r="C33" s="338"/>
      <c r="D33" s="339"/>
      <c r="E33" s="92"/>
      <c r="F33" s="93"/>
      <c r="G33" s="93"/>
      <c r="H33" s="92"/>
      <c r="I33" s="92"/>
      <c r="J33" s="94"/>
      <c r="K33" s="94"/>
      <c r="L33" s="95"/>
    </row>
    <row r="34" spans="1:12" ht="12.75">
      <c r="A34" s="91"/>
      <c r="B34" s="337"/>
      <c r="C34" s="338"/>
      <c r="D34" s="339"/>
      <c r="E34" s="92"/>
      <c r="F34" s="93"/>
      <c r="G34" s="93"/>
      <c r="H34" s="92"/>
      <c r="I34" s="92"/>
      <c r="J34" s="94"/>
      <c r="K34" s="94"/>
      <c r="L34" s="95"/>
    </row>
    <row r="35" spans="1:12" ht="15">
      <c r="A35" s="91"/>
      <c r="B35" s="340"/>
      <c r="C35" s="341"/>
      <c r="D35" s="342"/>
      <c r="E35" s="92"/>
      <c r="F35" s="93"/>
      <c r="G35" s="93"/>
      <c r="H35" s="92"/>
      <c r="I35" s="92"/>
      <c r="J35" s="94"/>
      <c r="K35" s="94"/>
      <c r="L35" s="95"/>
    </row>
    <row r="36" spans="1:12" ht="15">
      <c r="A36" s="91"/>
      <c r="B36" s="340"/>
      <c r="C36" s="341"/>
      <c r="D36" s="342"/>
      <c r="E36" s="92"/>
      <c r="F36" s="93"/>
      <c r="G36" s="93"/>
      <c r="H36" s="92"/>
      <c r="I36" s="92"/>
      <c r="J36" s="92"/>
      <c r="K36" s="92"/>
      <c r="L36" s="162"/>
    </row>
    <row r="37" spans="1:12" ht="15">
      <c r="A37" s="91"/>
      <c r="B37" s="340"/>
      <c r="C37" s="341"/>
      <c r="D37" s="342"/>
      <c r="E37" s="92"/>
      <c r="F37" s="93"/>
      <c r="G37" s="93"/>
      <c r="H37" s="92"/>
      <c r="I37" s="92"/>
      <c r="J37" s="92"/>
      <c r="K37" s="92"/>
      <c r="L37" s="162"/>
    </row>
    <row r="38" spans="1:12" ht="15">
      <c r="A38" s="91"/>
      <c r="B38" s="340"/>
      <c r="C38" s="341"/>
      <c r="D38" s="342"/>
      <c r="E38" s="92"/>
      <c r="F38" s="93"/>
      <c r="G38" s="93"/>
      <c r="H38" s="92"/>
      <c r="I38" s="92"/>
      <c r="J38" s="92"/>
      <c r="K38" s="92"/>
      <c r="L38" s="162"/>
    </row>
    <row r="39" spans="1:12" ht="12.75">
      <c r="A39" s="91"/>
      <c r="B39" s="343"/>
      <c r="C39" s="344"/>
      <c r="D39" s="345"/>
      <c r="E39" s="92"/>
      <c r="F39" s="163"/>
      <c r="G39" s="93"/>
      <c r="H39" s="92"/>
      <c r="I39" s="92"/>
      <c r="J39" s="92"/>
      <c r="K39" s="92"/>
      <c r="L39" s="162"/>
    </row>
    <row r="40" spans="1:12" ht="30" customHeight="1">
      <c r="A40" s="88"/>
      <c r="B40" s="346" t="s">
        <v>44</v>
      </c>
      <c r="C40" s="347"/>
      <c r="D40" s="348"/>
      <c r="E40" s="88"/>
      <c r="F40" s="88"/>
      <c r="G40" s="88"/>
      <c r="H40" s="88"/>
      <c r="I40" s="88"/>
      <c r="J40" s="88"/>
      <c r="K40" s="88"/>
      <c r="L40" s="96">
        <f>SUM(L31:L39)</f>
        <v>13200</v>
      </c>
    </row>
    <row r="41" spans="1:12" ht="4.35" customHeight="1">
      <c r="A41" s="349"/>
      <c r="B41" s="350"/>
      <c r="C41" s="350"/>
      <c r="D41" s="350"/>
      <c r="E41" s="350"/>
      <c r="F41" s="350"/>
      <c r="G41" s="350"/>
      <c r="H41" s="350"/>
      <c r="I41" s="350"/>
      <c r="J41" s="350"/>
      <c r="K41" s="350"/>
      <c r="L41" s="351"/>
    </row>
    <row r="42" spans="1:12" ht="30" customHeight="1">
      <c r="A42" s="164" t="s">
        <v>73</v>
      </c>
      <c r="B42" s="165"/>
      <c r="C42" s="165"/>
      <c r="D42" s="165"/>
      <c r="E42" s="165"/>
      <c r="F42" s="166"/>
      <c r="G42" s="352" t="s">
        <v>68</v>
      </c>
      <c r="H42" s="352"/>
      <c r="I42" s="352"/>
      <c r="J42" s="353">
        <f>L40</f>
        <v>13200</v>
      </c>
      <c r="K42" s="353"/>
      <c r="L42" s="353"/>
    </row>
    <row r="43" spans="1:12" ht="30" customHeight="1">
      <c r="A43" s="167" t="s">
        <v>66</v>
      </c>
      <c r="B43" s="168"/>
      <c r="C43" s="168"/>
      <c r="D43" s="168"/>
      <c r="E43" s="168"/>
      <c r="F43" s="168"/>
      <c r="G43" s="354" t="s">
        <v>118</v>
      </c>
      <c r="H43" s="313"/>
      <c r="I43" s="315"/>
      <c r="J43" s="355">
        <f>J42*9%</f>
        <v>1188</v>
      </c>
      <c r="K43" s="356"/>
      <c r="L43" s="357"/>
    </row>
    <row r="44" spans="1:12" ht="30" customHeight="1">
      <c r="A44" s="167" t="s">
        <v>74</v>
      </c>
      <c r="B44" s="168"/>
      <c r="C44" s="168"/>
      <c r="D44" s="168"/>
      <c r="E44" s="168"/>
      <c r="F44" s="168"/>
      <c r="G44" s="352" t="s">
        <v>119</v>
      </c>
      <c r="H44" s="352"/>
      <c r="I44" s="352"/>
      <c r="J44" s="353">
        <f>J42*9%</f>
        <v>1188</v>
      </c>
      <c r="K44" s="353"/>
      <c r="L44" s="353"/>
    </row>
    <row r="45" spans="1:12" ht="30" customHeight="1">
      <c r="A45" s="343" t="s">
        <v>75</v>
      </c>
      <c r="B45" s="344"/>
      <c r="C45" s="344"/>
      <c r="D45" s="344"/>
      <c r="E45" s="169"/>
      <c r="F45" s="169"/>
      <c r="G45" s="352" t="s">
        <v>67</v>
      </c>
      <c r="H45" s="352"/>
      <c r="I45" s="352"/>
      <c r="J45" s="358">
        <f>J42+(J43+J44)</f>
        <v>15576</v>
      </c>
      <c r="K45" s="358"/>
      <c r="L45" s="358"/>
    </row>
    <row r="46" spans="1:12" ht="3" customHeight="1">
      <c r="A46" s="97"/>
      <c r="B46" s="98"/>
      <c r="C46" s="98"/>
      <c r="D46" s="98"/>
      <c r="E46" s="98"/>
      <c r="F46" s="99"/>
      <c r="G46" s="99"/>
      <c r="H46" s="143"/>
      <c r="I46" s="143"/>
      <c r="J46" s="170"/>
      <c r="K46" s="170"/>
      <c r="L46" s="171"/>
    </row>
    <row r="47" spans="1:12" ht="30" customHeight="1">
      <c r="A47" s="359" t="s">
        <v>127</v>
      </c>
      <c r="B47" s="360"/>
      <c r="C47" s="360"/>
      <c r="D47" s="360"/>
      <c r="E47" s="360"/>
      <c r="F47" s="360"/>
      <c r="G47" s="360"/>
      <c r="H47" s="360"/>
      <c r="I47" s="360"/>
      <c r="J47" s="360"/>
      <c r="K47" s="360"/>
      <c r="L47" s="361"/>
    </row>
    <row r="48" spans="1:12" ht="30" customHeight="1">
      <c r="A48" s="362" t="s">
        <v>76</v>
      </c>
      <c r="B48" s="363"/>
      <c r="C48" s="363"/>
      <c r="D48" s="363"/>
      <c r="E48" s="363"/>
      <c r="F48" s="363"/>
      <c r="G48" s="363"/>
      <c r="H48" s="363"/>
      <c r="I48" s="363"/>
      <c r="J48" s="363"/>
      <c r="K48" s="363"/>
      <c r="L48" s="364"/>
    </row>
    <row r="49" spans="1:12" ht="30" customHeight="1">
      <c r="A49" s="100"/>
      <c r="B49" s="101"/>
      <c r="C49" s="101"/>
      <c r="D49" s="101"/>
      <c r="E49" s="101"/>
      <c r="F49" s="101"/>
      <c r="G49" s="365" t="s">
        <v>77</v>
      </c>
      <c r="H49" s="365"/>
      <c r="I49" s="365"/>
      <c r="J49" s="365"/>
      <c r="K49" s="365"/>
      <c r="L49" s="366"/>
    </row>
    <row r="50" spans="1:12" ht="39.95" customHeight="1">
      <c r="A50" s="100"/>
      <c r="B50" s="101"/>
      <c r="C50" s="101"/>
      <c r="D50" s="101"/>
      <c r="E50" s="101"/>
      <c r="F50" s="101"/>
      <c r="G50" s="102"/>
      <c r="H50" s="102"/>
      <c r="I50" s="102"/>
      <c r="J50" s="102"/>
      <c r="K50" s="102"/>
      <c r="L50" s="103"/>
    </row>
    <row r="51" spans="1:12" ht="39.95" customHeight="1">
      <c r="A51" s="100"/>
      <c r="B51" s="101"/>
      <c r="C51" s="101"/>
      <c r="D51" s="101"/>
      <c r="E51" s="101"/>
      <c r="F51" s="101"/>
      <c r="G51" s="102"/>
      <c r="H51" s="102"/>
      <c r="I51" s="102"/>
      <c r="J51" s="102"/>
      <c r="K51" s="102"/>
      <c r="L51" s="103"/>
    </row>
    <row r="52" spans="1:12" ht="39.95" customHeight="1">
      <c r="A52" s="100"/>
      <c r="B52" s="101"/>
      <c r="C52" s="101"/>
      <c r="D52" s="101"/>
      <c r="E52" s="101"/>
      <c r="F52" s="101"/>
      <c r="G52" s="102"/>
      <c r="H52" s="102"/>
      <c r="I52" s="102"/>
      <c r="J52" s="102"/>
      <c r="K52" s="102"/>
      <c r="L52" s="103"/>
    </row>
    <row r="53" spans="1:12" ht="30" customHeight="1">
      <c r="A53" s="172"/>
      <c r="B53" s="173"/>
      <c r="C53" s="173"/>
      <c r="D53" s="173"/>
      <c r="E53" s="173"/>
      <c r="F53" s="173"/>
      <c r="G53" s="367" t="s">
        <v>69</v>
      </c>
      <c r="H53" s="367"/>
      <c r="I53" s="367"/>
      <c r="J53" s="367"/>
      <c r="K53" s="367"/>
      <c r="L53" s="368"/>
    </row>
    <row r="54" spans="1:12" ht="18" customHeight="1">
      <c r="A54" s="369"/>
      <c r="B54" s="370"/>
      <c r="C54" s="370"/>
      <c r="D54" s="370"/>
      <c r="E54" s="370"/>
      <c r="F54" s="370"/>
      <c r="G54" s="370"/>
      <c r="H54" s="370"/>
      <c r="I54" s="370"/>
      <c r="J54" s="370"/>
      <c r="K54" s="370"/>
      <c r="L54" s="371"/>
    </row>
    <row r="55" spans="1:12" ht="18" customHeight="1">
      <c r="A55" s="369"/>
      <c r="B55" s="370"/>
      <c r="C55" s="370"/>
      <c r="D55" s="370"/>
      <c r="E55" s="370"/>
      <c r="F55" s="370"/>
      <c r="G55" s="370"/>
      <c r="H55" s="370"/>
      <c r="I55" s="370"/>
      <c r="J55" s="370"/>
      <c r="K55" s="370"/>
      <c r="L55" s="371"/>
    </row>
    <row r="56" spans="1:12" ht="18" customHeight="1">
      <c r="A56" s="369"/>
      <c r="B56" s="370"/>
      <c r="C56" s="370"/>
      <c r="D56" s="370"/>
      <c r="E56" s="370"/>
      <c r="F56" s="370"/>
      <c r="G56" s="370"/>
      <c r="H56" s="370"/>
      <c r="I56" s="370"/>
      <c r="J56" s="370"/>
      <c r="K56" s="370"/>
      <c r="L56" s="371"/>
    </row>
    <row r="57" spans="1:12" ht="18" customHeight="1">
      <c r="A57" s="372"/>
      <c r="B57" s="373"/>
      <c r="C57" s="373"/>
      <c r="D57" s="373"/>
      <c r="E57" s="373"/>
      <c r="F57" s="373"/>
      <c r="G57" s="373"/>
      <c r="H57" s="373"/>
      <c r="I57" s="373"/>
      <c r="J57" s="373"/>
      <c r="K57" s="373"/>
      <c r="L57" s="374"/>
    </row>
    <row r="58" spans="1:12" ht="18" customHeight="1">
      <c r="A58" s="375"/>
      <c r="B58" s="375"/>
      <c r="C58" s="375"/>
      <c r="D58" s="375"/>
      <c r="E58" s="375"/>
      <c r="F58" s="375"/>
      <c r="G58" s="323"/>
      <c r="H58" s="323"/>
      <c r="I58" s="323"/>
      <c r="J58" s="376"/>
      <c r="K58" s="376"/>
      <c r="L58" s="376"/>
    </row>
  </sheetData>
  <sheetProtection/>
  <mergeCells count="75">
    <mergeCell ref="A47:L47"/>
    <mergeCell ref="A48:L48"/>
    <mergeCell ref="G49:L49"/>
    <mergeCell ref="G53:L53"/>
    <mergeCell ref="A54:L57"/>
    <mergeCell ref="A58:F58"/>
    <mergeCell ref="G58:I58"/>
    <mergeCell ref="J58:L58"/>
    <mergeCell ref="G43:I43"/>
    <mergeCell ref="J43:L43"/>
    <mergeCell ref="G44:I44"/>
    <mergeCell ref="J44:L44"/>
    <mergeCell ref="A45:D45"/>
    <mergeCell ref="G45:I45"/>
    <mergeCell ref="J45:L45"/>
    <mergeCell ref="B37:D37"/>
    <mergeCell ref="B38:D38"/>
    <mergeCell ref="B39:D39"/>
    <mergeCell ref="B40:D40"/>
    <mergeCell ref="A41:L41"/>
    <mergeCell ref="G42:I42"/>
    <mergeCell ref="J42:L42"/>
    <mergeCell ref="B31:D31"/>
    <mergeCell ref="B32:D32"/>
    <mergeCell ref="B33:D33"/>
    <mergeCell ref="B34:D34"/>
    <mergeCell ref="B35:D35"/>
    <mergeCell ref="B36:D36"/>
    <mergeCell ref="A26:B26"/>
    <mergeCell ref="G26:H26"/>
    <mergeCell ref="I26:L26"/>
    <mergeCell ref="A28:L28"/>
    <mergeCell ref="B29:D29"/>
    <mergeCell ref="B30:D30"/>
    <mergeCell ref="A24:B24"/>
    <mergeCell ref="G24:H24"/>
    <mergeCell ref="I24:L24"/>
    <mergeCell ref="A25:B25"/>
    <mergeCell ref="G25:H25"/>
    <mergeCell ref="I25:L25"/>
    <mergeCell ref="A22:B22"/>
    <mergeCell ref="G22:H22"/>
    <mergeCell ref="I22:L22"/>
    <mergeCell ref="A23:B23"/>
    <mergeCell ref="G23:H23"/>
    <mergeCell ref="I23:L23"/>
    <mergeCell ref="A20:B20"/>
    <mergeCell ref="C20:F20"/>
    <mergeCell ref="G20:H20"/>
    <mergeCell ref="I20:L20"/>
    <mergeCell ref="A21:B21"/>
    <mergeCell ref="G21:H21"/>
    <mergeCell ref="I21:L21"/>
    <mergeCell ref="A17:B17"/>
    <mergeCell ref="C17:F17"/>
    <mergeCell ref="G17:H17"/>
    <mergeCell ref="I17:L17"/>
    <mergeCell ref="A19:F19"/>
    <mergeCell ref="G19:L19"/>
    <mergeCell ref="A15:B15"/>
    <mergeCell ref="C15:F15"/>
    <mergeCell ref="G15:H15"/>
    <mergeCell ref="I15:L15"/>
    <mergeCell ref="A16:B16"/>
    <mergeCell ref="C16:F16"/>
    <mergeCell ref="G16:H16"/>
    <mergeCell ref="I16:L16"/>
    <mergeCell ref="A11:J13"/>
    <mergeCell ref="K11:L11"/>
    <mergeCell ref="K12:L12"/>
    <mergeCell ref="K13:L13"/>
    <mergeCell ref="A14:B14"/>
    <mergeCell ref="C14:F14"/>
    <mergeCell ref="G14:H14"/>
    <mergeCell ref="I14:L14"/>
  </mergeCells>
  <printOptions horizontalCentered="1"/>
  <pageMargins left="0.25" right="0.25" top="0.28" bottom="0.28" header="0.3" footer="0.3"/>
  <pageSetup orientation="portrait" paperSize="9" scale="67"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D631F84C-6B48-42A9-8F91-B1E5BD08B9AB}">
  <sheetPr codeName="Sheet2">
    <pageSetUpPr fitToPage="1"/>
  </sheetPr>
  <dimension ref="A1:M64"/>
  <sheetViews>
    <sheetView tabSelected="1" zoomScalePageLayoutView="75" workbookViewId="0" topLeftCell="A7">
      <selection pane="topLeft" activeCell="A53" sqref="A53"/>
    </sheetView>
  </sheetViews>
  <sheetFormatPr defaultRowHeight="12.75"/>
  <cols>
    <col min="1" max="4" width="11.8571428571429" customWidth="1"/>
    <col min="5" max="5" width="11.1428571428571" customWidth="1"/>
    <col min="6" max="11" width="12.8571428571429" customWidth="1"/>
    <col min="12" max="12" width="15.4285714285714" bestFit="1" customWidth="1"/>
  </cols>
  <sheetData>
    <row r="1" spans="1:12" ht="18" customHeight="1">
      <c r="A1" s="39"/>
      <c r="B1" s="37"/>
      <c r="C1" s="37"/>
      <c r="D1" s="37"/>
      <c r="E1" s="37"/>
      <c r="F1" s="37"/>
      <c r="G1" s="37"/>
      <c r="H1" s="37"/>
      <c r="I1" s="37"/>
      <c r="J1" s="37"/>
      <c r="K1" s="37"/>
      <c r="L1" s="38"/>
    </row>
    <row r="2" spans="1:12" ht="18" customHeight="1">
      <c r="A2" s="32"/>
      <c r="B2" s="1"/>
      <c r="C2" s="1"/>
      <c r="D2" s="1"/>
      <c r="E2" s="1"/>
      <c r="F2" s="1"/>
      <c r="G2" s="1"/>
      <c r="H2" s="1"/>
      <c r="I2" s="1"/>
      <c r="J2" s="1"/>
      <c r="K2" s="1"/>
      <c r="L2" s="33"/>
    </row>
    <row r="3" spans="1:12" ht="18" customHeight="1">
      <c r="A3" s="32"/>
      <c r="B3" s="1"/>
      <c r="C3" s="1"/>
      <c r="D3" s="1"/>
      <c r="E3" s="1"/>
      <c r="F3" s="1"/>
      <c r="G3" s="1"/>
      <c r="H3" s="1"/>
      <c r="I3" s="1"/>
      <c r="J3" s="1"/>
      <c r="K3" s="1"/>
      <c r="L3" s="33"/>
    </row>
    <row r="4" spans="1:12" ht="18" customHeight="1">
      <c r="A4" s="32"/>
      <c r="B4" s="1"/>
      <c r="C4" s="1"/>
      <c r="D4" s="1"/>
      <c r="E4" s="1"/>
      <c r="F4" s="1"/>
      <c r="G4" s="1"/>
      <c r="H4" s="1"/>
      <c r="I4" s="1"/>
      <c r="J4" s="1"/>
      <c r="K4" s="1"/>
      <c r="L4" s="33"/>
    </row>
    <row r="5" spans="1:12" ht="18" customHeight="1">
      <c r="A5" s="32"/>
      <c r="B5" s="1"/>
      <c r="C5" s="1"/>
      <c r="D5" s="1"/>
      <c r="E5" s="1"/>
      <c r="F5" s="1"/>
      <c r="G5" s="1"/>
      <c r="H5" s="1"/>
      <c r="I5" s="1"/>
      <c r="J5" s="1"/>
      <c r="K5" s="1"/>
      <c r="L5" s="33"/>
    </row>
    <row r="6" spans="1:12" ht="18" customHeight="1">
      <c r="A6" s="32"/>
      <c r="B6" s="1"/>
      <c r="C6" s="1"/>
      <c r="D6" s="1"/>
      <c r="E6" s="1"/>
      <c r="F6" s="1"/>
      <c r="G6" s="1"/>
      <c r="H6" s="1"/>
      <c r="I6" s="1"/>
      <c r="J6" s="1"/>
      <c r="K6" s="1"/>
      <c r="L6" s="33"/>
    </row>
    <row r="7" spans="1:12" ht="18" customHeight="1">
      <c r="A7" s="32"/>
      <c r="B7" s="1"/>
      <c r="C7" s="1"/>
      <c r="D7" s="1"/>
      <c r="E7" s="1"/>
      <c r="F7" s="1"/>
      <c r="G7" s="1"/>
      <c r="H7" s="1"/>
      <c r="I7" s="1"/>
      <c r="J7" s="1"/>
      <c r="K7" s="1"/>
      <c r="L7" s="33"/>
    </row>
    <row r="8" spans="1:12" ht="18" customHeight="1">
      <c r="A8" s="32"/>
      <c r="B8" s="1"/>
      <c r="C8" s="1"/>
      <c r="D8" s="1"/>
      <c r="E8" s="1"/>
      <c r="F8" s="1"/>
      <c r="G8" s="1"/>
      <c r="H8" s="1"/>
      <c r="I8" s="1"/>
      <c r="J8" s="1"/>
      <c r="K8" s="1"/>
      <c r="L8" s="33"/>
    </row>
    <row r="9" spans="1:12" ht="18" customHeight="1">
      <c r="A9" s="50"/>
      <c r="B9" s="51"/>
      <c r="C9" s="51"/>
      <c r="D9" s="51"/>
      <c r="E9" s="51"/>
      <c r="F9" s="51"/>
      <c r="G9" s="51"/>
      <c r="H9" s="51"/>
      <c r="I9" s="51"/>
      <c r="J9" s="51"/>
      <c r="K9" s="51"/>
      <c r="L9" s="52"/>
    </row>
    <row r="10" spans="1:12" ht="18" customHeight="1">
      <c r="A10" s="53"/>
      <c r="B10" s="54"/>
      <c r="C10" s="54"/>
      <c r="D10" s="54"/>
      <c r="E10" s="54"/>
      <c r="F10" s="54"/>
      <c r="G10" s="54"/>
      <c r="H10" s="54"/>
      <c r="I10" s="54"/>
      <c r="J10" s="54"/>
      <c r="K10" s="54"/>
      <c r="L10" s="55"/>
    </row>
    <row r="11" spans="1:12" ht="15" customHeight="1">
      <c r="A11" s="403" t="s">
        <v>122</v>
      </c>
      <c r="B11" s="404"/>
      <c r="C11" s="404"/>
      <c r="D11" s="404"/>
      <c r="E11" s="404"/>
      <c r="F11" s="404"/>
      <c r="G11" s="404"/>
      <c r="H11" s="404"/>
      <c r="I11" s="404"/>
      <c r="J11" s="405"/>
      <c r="K11" s="289" t="s">
        <v>18</v>
      </c>
      <c r="L11" s="289"/>
    </row>
    <row r="12" spans="1:12" ht="15" customHeight="1">
      <c r="A12" s="406"/>
      <c r="B12" s="407"/>
      <c r="C12" s="407"/>
      <c r="D12" s="407"/>
      <c r="E12" s="407"/>
      <c r="F12" s="407"/>
      <c r="G12" s="407"/>
      <c r="H12" s="407"/>
      <c r="I12" s="407"/>
      <c r="J12" s="408"/>
      <c r="K12" s="289" t="s">
        <v>19</v>
      </c>
      <c r="L12" s="289"/>
    </row>
    <row r="13" spans="1:12" ht="15" customHeight="1">
      <c r="A13" s="409"/>
      <c r="B13" s="410"/>
      <c r="C13" s="410"/>
      <c r="D13" s="410"/>
      <c r="E13" s="410"/>
      <c r="F13" s="410"/>
      <c r="G13" s="410"/>
      <c r="H13" s="410"/>
      <c r="I13" s="410"/>
      <c r="J13" s="411"/>
      <c r="K13" s="290" t="s">
        <v>20</v>
      </c>
      <c r="L13" s="290"/>
    </row>
    <row r="14" spans="1:12" ht="15" customHeight="1">
      <c r="A14" s="291" t="s">
        <v>21</v>
      </c>
      <c r="B14" s="292"/>
      <c r="C14" s="400" t="str">
        <f>'WORKING SHEET'!B2</f>
        <v>SSI/1186</v>
      </c>
      <c r="D14" s="401"/>
      <c r="E14" s="401"/>
      <c r="F14" s="402"/>
      <c r="G14" s="296" t="s">
        <v>22</v>
      </c>
      <c r="H14" s="292"/>
      <c r="I14" s="412">
        <f>'WORKING SHEET'!B4</f>
        <v>45964</v>
      </c>
      <c r="J14" s="412"/>
      <c r="K14" s="412"/>
      <c r="L14" s="413"/>
    </row>
    <row r="15" spans="1:12" ht="15" customHeight="1">
      <c r="A15" s="299" t="s">
        <v>23</v>
      </c>
      <c r="B15" s="300"/>
      <c r="C15" s="301" t="s">
        <v>155</v>
      </c>
      <c r="D15" s="302"/>
      <c r="E15" s="302"/>
      <c r="F15" s="303"/>
      <c r="G15" s="304" t="s">
        <v>24</v>
      </c>
      <c r="H15" s="300"/>
      <c r="I15" s="305" t="s">
        <v>158</v>
      </c>
      <c r="J15" s="305"/>
      <c r="K15" s="305"/>
      <c r="L15" s="306"/>
    </row>
    <row r="16" spans="1:12" ht="15" customHeight="1">
      <c r="A16" s="299" t="s">
        <v>25</v>
      </c>
      <c r="B16" s="300"/>
      <c r="C16" s="301" t="str">
        <f>'WORKING SHEET'!B1</f>
        <v>01 Oct 2025 To 31 Oct 2025</v>
      </c>
      <c r="D16" s="302"/>
      <c r="E16" s="302"/>
      <c r="F16" s="303"/>
      <c r="G16" s="304" t="s">
        <v>26</v>
      </c>
      <c r="H16" s="300"/>
      <c r="I16" s="302">
        <v>101065975</v>
      </c>
      <c r="J16" s="302"/>
      <c r="K16" s="302"/>
      <c r="L16" s="303"/>
    </row>
    <row r="17" spans="1:13" ht="15" customHeight="1">
      <c r="A17" s="307" t="s">
        <v>27</v>
      </c>
      <c r="B17" s="308"/>
      <c r="C17" s="307" t="s">
        <v>160</v>
      </c>
      <c r="D17" s="309"/>
      <c r="E17" s="309"/>
      <c r="F17" s="308"/>
      <c r="G17" s="309" t="s">
        <v>28</v>
      </c>
      <c r="H17" s="308"/>
      <c r="I17" s="398" t="s">
        <v>156</v>
      </c>
      <c r="J17" s="398"/>
      <c r="K17" s="398"/>
      <c r="L17" s="399"/>
      <c r="M17" s="49"/>
    </row>
    <row r="18" spans="1:12" ht="4.5" customHeight="1">
      <c r="A18" s="82"/>
      <c r="B18" s="83"/>
      <c r="C18" s="83"/>
      <c r="D18" s="83"/>
      <c r="E18" s="83"/>
      <c r="F18" s="83"/>
      <c r="G18" s="83"/>
      <c r="H18" s="83"/>
      <c r="I18" s="83"/>
      <c r="J18" s="83"/>
      <c r="K18" s="83"/>
      <c r="L18" s="84"/>
    </row>
    <row r="19" spans="1:12" ht="15" customHeight="1">
      <c r="A19" s="312" t="s">
        <v>79</v>
      </c>
      <c r="B19" s="313"/>
      <c r="C19" s="313"/>
      <c r="D19" s="313"/>
      <c r="E19" s="313"/>
      <c r="F19" s="313"/>
      <c r="G19" s="314" t="s">
        <v>78</v>
      </c>
      <c r="H19" s="313"/>
      <c r="I19" s="313"/>
      <c r="J19" s="313"/>
      <c r="K19" s="313"/>
      <c r="L19" s="315"/>
    </row>
    <row r="20" spans="1:12" ht="15" customHeight="1">
      <c r="A20" s="291" t="s">
        <v>29</v>
      </c>
      <c r="B20" s="292"/>
      <c r="C20" s="316" t="s">
        <v>129</v>
      </c>
      <c r="D20" s="317"/>
      <c r="E20" s="317"/>
      <c r="F20" s="318"/>
      <c r="G20" s="291" t="s">
        <v>29</v>
      </c>
      <c r="H20" s="292"/>
      <c r="I20" s="316" t="s">
        <v>85</v>
      </c>
      <c r="J20" s="317"/>
      <c r="K20" s="317"/>
      <c r="L20" s="318"/>
    </row>
    <row r="21" spans="1:12" ht="15" customHeight="1">
      <c r="A21" s="299" t="s">
        <v>31</v>
      </c>
      <c r="B21" s="300"/>
      <c r="C21" s="319" t="s">
        <v>188</v>
      </c>
      <c r="D21" s="320"/>
      <c r="E21" s="320"/>
      <c r="F21" s="321"/>
      <c r="G21" s="299" t="s">
        <v>31</v>
      </c>
      <c r="H21" s="300"/>
      <c r="I21" s="319" t="s">
        <v>63</v>
      </c>
      <c r="J21" s="320"/>
      <c r="K21" s="320"/>
      <c r="L21" s="321"/>
    </row>
    <row r="22" spans="1:12" ht="23.1" customHeight="1">
      <c r="A22" s="299"/>
      <c r="B22" s="300"/>
      <c r="C22" s="397" t="s">
        <v>191</v>
      </c>
      <c r="D22" s="320"/>
      <c r="E22" s="320"/>
      <c r="F22" s="321"/>
      <c r="G22" s="299"/>
      <c r="H22" s="300"/>
      <c r="I22" s="319" t="s">
        <v>64</v>
      </c>
      <c r="J22" s="320"/>
      <c r="K22" s="320"/>
      <c r="L22" s="321"/>
    </row>
    <row r="23" spans="1:12" ht="15" customHeight="1">
      <c r="A23" s="299"/>
      <c r="B23" s="300"/>
      <c r="C23" s="319" t="s">
        <v>190</v>
      </c>
      <c r="D23" s="320"/>
      <c r="E23" s="320"/>
      <c r="F23" s="321"/>
      <c r="G23" s="299"/>
      <c r="H23" s="300"/>
      <c r="I23" s="319" t="s">
        <v>65</v>
      </c>
      <c r="J23" s="320"/>
      <c r="K23" s="320"/>
      <c r="L23" s="321"/>
    </row>
    <row r="24" spans="1:12" ht="15" customHeight="1">
      <c r="A24" s="299" t="s">
        <v>32</v>
      </c>
      <c r="B24" s="300"/>
      <c r="C24" s="319" t="s">
        <v>189</v>
      </c>
      <c r="D24" s="320"/>
      <c r="E24" s="320"/>
      <c r="F24" s="321"/>
      <c r="G24" s="299" t="s">
        <v>33</v>
      </c>
      <c r="H24" s="300"/>
      <c r="I24" s="322" t="s">
        <v>62</v>
      </c>
      <c r="J24" s="323"/>
      <c r="K24" s="323"/>
      <c r="L24" s="324"/>
    </row>
    <row r="25" spans="1:12" ht="15" customHeight="1">
      <c r="A25" s="299" t="s">
        <v>33</v>
      </c>
      <c r="B25" s="300"/>
      <c r="C25" s="322" t="s">
        <v>157</v>
      </c>
      <c r="D25" s="323"/>
      <c r="E25" s="323"/>
      <c r="F25" s="324"/>
      <c r="G25" s="299" t="s">
        <v>23</v>
      </c>
      <c r="H25" s="300"/>
      <c r="I25" s="319" t="s">
        <v>45</v>
      </c>
      <c r="J25" s="320"/>
      <c r="K25" s="320"/>
      <c r="L25" s="321"/>
    </row>
    <row r="26" spans="1:12" ht="15" customHeight="1">
      <c r="A26" s="307" t="s">
        <v>34</v>
      </c>
      <c r="B26" s="308"/>
      <c r="C26" s="394" t="s">
        <v>158</v>
      </c>
      <c r="D26" s="395"/>
      <c r="E26" s="395"/>
      <c r="F26" s="396"/>
      <c r="G26" s="307" t="s">
        <v>34</v>
      </c>
      <c r="H26" s="308"/>
      <c r="I26" s="325" t="s">
        <v>70</v>
      </c>
      <c r="J26" s="326"/>
      <c r="K26" s="326"/>
      <c r="L26" s="327"/>
    </row>
    <row r="27" spans="1:12" ht="4.35" customHeight="1">
      <c r="A27" s="85"/>
      <c r="B27" s="86"/>
      <c r="C27" s="86"/>
      <c r="D27" s="86"/>
      <c r="E27" s="86"/>
      <c r="F27" s="86"/>
      <c r="G27" s="86"/>
      <c r="H27" s="86"/>
      <c r="I27" s="86"/>
      <c r="J27" s="86"/>
      <c r="K27" s="86"/>
      <c r="L27" s="87"/>
    </row>
    <row r="28" spans="1:12" ht="38.25" customHeight="1">
      <c r="A28" s="377" t="str">
        <f>"CONTRACT FOR O&amp;M OF FIRE AND SAFETY SYSTEM OF JLPL, MANSARAMPURA JURISDICTION AND JAIPUR HQ FOR TWO (02) YEARS 
INVOICE FOR THE MONTH OF "&amp;'WORKING SHEET'!B3</f>
        <v>CONTRACT FOR O&amp;M OF FIRE AND SAFETY SYSTEM OF JLPL, MANSARAMPURA JURISDICTION AND JAIPUR HQ FOR TWO (02) YEARS 
INVOICE FOR THE MONTH OF SEPTEMBER-2025</v>
      </c>
      <c r="B28" s="378"/>
      <c r="C28" s="378"/>
      <c r="D28" s="378"/>
      <c r="E28" s="378"/>
      <c r="F28" s="378"/>
      <c r="G28" s="378"/>
      <c r="H28" s="378"/>
      <c r="I28" s="378"/>
      <c r="J28" s="378"/>
      <c r="K28" s="378"/>
      <c r="L28" s="379"/>
    </row>
    <row r="29" spans="1:12" ht="30" customHeight="1">
      <c r="A29" s="88" t="s">
        <v>35</v>
      </c>
      <c r="B29" s="331" t="s">
        <v>36</v>
      </c>
      <c r="C29" s="332"/>
      <c r="D29" s="333"/>
      <c r="E29" s="88" t="s">
        <v>37</v>
      </c>
      <c r="F29" s="88" t="s">
        <v>38</v>
      </c>
      <c r="G29" s="88" t="s">
        <v>2</v>
      </c>
      <c r="H29" s="88" t="s">
        <v>105</v>
      </c>
      <c r="I29" s="88" t="s">
        <v>40</v>
      </c>
      <c r="J29" s="88" t="s">
        <v>41</v>
      </c>
      <c r="K29" s="88" t="s">
        <v>42</v>
      </c>
      <c r="L29" s="88" t="s">
        <v>43</v>
      </c>
    </row>
    <row r="30" spans="1:12" ht="23.25">
      <c r="A30" s="89"/>
      <c r="B30" s="334" t="s">
        <v>165</v>
      </c>
      <c r="C30" s="335"/>
      <c r="D30" s="336"/>
      <c r="E30" s="90"/>
      <c r="F30" s="90"/>
      <c r="G30" s="90"/>
      <c r="H30" s="90"/>
      <c r="I30" s="90"/>
      <c r="J30" s="90"/>
      <c r="K30" s="90"/>
      <c r="L30" s="90"/>
    </row>
    <row r="31" spans="1:12" ht="12.75">
      <c r="A31" s="91">
        <v>1</v>
      </c>
      <c r="B31" s="343" t="str">
        <f>AOC!C13</f>
        <v xml:space="preserve">Lump Sum Charges for providing Services Lump Sum Charges for providing Services of DCPO for O&amp;M OF FIRE AND SAFETY SYSTEM OF JLPL, MANSARAMPURA JURISDICTION </v>
      </c>
      <c r="C31" s="344"/>
      <c r="D31" s="345"/>
      <c r="E31" s="92"/>
      <c r="F31" s="93">
        <v>998311</v>
      </c>
      <c r="G31" s="93" t="str">
        <f>AOC!D13</f>
        <v>MON</v>
      </c>
      <c r="H31" s="94">
        <f>AOC!J13</f>
        <v>1</v>
      </c>
      <c r="I31" s="94">
        <f>AOC!F13</f>
        <v>115698.69</v>
      </c>
      <c r="J31" s="94">
        <f t="shared" si="0" ref="J31:J37">I31*H31</f>
        <v>115698.69</v>
      </c>
      <c r="K31" s="94">
        <v>0</v>
      </c>
      <c r="L31" s="95">
        <f t="shared" si="1" ref="L31:L37">(((J31-K31)))</f>
        <v>115698.69</v>
      </c>
    </row>
    <row r="32" spans="1:12" ht="12.75">
      <c r="A32" s="91">
        <f t="shared" si="2" ref="A32:A37">A31+1</f>
        <v>2</v>
      </c>
      <c r="B32" s="343" t="str">
        <f>AOC!C14</f>
        <v xml:space="preserve">Lump Sum Charges for providing Services Lump Sum Charges for providing Services of Fireman for O&amp;M OF FIRE AND SAFETY SYSTEM OF JLPL, MANSARAMPURA JURISDICTION </v>
      </c>
      <c r="C32" s="344"/>
      <c r="D32" s="345"/>
      <c r="E32" s="92"/>
      <c r="F32" s="93">
        <v>998311</v>
      </c>
      <c r="G32" s="93" t="str">
        <f>AOC!D14</f>
        <v>MON</v>
      </c>
      <c r="H32" s="94">
        <f>AOC!J14</f>
        <v>1</v>
      </c>
      <c r="I32" s="94">
        <f>AOC!F14</f>
        <v>185547.07000000001</v>
      </c>
      <c r="J32" s="94">
        <f t="shared" si="0"/>
        <v>185547.07000000001</v>
      </c>
      <c r="K32" s="94">
        <v>0</v>
      </c>
      <c r="L32" s="95">
        <f t="shared" si="1"/>
        <v>185547.07000000001</v>
      </c>
    </row>
    <row r="33" spans="1:12" ht="12.75">
      <c r="A33" s="91">
        <f t="shared" si="2"/>
        <v>3</v>
      </c>
      <c r="B33" s="343" t="str">
        <f>AOC!C15</f>
        <v>Lump Sum Charges for providing Services Lump Sum Charges for providing Services of Fireman for O&amp;M OF FIRE AND SAFETY SYSTEM at JLPL HQ</v>
      </c>
      <c r="C33" s="344"/>
      <c r="D33" s="345"/>
      <c r="E33" s="92"/>
      <c r="F33" s="93">
        <v>998311</v>
      </c>
      <c r="G33" s="93" t="str">
        <f>AOC!D15</f>
        <v>MON</v>
      </c>
      <c r="H33" s="94">
        <f>AOC!J15</f>
        <v>1</v>
      </c>
      <c r="I33" s="94">
        <f>AOC!F15</f>
        <v>106026.89999999999</v>
      </c>
      <c r="J33" s="94">
        <f t="shared" si="0"/>
        <v>106026.89999999999</v>
      </c>
      <c r="K33" s="94">
        <v>0</v>
      </c>
      <c r="L33" s="95">
        <f t="shared" si="1"/>
        <v>106026.89999999999</v>
      </c>
    </row>
    <row r="34" spans="1:12" ht="12.75" customHeight="1">
      <c r="A34" s="91">
        <f t="shared" si="2"/>
        <v>4</v>
      </c>
      <c r="B34" s="343" t="str">
        <f>AOC!C16</f>
        <v>Lump Sum Charges for providing Services Lump Sum Charges for providing Services of Fireman for O&amp;M OF FIRE AND SAFETY SYSTEM at RT Sanganer</v>
      </c>
      <c r="C34" s="344"/>
      <c r="D34" s="345"/>
      <c r="E34" s="92"/>
      <c r="F34" s="93">
        <v>998311</v>
      </c>
      <c r="G34" s="93" t="str">
        <f>AOC!D16</f>
        <v>MON</v>
      </c>
      <c r="H34" s="94">
        <f>AOC!J16</f>
        <v>1</v>
      </c>
      <c r="I34" s="94">
        <f>AOC!F16</f>
        <v>106026.89999999999</v>
      </c>
      <c r="J34" s="94">
        <f t="shared" si="0"/>
        <v>106026.89999999999</v>
      </c>
      <c r="K34" s="94">
        <v>0</v>
      </c>
      <c r="L34" s="95">
        <f t="shared" si="1"/>
        <v>106026.89999999999</v>
      </c>
    </row>
    <row r="35" spans="1:12" ht="12.75" customHeight="1">
      <c r="A35" s="91">
        <f t="shared" si="2"/>
        <v>5</v>
      </c>
      <c r="B35" s="343" t="str">
        <f>AOC!C17</f>
        <v>Provision for Payment of Wage escalation</v>
      </c>
      <c r="C35" s="344"/>
      <c r="D35" s="345"/>
      <c r="E35" s="92"/>
      <c r="F35" s="93">
        <v>998311</v>
      </c>
      <c r="G35" s="93" t="str">
        <f>AOC!D17</f>
        <v>LS</v>
      </c>
      <c r="H35" s="94">
        <f>AOC!J17</f>
        <v>43805.580000000002</v>
      </c>
      <c r="I35" s="94">
        <f>AOC!F17</f>
        <v>1</v>
      </c>
      <c r="J35" s="94">
        <f t="shared" si="0"/>
        <v>43805.580000000002</v>
      </c>
      <c r="K35" s="94">
        <v>0</v>
      </c>
      <c r="L35" s="95">
        <f t="shared" si="1"/>
        <v>43805.580000000002</v>
      </c>
    </row>
    <row r="36" spans="1:12" ht="12.75" customHeight="1">
      <c r="A36" s="91">
        <f t="shared" si="2"/>
        <v>6</v>
      </c>
      <c r="B36" s="343" t="str">
        <f>AOC!C23</f>
        <v>Provision for premium for Group Personal Accident Insurance Policy with a coverage of 5 Lakhs</v>
      </c>
      <c r="C36" s="344"/>
      <c r="D36" s="345"/>
      <c r="E36" s="92"/>
      <c r="F36" s="93">
        <v>998311</v>
      </c>
      <c r="G36" s="93" t="str">
        <f>AOC!D23</f>
        <v>LS</v>
      </c>
      <c r="H36" s="94">
        <f>AOC!J23</f>
        <v>0</v>
      </c>
      <c r="I36" s="94">
        <f>AOC!F23</f>
        <v>1</v>
      </c>
      <c r="J36" s="94">
        <f t="shared" si="0"/>
        <v>0</v>
      </c>
      <c r="K36" s="94">
        <v>0</v>
      </c>
      <c r="L36" s="95">
        <f t="shared" si="1"/>
        <v>0</v>
      </c>
    </row>
    <row r="37" spans="1:12" ht="12.75" customHeight="1">
      <c r="A37" s="91">
        <f t="shared" si="2"/>
        <v>7</v>
      </c>
      <c r="B37" s="343" t="str">
        <f>AOC!C24</f>
        <v>Provision for Employees Compensation Policy covering Compensation Liability and Floater Medical Policy (of Rs. 3 Lakhs covering along Self, Spouse &amp; 2 dependent children)</v>
      </c>
      <c r="C37" s="344"/>
      <c r="D37" s="345"/>
      <c r="E37" s="92"/>
      <c r="F37" s="93">
        <v>998311</v>
      </c>
      <c r="G37" s="93" t="str">
        <f>AOC!D24</f>
        <v>LS</v>
      </c>
      <c r="H37" s="94">
        <f>AOC!J24</f>
        <v>0</v>
      </c>
      <c r="I37" s="94">
        <f>AOC!F24</f>
        <v>1</v>
      </c>
      <c r="J37" s="94">
        <f t="shared" si="0"/>
        <v>0</v>
      </c>
      <c r="K37" s="94">
        <v>0</v>
      </c>
      <c r="L37" s="95">
        <f t="shared" si="1"/>
        <v>0</v>
      </c>
    </row>
    <row r="38" spans="1:12" ht="12.75" customHeight="1">
      <c r="A38" s="91"/>
      <c r="B38" s="343"/>
      <c r="C38" s="344"/>
      <c r="D38" s="345"/>
      <c r="E38" s="92"/>
      <c r="F38" s="93"/>
      <c r="G38" s="93"/>
      <c r="H38" s="94"/>
      <c r="I38" s="94"/>
      <c r="J38" s="94"/>
      <c r="K38" s="94"/>
      <c r="L38" s="95"/>
    </row>
    <row r="39" spans="1:12" ht="12.75" customHeight="1">
      <c r="A39" s="91"/>
      <c r="B39" s="343"/>
      <c r="C39" s="344"/>
      <c r="D39" s="345"/>
      <c r="E39" s="92"/>
      <c r="F39" s="93"/>
      <c r="G39" s="93"/>
      <c r="H39" s="94"/>
      <c r="I39" s="94"/>
      <c r="J39" s="94"/>
      <c r="K39" s="94"/>
      <c r="L39" s="95"/>
    </row>
    <row r="40" spans="1:12" ht="12.75" customHeight="1">
      <c r="A40" s="91"/>
      <c r="B40" s="343"/>
      <c r="C40" s="344"/>
      <c r="D40" s="345"/>
      <c r="E40" s="92"/>
      <c r="F40" s="93"/>
      <c r="G40" s="93"/>
      <c r="H40" s="94"/>
      <c r="I40" s="94"/>
      <c r="J40" s="94"/>
      <c r="K40" s="94"/>
      <c r="L40" s="95"/>
    </row>
    <row r="41" spans="1:12" ht="12.75" customHeight="1">
      <c r="A41" s="91"/>
      <c r="B41" s="343"/>
      <c r="C41" s="344"/>
      <c r="D41" s="345"/>
      <c r="E41" s="92"/>
      <c r="F41" s="93"/>
      <c r="G41" s="93"/>
      <c r="H41" s="94"/>
      <c r="I41" s="94"/>
      <c r="J41" s="94"/>
      <c r="K41" s="94"/>
      <c r="L41" s="95"/>
    </row>
    <row r="42" spans="1:12" ht="12.75" customHeight="1">
      <c r="A42" s="91"/>
      <c r="B42" s="343"/>
      <c r="C42" s="344"/>
      <c r="D42" s="345"/>
      <c r="E42" s="92"/>
      <c r="F42" s="93"/>
      <c r="G42" s="93"/>
      <c r="H42" s="94"/>
      <c r="I42" s="94"/>
      <c r="J42" s="94"/>
      <c r="K42" s="94"/>
      <c r="L42" s="95"/>
    </row>
    <row r="43" spans="1:12" ht="12.75" customHeight="1">
      <c r="A43" s="91"/>
      <c r="B43" s="343"/>
      <c r="C43" s="344"/>
      <c r="D43" s="345"/>
      <c r="E43" s="92"/>
      <c r="F43" s="93"/>
      <c r="G43" s="93"/>
      <c r="H43" s="94"/>
      <c r="I43" s="94"/>
      <c r="J43" s="94"/>
      <c r="K43" s="94"/>
      <c r="L43" s="95"/>
    </row>
    <row r="44" spans="1:12" ht="12.75" customHeight="1">
      <c r="A44" s="91"/>
      <c r="B44" s="156"/>
      <c r="C44" s="157"/>
      <c r="D44" s="158"/>
      <c r="E44" s="92"/>
      <c r="F44" s="93"/>
      <c r="G44" s="93"/>
      <c r="H44" s="94"/>
      <c r="I44" s="94"/>
      <c r="J44" s="94"/>
      <c r="K44" s="94"/>
      <c r="L44" s="95"/>
    </row>
    <row r="45" spans="1:12" ht="30" customHeight="1">
      <c r="A45" s="88"/>
      <c r="B45" s="346" t="s">
        <v>44</v>
      </c>
      <c r="C45" s="347"/>
      <c r="D45" s="348"/>
      <c r="E45" s="88"/>
      <c r="F45" s="88"/>
      <c r="G45" s="88"/>
      <c r="H45" s="88"/>
      <c r="I45" s="88"/>
      <c r="J45" s="88"/>
      <c r="K45" s="88"/>
      <c r="L45" s="96">
        <f>SUM(L31:L42)</f>
        <v>557105.14000000001</v>
      </c>
    </row>
    <row r="46" spans="1:12" ht="4.35" customHeight="1">
      <c r="A46" s="349"/>
      <c r="B46" s="350"/>
      <c r="C46" s="350"/>
      <c r="D46" s="350"/>
      <c r="E46" s="350"/>
      <c r="F46" s="350"/>
      <c r="G46" s="350"/>
      <c r="H46" s="350"/>
      <c r="I46" s="350"/>
      <c r="J46" s="350"/>
      <c r="K46" s="350"/>
      <c r="L46" s="351"/>
    </row>
    <row r="47" spans="1:12" ht="30" customHeight="1">
      <c r="A47" s="104" t="s">
        <v>73</v>
      </c>
      <c r="B47" s="105"/>
      <c r="C47" s="105"/>
      <c r="D47" s="105"/>
      <c r="E47" s="105"/>
      <c r="F47" s="106"/>
      <c r="G47" s="380" t="s">
        <v>68</v>
      </c>
      <c r="H47" s="380"/>
      <c r="I47" s="380"/>
      <c r="J47" s="381">
        <f>L45</f>
        <v>557105.14000000001</v>
      </c>
      <c r="K47" s="381"/>
      <c r="L47" s="381"/>
    </row>
    <row r="48" spans="1:12" ht="30" customHeight="1">
      <c r="A48" s="107" t="s">
        <v>66</v>
      </c>
      <c r="B48" s="108"/>
      <c r="C48" s="108"/>
      <c r="D48" s="108"/>
      <c r="E48" s="108"/>
      <c r="F48" s="108"/>
      <c r="G48" s="380" t="s">
        <v>147</v>
      </c>
      <c r="H48" s="380"/>
      <c r="I48" s="380"/>
      <c r="J48" s="381">
        <f>J47*18%</f>
        <v>100278.9252</v>
      </c>
      <c r="K48" s="381"/>
      <c r="L48" s="381"/>
    </row>
    <row r="49" spans="1:12" ht="30" customHeight="1">
      <c r="A49" s="107" t="s">
        <v>74</v>
      </c>
      <c r="B49" s="108"/>
      <c r="C49" s="108"/>
      <c r="D49" s="108"/>
      <c r="E49" s="108"/>
      <c r="F49" s="108"/>
      <c r="G49" s="388" t="s">
        <v>182</v>
      </c>
      <c r="H49" s="389"/>
      <c r="I49" s="390"/>
      <c r="J49" s="391">
        <v>0</v>
      </c>
      <c r="K49" s="392"/>
      <c r="L49" s="393"/>
    </row>
    <row r="50" spans="1:12" ht="30" customHeight="1">
      <c r="A50" s="382" t="s">
        <v>75</v>
      </c>
      <c r="B50" s="383"/>
      <c r="C50" s="383"/>
      <c r="D50" s="383"/>
      <c r="E50" s="109"/>
      <c r="F50" s="109"/>
      <c r="G50" s="380" t="s">
        <v>132</v>
      </c>
      <c r="H50" s="380"/>
      <c r="I50" s="380"/>
      <c r="J50" s="384">
        <f>ROUND(J47+J48,2)</f>
        <v>657384.06999999995</v>
      </c>
      <c r="K50" s="384"/>
      <c r="L50" s="384"/>
    </row>
    <row r="51" spans="1:12" ht="3" customHeight="1">
      <c r="A51" s="97"/>
      <c r="B51" s="98"/>
      <c r="C51" s="98"/>
      <c r="D51" s="98"/>
      <c r="E51" s="98"/>
      <c r="F51" s="99"/>
      <c r="G51" s="124"/>
      <c r="H51" s="124"/>
      <c r="I51" s="124"/>
      <c r="J51" s="124"/>
      <c r="K51" s="124"/>
      <c r="L51" s="125"/>
    </row>
    <row r="52" spans="1:12" ht="30" customHeight="1">
      <c r="A52" s="385" t="str">
        <f>[2]!SpellNumber(J50)</f>
        <v xml:space="preserve">Rupees Six Lakh FiftySeven Thousand Three Hundred EightyFour Paise Seven Only </v>
      </c>
      <c r="B52" s="386"/>
      <c r="C52" s="386"/>
      <c r="D52" s="386"/>
      <c r="E52" s="386"/>
      <c r="F52" s="386"/>
      <c r="G52" s="386"/>
      <c r="H52" s="386"/>
      <c r="I52" s="386"/>
      <c r="J52" s="386"/>
      <c r="K52" s="386"/>
      <c r="L52" s="387"/>
    </row>
    <row r="53" spans="1:12" ht="20.1" customHeight="1">
      <c r="A53" s="126" t="s">
        <v>76</v>
      </c>
      <c r="B53" s="127"/>
      <c r="C53" s="127"/>
      <c r="D53" s="127"/>
      <c r="E53" s="127"/>
      <c r="F53" s="127"/>
      <c r="G53" s="365" t="s">
        <v>77</v>
      </c>
      <c r="H53" s="365"/>
      <c r="I53" s="365"/>
      <c r="J53" s="365"/>
      <c r="K53" s="365"/>
      <c r="L53" s="366"/>
    </row>
    <row r="54" spans="1:12" ht="20.1" customHeight="1">
      <c r="A54" s="100"/>
      <c r="B54" s="101"/>
      <c r="C54" s="101"/>
      <c r="D54" s="101"/>
      <c r="E54" s="101"/>
      <c r="F54" s="101"/>
      <c r="G54" s="102"/>
      <c r="H54" s="102"/>
      <c r="I54" s="102"/>
      <c r="J54" s="102"/>
      <c r="K54" s="102"/>
      <c r="L54" s="103"/>
    </row>
    <row r="55" spans="1:12" ht="20.1" customHeight="1">
      <c r="A55" s="100"/>
      <c r="B55" s="101"/>
      <c r="C55" s="101"/>
      <c r="D55" s="101"/>
      <c r="E55" s="101"/>
      <c r="F55" s="101"/>
      <c r="G55" s="102"/>
      <c r="H55" s="102"/>
      <c r="I55" s="102"/>
      <c r="J55" s="102"/>
      <c r="K55" s="102"/>
      <c r="L55" s="103"/>
    </row>
    <row r="56" spans="1:12" ht="20.1" customHeight="1">
      <c r="A56" s="100"/>
      <c r="B56" s="101"/>
      <c r="C56" s="101"/>
      <c r="D56" s="101"/>
      <c r="E56" s="101"/>
      <c r="F56" s="101"/>
      <c r="G56" s="102"/>
      <c r="H56" s="102"/>
      <c r="I56" s="102"/>
      <c r="J56" s="102"/>
      <c r="K56" s="102"/>
      <c r="L56" s="103"/>
    </row>
    <row r="57" spans="1:12" ht="20.1" customHeight="1">
      <c r="A57" s="100"/>
      <c r="B57" s="101"/>
      <c r="C57" s="101"/>
      <c r="D57" s="101"/>
      <c r="E57" s="101"/>
      <c r="F57" s="101"/>
      <c r="G57" s="102"/>
      <c r="H57" s="102"/>
      <c r="I57" s="102"/>
      <c r="J57" s="102"/>
      <c r="K57" s="102"/>
      <c r="L57" s="103"/>
    </row>
    <row r="58" spans="1:12" ht="20.1" customHeight="1">
      <c r="A58" s="100"/>
      <c r="B58" s="101"/>
      <c r="C58" s="101"/>
      <c r="D58" s="101"/>
      <c r="E58" s="101"/>
      <c r="F58" s="101"/>
      <c r="G58" s="365" t="s">
        <v>69</v>
      </c>
      <c r="H58" s="365"/>
      <c r="I58" s="365"/>
      <c r="J58" s="365"/>
      <c r="K58" s="365"/>
      <c r="L58" s="366"/>
    </row>
    <row r="59" spans="1:12" ht="20.1" customHeight="1">
      <c r="A59" s="100"/>
      <c r="B59" s="101"/>
      <c r="C59" s="101"/>
      <c r="D59" s="101"/>
      <c r="E59" s="101"/>
      <c r="F59" s="101"/>
      <c r="G59" s="120"/>
      <c r="H59" s="120"/>
      <c r="I59" s="120"/>
      <c r="J59" s="120"/>
      <c r="K59" s="120"/>
      <c r="L59" s="121"/>
    </row>
    <row r="60" spans="1:12" ht="18" customHeight="1">
      <c r="A60" s="128"/>
      <c r="B60" s="129"/>
      <c r="C60" s="129"/>
      <c r="D60" s="129"/>
      <c r="E60" s="129"/>
      <c r="F60" s="129"/>
      <c r="G60" s="129"/>
      <c r="H60" s="129"/>
      <c r="I60" s="129"/>
      <c r="J60" s="129"/>
      <c r="K60" s="129"/>
      <c r="L60" s="130"/>
    </row>
    <row r="61" spans="1:12" ht="18" customHeight="1">
      <c r="A61" s="119"/>
      <c r="B61" s="120"/>
      <c r="C61" s="120"/>
      <c r="D61" s="120"/>
      <c r="E61" s="120"/>
      <c r="F61" s="120"/>
      <c r="G61" s="120"/>
      <c r="H61" s="120"/>
      <c r="I61" s="120"/>
      <c r="J61" s="120"/>
      <c r="K61" s="120"/>
      <c r="L61" s="121"/>
    </row>
    <row r="62" spans="1:12" ht="18" customHeight="1">
      <c r="A62" s="119"/>
      <c r="B62" s="120"/>
      <c r="C62" s="120"/>
      <c r="D62" s="120"/>
      <c r="E62" s="120"/>
      <c r="F62" s="120"/>
      <c r="G62" s="120"/>
      <c r="H62" s="120"/>
      <c r="I62" s="120"/>
      <c r="J62" s="120"/>
      <c r="K62" s="120"/>
      <c r="L62" s="121"/>
    </row>
    <row r="63" spans="1:12" ht="18" customHeight="1">
      <c r="A63" s="122"/>
      <c r="B63" s="123"/>
      <c r="C63" s="123"/>
      <c r="D63" s="123"/>
      <c r="E63" s="123"/>
      <c r="F63" s="123"/>
      <c r="G63" s="131"/>
      <c r="H63" s="131"/>
      <c r="I63" s="131"/>
      <c r="J63" s="132"/>
      <c r="K63" s="132"/>
      <c r="L63" s="133"/>
    </row>
    <row r="64" spans="1:6" ht="18" customHeight="1">
      <c r="A64" s="375"/>
      <c r="B64" s="375"/>
      <c r="C64" s="375"/>
      <c r="D64" s="375"/>
      <c r="E64" s="375"/>
      <c r="F64" s="375"/>
    </row>
  </sheetData>
  <sheetProtection/>
  <mergeCells count="81">
    <mergeCell ref="A11:J13"/>
    <mergeCell ref="K11:L11"/>
    <mergeCell ref="K12:L12"/>
    <mergeCell ref="K13:L13"/>
    <mergeCell ref="A14:B14"/>
    <mergeCell ref="I14:L14"/>
    <mergeCell ref="A15:B15"/>
    <mergeCell ref="I15:L15"/>
    <mergeCell ref="G14:H14"/>
    <mergeCell ref="G15:H15"/>
    <mergeCell ref="C14:F14"/>
    <mergeCell ref="C15:F15"/>
    <mergeCell ref="A16:B16"/>
    <mergeCell ref="I16:L16"/>
    <mergeCell ref="A17:B17"/>
    <mergeCell ref="I17:L17"/>
    <mergeCell ref="G16:H16"/>
    <mergeCell ref="G17:H17"/>
    <mergeCell ref="C16:F16"/>
    <mergeCell ref="C17:F17"/>
    <mergeCell ref="A19:F19"/>
    <mergeCell ref="G19:L19"/>
    <mergeCell ref="A20:B20"/>
    <mergeCell ref="C20:F20"/>
    <mergeCell ref="G20:H20"/>
    <mergeCell ref="I20:L20"/>
    <mergeCell ref="A21:B21"/>
    <mergeCell ref="G21:H21"/>
    <mergeCell ref="I21:L21"/>
    <mergeCell ref="A22:B22"/>
    <mergeCell ref="G22:H22"/>
    <mergeCell ref="I22:L22"/>
    <mergeCell ref="C21:F21"/>
    <mergeCell ref="C22:F22"/>
    <mergeCell ref="A23:B23"/>
    <mergeCell ref="G23:H23"/>
    <mergeCell ref="I23:L23"/>
    <mergeCell ref="A24:B24"/>
    <mergeCell ref="G24:H24"/>
    <mergeCell ref="I24:L24"/>
    <mergeCell ref="C23:F23"/>
    <mergeCell ref="C24:F24"/>
    <mergeCell ref="A25:B25"/>
    <mergeCell ref="G25:H25"/>
    <mergeCell ref="I25:L25"/>
    <mergeCell ref="A26:B26"/>
    <mergeCell ref="G26:H26"/>
    <mergeCell ref="I26:L26"/>
    <mergeCell ref="C25:F25"/>
    <mergeCell ref="C26:F26"/>
    <mergeCell ref="B45:D45"/>
    <mergeCell ref="A46:L46"/>
    <mergeCell ref="G47:I47"/>
    <mergeCell ref="J47:L47"/>
    <mergeCell ref="G53:L53"/>
    <mergeCell ref="G49:I49"/>
    <mergeCell ref="J49:L49"/>
    <mergeCell ref="B34:D34"/>
    <mergeCell ref="G58:L58"/>
    <mergeCell ref="A64:F64"/>
    <mergeCell ref="G48:I48"/>
    <mergeCell ref="J48:L48"/>
    <mergeCell ref="A50:D50"/>
    <mergeCell ref="G50:I50"/>
    <mergeCell ref="J50:L50"/>
    <mergeCell ref="A52:L52"/>
    <mergeCell ref="B36:D36"/>
    <mergeCell ref="A28:L28"/>
    <mergeCell ref="B29:D29"/>
    <mergeCell ref="B30:D30"/>
    <mergeCell ref="B31:D31"/>
    <mergeCell ref="B32:D32"/>
    <mergeCell ref="B33:D33"/>
    <mergeCell ref="B39:D39"/>
    <mergeCell ref="B40:D40"/>
    <mergeCell ref="B41:D41"/>
    <mergeCell ref="B42:D42"/>
    <mergeCell ref="B43:D43"/>
    <mergeCell ref="B35:D35"/>
    <mergeCell ref="B37:D37"/>
    <mergeCell ref="B38:D38"/>
  </mergeCells>
  <printOptions horizontalCentered="1"/>
  <pageMargins left="0.25" right="0.25" top="0.75" bottom="0.75" header="0.3" footer="0.3"/>
  <pageSetup orientation="portrait" paperSize="9" scale="66" r:id="rId2"/>
  <ignoredErrors>
    <ignoredError sqref="I26" numberStoredAsText="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13E07B55-9E53-441B-BED7-2DFF2F23B9AB}">
  <sheetPr codeName="Sheet3">
    <pageSetUpPr fitToPage="1"/>
  </sheetPr>
  <dimension ref="A1:N47"/>
  <sheetViews>
    <sheetView zoomScale="106" zoomScaleNormal="106" workbookViewId="0" topLeftCell="A20">
      <selection pane="topLeft" activeCell="A28" sqref="A28:K28"/>
    </sheetView>
  </sheetViews>
  <sheetFormatPr defaultRowHeight="14.25"/>
  <cols>
    <col min="1" max="1" width="8.85714285714286" style="35" customWidth="1"/>
    <col min="2" max="5" width="11.8571428571429" style="35" customWidth="1"/>
    <col min="6" max="11" width="12.8571428571429" style="35" customWidth="1"/>
    <col min="13" max="13" width="11.1428571428571" bestFit="1" customWidth="1"/>
    <col min="14" max="14" width="11.7142857142857" bestFit="1" customWidth="1"/>
  </cols>
  <sheetData>
    <row r="1" spans="1:11" ht="20.1" customHeight="1">
      <c r="A1" s="40"/>
      <c r="B1" s="41"/>
      <c r="C1" s="41"/>
      <c r="D1" s="41"/>
      <c r="E1" s="41"/>
      <c r="F1" s="41"/>
      <c r="G1" s="41"/>
      <c r="H1" s="41"/>
      <c r="I1" s="41"/>
      <c r="J1" s="41"/>
      <c r="K1" s="42"/>
    </row>
    <row r="2" spans="1:11" ht="20.1" customHeight="1">
      <c r="A2" s="43"/>
      <c r="B2" s="44"/>
      <c r="C2" s="44"/>
      <c r="D2" s="44"/>
      <c r="E2" s="44"/>
      <c r="F2" s="44"/>
      <c r="G2" s="44"/>
      <c r="H2" s="44"/>
      <c r="I2" s="44"/>
      <c r="J2" s="44"/>
      <c r="K2" s="45"/>
    </row>
    <row r="3" spans="1:11" ht="20.1" customHeight="1">
      <c r="A3" s="43"/>
      <c r="B3" s="44"/>
      <c r="C3" s="44"/>
      <c r="D3" s="44"/>
      <c r="E3" s="44"/>
      <c r="F3" s="44"/>
      <c r="G3" s="44"/>
      <c r="H3" s="44"/>
      <c r="I3" s="44"/>
      <c r="J3" s="44"/>
      <c r="K3" s="45"/>
    </row>
    <row r="4" spans="1:11" ht="20.1" customHeight="1">
      <c r="A4" s="43"/>
      <c r="B4" s="44"/>
      <c r="C4" s="44"/>
      <c r="D4" s="44"/>
      <c r="E4" s="44"/>
      <c r="F4" s="44"/>
      <c r="G4" s="44"/>
      <c r="H4" s="44"/>
      <c r="I4" s="44"/>
      <c r="J4" s="44"/>
      <c r="K4" s="45"/>
    </row>
    <row r="5" spans="1:11" ht="20.1" customHeight="1">
      <c r="A5" s="43"/>
      <c r="B5" s="44"/>
      <c r="C5" s="44"/>
      <c r="D5" s="44"/>
      <c r="E5" s="44"/>
      <c r="F5" s="44"/>
      <c r="G5" s="44"/>
      <c r="H5" s="44"/>
      <c r="I5" s="44"/>
      <c r="J5" s="44"/>
      <c r="K5" s="45"/>
    </row>
    <row r="6" spans="1:11" ht="20.1" customHeight="1">
      <c r="A6" s="43"/>
      <c r="B6" s="44"/>
      <c r="C6" s="44"/>
      <c r="D6" s="44"/>
      <c r="E6" s="44"/>
      <c r="F6" s="44"/>
      <c r="G6" s="44"/>
      <c r="H6" s="44"/>
      <c r="I6" s="44"/>
      <c r="J6" s="44"/>
      <c r="K6" s="45"/>
    </row>
    <row r="7" spans="1:11" ht="20.1" customHeight="1">
      <c r="A7" s="43"/>
      <c r="B7" s="44"/>
      <c r="C7" s="44"/>
      <c r="D7" s="44"/>
      <c r="E7" s="44"/>
      <c r="F7" s="44"/>
      <c r="G7" s="44"/>
      <c r="H7" s="44"/>
      <c r="I7" s="44"/>
      <c r="J7" s="44"/>
      <c r="K7" s="45"/>
    </row>
    <row r="8" spans="1:11" ht="20.1" customHeight="1">
      <c r="A8" s="46"/>
      <c r="B8" s="47"/>
      <c r="C8" s="47"/>
      <c r="D8" s="47"/>
      <c r="E8" s="47"/>
      <c r="F8" s="47"/>
      <c r="G8" s="47"/>
      <c r="H8" s="47"/>
      <c r="I8" s="47"/>
      <c r="J8" s="47"/>
      <c r="K8" s="48"/>
    </row>
    <row r="9" spans="1:11" ht="24.95" customHeight="1">
      <c r="A9" s="454" t="s">
        <v>86</v>
      </c>
      <c r="B9" s="454"/>
      <c r="C9" s="454"/>
      <c r="D9" s="454"/>
      <c r="E9" s="454"/>
      <c r="F9" s="454"/>
      <c r="G9" s="454"/>
      <c r="H9" s="454"/>
      <c r="I9" s="454"/>
      <c r="J9" s="454"/>
      <c r="K9" s="454"/>
    </row>
    <row r="10" spans="1:11" ht="24.95" customHeight="1">
      <c r="A10" s="454" t="str">
        <f>'WORKING SHEET'!C5</f>
        <v>RA BILL NO-18</v>
      </c>
      <c r="B10" s="454"/>
      <c r="C10" s="454"/>
      <c r="D10" s="454"/>
      <c r="E10" s="454"/>
      <c r="F10" s="454"/>
      <c r="G10" s="454"/>
      <c r="H10" s="454"/>
      <c r="I10" s="454"/>
      <c r="J10" s="454"/>
      <c r="K10" s="454"/>
    </row>
    <row r="11" spans="1:11" ht="24.95" customHeight="1">
      <c r="A11" s="449" t="s">
        <v>47</v>
      </c>
      <c r="B11" s="449"/>
      <c r="C11" s="449"/>
      <c r="D11" s="449"/>
      <c r="E11" s="449"/>
      <c r="F11" s="456" t="s">
        <v>85</v>
      </c>
      <c r="G11" s="457"/>
      <c r="H11" s="457"/>
      <c r="I11" s="457"/>
      <c r="J11" s="457"/>
      <c r="K11" s="458"/>
    </row>
    <row r="12" spans="1:11" s="34" customFormat="1" ht="37.5" customHeight="1">
      <c r="A12" s="449" t="s">
        <v>48</v>
      </c>
      <c r="B12" s="449"/>
      <c r="C12" s="449"/>
      <c r="D12" s="449"/>
      <c r="E12" s="449"/>
      <c r="F12" s="455" t="s">
        <v>173</v>
      </c>
      <c r="G12" s="455"/>
      <c r="H12" s="455"/>
      <c r="I12" s="455"/>
      <c r="J12" s="455"/>
      <c r="K12" s="455"/>
    </row>
    <row r="13" spans="1:11" s="34" customFormat="1" ht="30" customHeight="1">
      <c r="A13" s="449" t="s">
        <v>49</v>
      </c>
      <c r="B13" s="449"/>
      <c r="C13" s="449"/>
      <c r="D13" s="449"/>
      <c r="E13" s="449"/>
      <c r="F13" s="449" t="s">
        <v>153</v>
      </c>
      <c r="G13" s="449"/>
      <c r="H13" s="449"/>
      <c r="I13" s="449"/>
      <c r="J13" s="449"/>
      <c r="K13" s="449"/>
    </row>
    <row r="14" spans="1:11" s="34" customFormat="1" ht="30" customHeight="1">
      <c r="A14" s="449" t="s">
        <v>50</v>
      </c>
      <c r="B14" s="449"/>
      <c r="C14" s="449"/>
      <c r="D14" s="449"/>
      <c r="E14" s="449"/>
      <c r="F14" s="466" t="s">
        <v>72</v>
      </c>
      <c r="G14" s="466"/>
      <c r="H14" s="466"/>
      <c r="I14" s="466"/>
      <c r="J14" s="466"/>
      <c r="K14" s="466"/>
    </row>
    <row r="15" spans="1:13" s="34" customFormat="1" ht="30" customHeight="1">
      <c r="A15" s="449" t="s">
        <v>51</v>
      </c>
      <c r="B15" s="449"/>
      <c r="C15" s="449"/>
      <c r="D15" s="449"/>
      <c r="E15" s="449"/>
      <c r="F15" s="466" t="s">
        <v>154</v>
      </c>
      <c r="G15" s="466"/>
      <c r="H15" s="466"/>
      <c r="I15" s="466"/>
      <c r="J15" s="466"/>
      <c r="K15" s="466"/>
      <c r="M15" s="111"/>
    </row>
    <row r="16" spans="1:11" s="34" customFormat="1" ht="30" customHeight="1">
      <c r="A16" s="449" t="s">
        <v>52</v>
      </c>
      <c r="B16" s="449"/>
      <c r="C16" s="449"/>
      <c r="D16" s="449"/>
      <c r="E16" s="449"/>
      <c r="F16" s="450" t="s">
        <v>159</v>
      </c>
      <c r="G16" s="450"/>
      <c r="H16" s="450"/>
      <c r="I16" s="450"/>
      <c r="J16" s="450"/>
      <c r="K16" s="450"/>
    </row>
    <row r="17" spans="1:11" s="34" customFormat="1" ht="30" customHeight="1">
      <c r="A17" s="380" t="s">
        <v>53</v>
      </c>
      <c r="B17" s="380"/>
      <c r="C17" s="380"/>
      <c r="D17" s="380"/>
      <c r="E17" s="380"/>
      <c r="F17" s="449" t="str">
        <f>'WORKING SHEET'!C5</f>
        <v>RA BILL NO-18</v>
      </c>
      <c r="G17" s="449"/>
      <c r="H17" s="449"/>
      <c r="I17" s="449"/>
      <c r="J17" s="449"/>
      <c r="K17" s="449"/>
    </row>
    <row r="18" spans="1:11" s="34" customFormat="1" ht="30" customHeight="1">
      <c r="A18" s="449" t="s">
        <v>54</v>
      </c>
      <c r="B18" s="449"/>
      <c r="C18" s="449"/>
      <c r="D18" s="449"/>
      <c r="E18" s="449"/>
      <c r="F18" s="451" t="str">
        <f>'WORKING SHEET'!B1&amp;" BILL FOR THE MONTH OF "&amp;'WORKING SHEET'!B3</f>
        <v>01 Oct 2025 To 31 Oct 2025 BILL FOR THE MONTH OF SEPTEMBER-2025</v>
      </c>
      <c r="G18" s="452"/>
      <c r="H18" s="452"/>
      <c r="I18" s="452"/>
      <c r="J18" s="452"/>
      <c r="K18" s="453"/>
    </row>
    <row r="19" spans="1:11" s="34" customFormat="1" ht="5.1" customHeight="1">
      <c r="A19" s="423"/>
      <c r="B19" s="424"/>
      <c r="C19" s="424"/>
      <c r="D19" s="424"/>
      <c r="E19" s="424"/>
      <c r="F19" s="424"/>
      <c r="G19" s="424"/>
      <c r="H19" s="424"/>
      <c r="I19" s="424"/>
      <c r="J19" s="424"/>
      <c r="K19" s="425"/>
    </row>
    <row r="20" spans="1:11" ht="24.95" customHeight="1">
      <c r="A20" s="71" t="s">
        <v>87</v>
      </c>
      <c r="B20" s="467" t="s">
        <v>84</v>
      </c>
      <c r="C20" s="468"/>
      <c r="D20" s="468"/>
      <c r="E20" s="469"/>
      <c r="F20" s="445" t="s">
        <v>55</v>
      </c>
      <c r="G20" s="446"/>
      <c r="H20" s="447" t="s">
        <v>56</v>
      </c>
      <c r="I20" s="448"/>
      <c r="J20" s="447" t="s">
        <v>57</v>
      </c>
      <c r="K20" s="448"/>
    </row>
    <row r="21" spans="1:14" ht="24.95" customHeight="1">
      <c r="A21" s="72">
        <v>1</v>
      </c>
      <c r="B21" s="443" t="s">
        <v>121</v>
      </c>
      <c r="C21" s="443"/>
      <c r="D21" s="443"/>
      <c r="E21" s="443"/>
      <c r="F21" s="417">
        <v>10612678.310000001</v>
      </c>
      <c r="G21" s="418"/>
      <c r="H21" s="444">
        <f>AOC!K28</f>
        <v>557105.14000000001</v>
      </c>
      <c r="I21" s="444"/>
      <c r="J21" s="414">
        <f>F21+H21</f>
        <v>11169783.450000001</v>
      </c>
      <c r="K21" s="414"/>
      <c r="N21" s="221"/>
    </row>
    <row r="22" spans="1:14" ht="24.95" customHeight="1">
      <c r="A22" s="72">
        <f t="shared" si="0" ref="A22:A27">A21+1</f>
        <v>2</v>
      </c>
      <c r="B22" s="422" t="s">
        <v>146</v>
      </c>
      <c r="C22" s="426"/>
      <c r="D22" s="426"/>
      <c r="E22" s="427"/>
      <c r="F22" s="417">
        <v>1910282.10</v>
      </c>
      <c r="G22" s="418"/>
      <c r="H22" s="415">
        <f>H21*18%</f>
        <v>100278.9252</v>
      </c>
      <c r="I22" s="416"/>
      <c r="J22" s="414">
        <f t="shared" si="1" ref="J22:J27">F22+H22</f>
        <v>2010561.0252</v>
      </c>
      <c r="K22" s="414"/>
      <c r="N22" s="221"/>
    </row>
    <row r="23" spans="1:14" ht="29.45" customHeight="1">
      <c r="A23" s="72">
        <f t="shared" si="0"/>
        <v>3</v>
      </c>
      <c r="B23" s="422" t="s">
        <v>120</v>
      </c>
      <c r="C23" s="420"/>
      <c r="D23" s="420"/>
      <c r="E23" s="421"/>
      <c r="F23" s="417">
        <v>12522960.41</v>
      </c>
      <c r="G23" s="418"/>
      <c r="H23" s="415">
        <f>H21+H22</f>
        <v>657384.06520000007</v>
      </c>
      <c r="I23" s="416"/>
      <c r="J23" s="414">
        <f t="shared" si="1"/>
        <v>13180344.475200001</v>
      </c>
      <c r="K23" s="414"/>
      <c r="N23" s="221"/>
    </row>
    <row r="24" spans="1:14" ht="24.95" customHeight="1">
      <c r="A24" s="72">
        <f t="shared" si="0"/>
        <v>4</v>
      </c>
      <c r="B24" s="419" t="s">
        <v>145</v>
      </c>
      <c r="C24" s="420"/>
      <c r="D24" s="420"/>
      <c r="E24" s="421"/>
      <c r="F24" s="417">
        <v>212253.57</v>
      </c>
      <c r="G24" s="418"/>
      <c r="H24" s="415">
        <f>H21*2%</f>
        <v>11142.102800000001</v>
      </c>
      <c r="I24" s="416"/>
      <c r="J24" s="414">
        <f t="shared" si="1"/>
        <v>223395.6728</v>
      </c>
      <c r="K24" s="414"/>
      <c r="N24" s="221"/>
    </row>
    <row r="25" spans="1:14" ht="24.95" customHeight="1">
      <c r="A25" s="72">
        <f t="shared" si="0"/>
        <v>5</v>
      </c>
      <c r="B25" s="422" t="s">
        <v>83</v>
      </c>
      <c r="C25" s="426"/>
      <c r="D25" s="426"/>
      <c r="E25" s="427"/>
      <c r="F25" s="417">
        <v>212253.57</v>
      </c>
      <c r="G25" s="418"/>
      <c r="H25" s="415">
        <f>H21*2%</f>
        <v>11142.102800000001</v>
      </c>
      <c r="I25" s="416"/>
      <c r="J25" s="414">
        <f t="shared" si="1"/>
        <v>223395.6728</v>
      </c>
      <c r="K25" s="414"/>
      <c r="N25" s="221"/>
    </row>
    <row r="26" spans="1:14" ht="30.6" customHeight="1">
      <c r="A26" s="72">
        <f t="shared" si="0"/>
        <v>6</v>
      </c>
      <c r="B26" s="422" t="s">
        <v>58</v>
      </c>
      <c r="C26" s="426"/>
      <c r="D26" s="426"/>
      <c r="E26" s="427"/>
      <c r="F26" s="417">
        <v>0</v>
      </c>
      <c r="G26" s="418"/>
      <c r="H26" s="415">
        <v>0</v>
      </c>
      <c r="I26" s="416"/>
      <c r="J26" s="414">
        <f t="shared" si="1"/>
        <v>0</v>
      </c>
      <c r="K26" s="414"/>
      <c r="N26" s="221"/>
    </row>
    <row r="27" spans="1:14" ht="24.95" customHeight="1">
      <c r="A27" s="72">
        <f t="shared" si="0"/>
        <v>7</v>
      </c>
      <c r="B27" s="431" t="s">
        <v>59</v>
      </c>
      <c r="C27" s="431"/>
      <c r="D27" s="431"/>
      <c r="E27" s="431"/>
      <c r="F27" s="432">
        <v>12098453.27</v>
      </c>
      <c r="G27" s="433"/>
      <c r="H27" s="434">
        <f>H23-(H24+H25)</f>
        <v>635099.85960000008</v>
      </c>
      <c r="I27" s="435"/>
      <c r="J27" s="414">
        <f t="shared" si="1"/>
        <v>12733553.1296</v>
      </c>
      <c r="K27" s="414"/>
      <c r="N27" s="221"/>
    </row>
    <row r="28" spans="1:11" ht="24.95" customHeight="1">
      <c r="A28" s="436" t="str">
        <f>[2]!SpellNumber(H27)</f>
        <v xml:space="preserve">Rupees Six Lakh ThirtyFive Thousand NinetyNine Paise EightySix Only </v>
      </c>
      <c r="B28" s="437"/>
      <c r="C28" s="437"/>
      <c r="D28" s="437"/>
      <c r="E28" s="437"/>
      <c r="F28" s="437"/>
      <c r="G28" s="437"/>
      <c r="H28" s="437"/>
      <c r="I28" s="437"/>
      <c r="J28" s="437"/>
      <c r="K28" s="438"/>
    </row>
    <row r="29" spans="1:11" ht="24.95" customHeight="1">
      <c r="A29" s="73">
        <v>1</v>
      </c>
      <c r="B29" s="439" t="s">
        <v>80</v>
      </c>
      <c r="C29" s="439"/>
      <c r="D29" s="439"/>
      <c r="E29" s="439"/>
      <c r="F29" s="439"/>
      <c r="G29" s="439"/>
      <c r="H29" s="439"/>
      <c r="I29" s="439"/>
      <c r="J29" s="439"/>
      <c r="K29" s="440"/>
    </row>
    <row r="30" spans="1:11" ht="24.95" customHeight="1">
      <c r="A30" s="74">
        <v>2</v>
      </c>
      <c r="B30" s="439" t="s">
        <v>81</v>
      </c>
      <c r="C30" s="439"/>
      <c r="D30" s="439"/>
      <c r="E30" s="439"/>
      <c r="F30" s="439"/>
      <c r="G30" s="439"/>
      <c r="H30" s="439"/>
      <c r="I30" s="439"/>
      <c r="J30" s="439"/>
      <c r="K30" s="440"/>
    </row>
    <row r="31" spans="1:11" ht="24.95" customHeight="1">
      <c r="A31" s="74">
        <v>3</v>
      </c>
      <c r="B31" s="441" t="s">
        <v>82</v>
      </c>
      <c r="C31" s="441"/>
      <c r="D31" s="441"/>
      <c r="E31" s="441"/>
      <c r="F31" s="441"/>
      <c r="G31" s="441"/>
      <c r="H31" s="441"/>
      <c r="I31" s="441"/>
      <c r="J31" s="441"/>
      <c r="K31" s="442"/>
    </row>
    <row r="32" spans="1:11" ht="24.95" customHeight="1">
      <c r="A32" s="74">
        <v>4</v>
      </c>
      <c r="B32" s="441" t="s">
        <v>60</v>
      </c>
      <c r="C32" s="441"/>
      <c r="D32" s="441"/>
      <c r="E32" s="441"/>
      <c r="F32" s="441"/>
      <c r="G32" s="441"/>
      <c r="H32" s="441"/>
      <c r="I32" s="441"/>
      <c r="J32" s="441"/>
      <c r="K32" s="442"/>
    </row>
    <row r="33" spans="1:11" ht="24.95" customHeight="1">
      <c r="A33" s="75" t="s">
        <v>61</v>
      </c>
      <c r="B33" s="423" t="s">
        <v>187</v>
      </c>
      <c r="C33" s="424"/>
      <c r="D33" s="424"/>
      <c r="E33" s="424"/>
      <c r="F33" s="425"/>
      <c r="G33" s="423" t="s">
        <v>183</v>
      </c>
      <c r="H33" s="424"/>
      <c r="I33" s="424"/>
      <c r="J33" s="424"/>
      <c r="K33" s="425"/>
    </row>
    <row r="34" spans="1:11" ht="24.95" customHeight="1">
      <c r="A34" s="76"/>
      <c r="B34" s="77"/>
      <c r="C34" s="77"/>
      <c r="D34" s="77"/>
      <c r="E34" s="77"/>
      <c r="F34" s="77"/>
      <c r="G34" s="77"/>
      <c r="H34" s="77"/>
      <c r="I34" s="77"/>
      <c r="J34" s="77"/>
      <c r="K34" s="78"/>
    </row>
    <row r="35" spans="1:11" ht="24.95" customHeight="1">
      <c r="A35" s="79"/>
      <c r="B35" s="80"/>
      <c r="C35" s="80"/>
      <c r="D35" s="80"/>
      <c r="E35" s="80"/>
      <c r="F35" s="80"/>
      <c r="G35" s="80"/>
      <c r="H35" s="80"/>
      <c r="I35" s="80"/>
      <c r="J35" s="80"/>
      <c r="K35" s="81"/>
    </row>
    <row r="36" spans="1:11" ht="24.95" customHeight="1">
      <c r="A36" s="75" t="s">
        <v>29</v>
      </c>
      <c r="B36" s="428" t="s">
        <v>186</v>
      </c>
      <c r="C36" s="429"/>
      <c r="D36" s="429"/>
      <c r="E36" s="429"/>
      <c r="F36" s="430"/>
      <c r="G36" s="460" t="s">
        <v>185</v>
      </c>
      <c r="H36" s="461"/>
      <c r="I36" s="461"/>
      <c r="J36" s="461"/>
      <c r="K36" s="462"/>
    </row>
    <row r="37" spans="1:11" ht="24.95" customHeight="1">
      <c r="A37" s="75" t="s">
        <v>1</v>
      </c>
      <c r="B37" s="459">
        <f>'WORKING SHEET'!B4</f>
        <v>45964</v>
      </c>
      <c r="C37" s="459"/>
      <c r="D37" s="459"/>
      <c r="E37" s="459"/>
      <c r="F37" s="459"/>
      <c r="G37" s="463" t="s">
        <v>184</v>
      </c>
      <c r="H37" s="464"/>
      <c r="I37" s="464"/>
      <c r="J37" s="464"/>
      <c r="K37" s="465"/>
    </row>
    <row r="38" ht="24.75" customHeight="1"/>
    <row r="46" spans="10:10" ht="14.25">
      <c r="J46" s="36"/>
    </row>
    <row r="47" spans="12:12" s="35" customFormat="1" ht="14.25">
      <c r="L47"/>
    </row>
  </sheetData>
  <sheetProtection/>
  <mergeCells count="62">
    <mergeCell ref="A15:E15"/>
    <mergeCell ref="B37:F37"/>
    <mergeCell ref="G33:K33"/>
    <mergeCell ref="G36:K36"/>
    <mergeCell ref="G37:K37"/>
    <mergeCell ref="A10:K10"/>
    <mergeCell ref="F13:K13"/>
    <mergeCell ref="F14:K14"/>
    <mergeCell ref="F15:K15"/>
    <mergeCell ref="B20:E20"/>
    <mergeCell ref="A9:K9"/>
    <mergeCell ref="F12:K12"/>
    <mergeCell ref="A11:E11"/>
    <mergeCell ref="A12:E12"/>
    <mergeCell ref="A13:E13"/>
    <mergeCell ref="A14:E14"/>
    <mergeCell ref="F11:K11"/>
    <mergeCell ref="F20:G20"/>
    <mergeCell ref="H20:I20"/>
    <mergeCell ref="J20:K20"/>
    <mergeCell ref="A16:E16"/>
    <mergeCell ref="A17:E17"/>
    <mergeCell ref="A18:E18"/>
    <mergeCell ref="F16:K16"/>
    <mergeCell ref="F17:K17"/>
    <mergeCell ref="A19:K19"/>
    <mergeCell ref="F18:K18"/>
    <mergeCell ref="B21:E21"/>
    <mergeCell ref="F21:G21"/>
    <mergeCell ref="H21:I21"/>
    <mergeCell ref="J21:K21"/>
    <mergeCell ref="B22:E22"/>
    <mergeCell ref="F22:G22"/>
    <mergeCell ref="H22:I22"/>
    <mergeCell ref="J22:K22"/>
    <mergeCell ref="A28:K28"/>
    <mergeCell ref="B29:K29"/>
    <mergeCell ref="B30:K30"/>
    <mergeCell ref="B31:K31"/>
    <mergeCell ref="B32:K32"/>
    <mergeCell ref="B26:E26"/>
    <mergeCell ref="F26:G26"/>
    <mergeCell ref="H26:I26"/>
    <mergeCell ref="J26:K26"/>
    <mergeCell ref="B33:F33"/>
    <mergeCell ref="B25:E25"/>
    <mergeCell ref="F25:G25"/>
    <mergeCell ref="H25:I25"/>
    <mergeCell ref="J25:K25"/>
    <mergeCell ref="B36:F36"/>
    <mergeCell ref="B27:E27"/>
    <mergeCell ref="F27:G27"/>
    <mergeCell ref="H27:I27"/>
    <mergeCell ref="J27:K27"/>
    <mergeCell ref="J23:K23"/>
    <mergeCell ref="J24:K24"/>
    <mergeCell ref="H24:I24"/>
    <mergeCell ref="F24:G24"/>
    <mergeCell ref="B24:E24"/>
    <mergeCell ref="B23:E23"/>
    <mergeCell ref="F23:G23"/>
    <mergeCell ref="H23:I23"/>
  </mergeCells>
  <printOptions horizontalCentered="1"/>
  <pageMargins left="0.25" right="0.25" top="0.29" bottom="0.29" header="0.3" footer="0.3"/>
  <pageSetup orientation="portrait" paperSize="1" scale="78" r:id="rId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7EFD5559-34A6-47E5-9175-30F18E75B9AB}">
  <sheetPr codeName="Sheet4">
    <pageSetUpPr fitToPage="1"/>
  </sheetPr>
  <dimension ref="A1:P41"/>
  <sheetViews>
    <sheetView zoomScale="95" zoomScaleNormal="95" zoomScaleSheetLayoutView="115" workbookViewId="0" topLeftCell="A1">
      <selection pane="topLeft" activeCell="J17" sqref="J17"/>
    </sheetView>
  </sheetViews>
  <sheetFormatPr defaultRowHeight="12.75"/>
  <cols>
    <col min="3" max="3" width="45.1428571428571" customWidth="1"/>
    <col min="4" max="4" width="7.85714285714286" customWidth="1"/>
    <col min="5" max="9" width="10.5714285714286" customWidth="1"/>
    <col min="10" max="10" width="13.2857142857143" customWidth="1"/>
    <col min="11" max="13" width="10.5714285714286" customWidth="1"/>
    <col min="16" max="16" width="9.71428571428571" bestFit="1" customWidth="1"/>
  </cols>
  <sheetData>
    <row r="1" spans="1:13" ht="18.6" customHeight="1">
      <c r="A1" s="491" t="s">
        <v>131</v>
      </c>
      <c r="B1" s="492"/>
      <c r="C1" s="492"/>
      <c r="D1" s="492"/>
      <c r="E1" s="492"/>
      <c r="F1" s="492"/>
      <c r="G1" s="492"/>
      <c r="H1" s="492"/>
      <c r="I1" s="492"/>
      <c r="J1" s="492"/>
      <c r="K1" s="492"/>
      <c r="L1" s="492"/>
      <c r="M1" s="493"/>
    </row>
    <row r="2" spans="1:13" ht="12.75">
      <c r="A2" s="470" t="s">
        <v>88</v>
      </c>
      <c r="B2" s="471"/>
      <c r="C2" s="472"/>
      <c r="D2" s="60" t="s">
        <v>89</v>
      </c>
      <c r="E2" s="494" t="str">
        <f>'WORKING SHEET'!B2</f>
        <v>SSI/1186</v>
      </c>
      <c r="F2" s="495"/>
      <c r="G2" s="495"/>
      <c r="H2" s="495"/>
      <c r="I2" s="495"/>
      <c r="J2" s="495"/>
      <c r="K2" s="495"/>
      <c r="L2" s="495"/>
      <c r="M2" s="496"/>
    </row>
    <row r="3" spans="1:13" ht="12.75">
      <c r="A3" s="470" t="s">
        <v>90</v>
      </c>
      <c r="B3" s="471"/>
      <c r="C3" s="472"/>
      <c r="D3" s="176" t="s">
        <v>89</v>
      </c>
      <c r="E3" s="497">
        <f>'WORKING SHEET'!B4</f>
        <v>45964</v>
      </c>
      <c r="F3" s="498"/>
      <c r="G3" s="498"/>
      <c r="H3" s="498"/>
      <c r="I3" s="498"/>
      <c r="J3" s="498"/>
      <c r="K3" s="498"/>
      <c r="L3" s="498"/>
      <c r="M3" s="499"/>
    </row>
    <row r="4" spans="1:13" ht="12.6" customHeight="1">
      <c r="A4" s="470" t="s">
        <v>91</v>
      </c>
      <c r="B4" s="471"/>
      <c r="C4" s="472"/>
      <c r="D4" s="177" t="s">
        <v>89</v>
      </c>
      <c r="E4" s="485" t="str">
        <f>'WORKING SHEET'!B1</f>
        <v>01 Oct 2025 To 31 Oct 2025</v>
      </c>
      <c r="F4" s="486"/>
      <c r="G4" s="486"/>
      <c r="H4" s="486"/>
      <c r="I4" s="486"/>
      <c r="J4" s="486"/>
      <c r="K4" s="486"/>
      <c r="L4" s="486"/>
      <c r="M4" s="487"/>
    </row>
    <row r="5" spans="1:13" ht="12.6" customHeight="1">
      <c r="A5" s="470" t="s">
        <v>92</v>
      </c>
      <c r="B5" s="471"/>
      <c r="C5" s="472"/>
      <c r="D5" s="177" t="s">
        <v>89</v>
      </c>
      <c r="E5" s="485" t="s">
        <v>149</v>
      </c>
      <c r="F5" s="486"/>
      <c r="G5" s="486"/>
      <c r="H5" s="486"/>
      <c r="I5" s="486"/>
      <c r="J5" s="486"/>
      <c r="K5" s="486"/>
      <c r="L5" s="486"/>
      <c r="M5" s="487"/>
    </row>
    <row r="6" spans="1:13" ht="12.75">
      <c r="A6" s="470" t="s">
        <v>93</v>
      </c>
      <c r="B6" s="471"/>
      <c r="C6" s="472"/>
      <c r="D6" s="177" t="s">
        <v>89</v>
      </c>
      <c r="E6" s="482">
        <v>45446</v>
      </c>
      <c r="F6" s="483"/>
      <c r="G6" s="483"/>
      <c r="H6" s="483"/>
      <c r="I6" s="483"/>
      <c r="J6" s="483"/>
      <c r="K6" s="483"/>
      <c r="L6" s="483"/>
      <c r="M6" s="484"/>
    </row>
    <row r="7" spans="1:13" ht="12.6" customHeight="1">
      <c r="A7" s="470" t="s">
        <v>94</v>
      </c>
      <c r="B7" s="471"/>
      <c r="C7" s="472"/>
      <c r="D7" s="177" t="s">
        <v>89</v>
      </c>
      <c r="E7" s="485" t="s">
        <v>148</v>
      </c>
      <c r="F7" s="486"/>
      <c r="G7" s="486"/>
      <c r="H7" s="486"/>
      <c r="I7" s="486"/>
      <c r="J7" s="486"/>
      <c r="K7" s="486"/>
      <c r="L7" s="486"/>
      <c r="M7" s="487"/>
    </row>
    <row r="8" spans="1:13" ht="12.6" customHeight="1">
      <c r="A8" s="470" t="s">
        <v>26</v>
      </c>
      <c r="B8" s="471"/>
      <c r="C8" s="472"/>
      <c r="D8" s="177" t="s">
        <v>89</v>
      </c>
      <c r="E8" s="473">
        <v>101065975</v>
      </c>
      <c r="F8" s="474"/>
      <c r="G8" s="474"/>
      <c r="H8" s="474"/>
      <c r="I8" s="474"/>
      <c r="J8" s="474"/>
      <c r="K8" s="474"/>
      <c r="L8" s="474"/>
      <c r="M8" s="475"/>
    </row>
    <row r="9" spans="1:13" ht="17.45" customHeight="1">
      <c r="A9" s="488" t="s">
        <v>150</v>
      </c>
      <c r="B9" s="489"/>
      <c r="C9" s="489"/>
      <c r="D9" s="489"/>
      <c r="E9" s="489"/>
      <c r="F9" s="489"/>
      <c r="G9" s="489"/>
      <c r="H9" s="489"/>
      <c r="I9" s="489"/>
      <c r="J9" s="489"/>
      <c r="K9" s="489"/>
      <c r="L9" s="489"/>
      <c r="M9" s="490"/>
    </row>
    <row r="10" spans="1:13" ht="30" customHeight="1">
      <c r="A10" s="480" t="s">
        <v>98</v>
      </c>
      <c r="B10" s="476" t="s">
        <v>99</v>
      </c>
      <c r="C10" s="478" t="s">
        <v>100</v>
      </c>
      <c r="D10" s="513" t="s">
        <v>101</v>
      </c>
      <c r="E10" s="514"/>
      <c r="F10" s="514"/>
      <c r="G10" s="477"/>
      <c r="H10" s="513" t="s">
        <v>174</v>
      </c>
      <c r="I10" s="477"/>
      <c r="J10" s="513" t="s">
        <v>102</v>
      </c>
      <c r="K10" s="477"/>
      <c r="L10" s="513" t="s">
        <v>103</v>
      </c>
      <c r="M10" s="477"/>
    </row>
    <row r="11" spans="1:13" ht="30" customHeight="1">
      <c r="A11" s="481"/>
      <c r="B11" s="477"/>
      <c r="C11" s="479"/>
      <c r="D11" s="61" t="s">
        <v>104</v>
      </c>
      <c r="E11" s="61" t="s">
        <v>105</v>
      </c>
      <c r="F11" s="61" t="s">
        <v>40</v>
      </c>
      <c r="G11" s="61" t="s">
        <v>123</v>
      </c>
      <c r="H11" s="61" t="s">
        <v>105</v>
      </c>
      <c r="I11" s="61" t="s">
        <v>41</v>
      </c>
      <c r="J11" s="61" t="s">
        <v>105</v>
      </c>
      <c r="K11" s="61" t="s">
        <v>41</v>
      </c>
      <c r="L11" s="61" t="s">
        <v>105</v>
      </c>
      <c r="M11" s="61" t="s">
        <v>41</v>
      </c>
    </row>
    <row r="12" spans="1:13" ht="22.5" customHeight="1">
      <c r="A12" s="62">
        <v>1</v>
      </c>
      <c r="B12" s="63"/>
      <c r="C12" s="179" t="s">
        <v>151</v>
      </c>
      <c r="D12" s="64"/>
      <c r="E12" s="64"/>
      <c r="F12" s="64"/>
      <c r="G12" s="64"/>
      <c r="H12" s="64"/>
      <c r="I12" s="64"/>
      <c r="J12" s="64"/>
      <c r="K12" s="64"/>
      <c r="L12" s="64"/>
      <c r="M12" s="64"/>
    </row>
    <row r="13" spans="1:16" ht="42" customHeight="1">
      <c r="A13" s="65"/>
      <c r="B13" s="175">
        <v>10</v>
      </c>
      <c r="C13" s="180" t="s">
        <v>161</v>
      </c>
      <c r="D13" s="182" t="s">
        <v>71</v>
      </c>
      <c r="E13" s="66">
        <v>24</v>
      </c>
      <c r="F13" s="155">
        <v>115698.69</v>
      </c>
      <c r="G13" s="67">
        <f t="shared" si="0" ref="G13:G24">E13*F13</f>
        <v>2776768.5600000001</v>
      </c>
      <c r="H13" s="67">
        <v>17</v>
      </c>
      <c r="I13" s="67">
        <f>H13*F13</f>
        <v>1966877.73</v>
      </c>
      <c r="J13" s="155">
        <v>1</v>
      </c>
      <c r="K13" s="155">
        <f t="shared" si="1" ref="K13:K23">F13*J13</f>
        <v>115698.69</v>
      </c>
      <c r="L13" s="67">
        <f t="shared" si="2" ref="L13:L24">H13+J13</f>
        <v>18</v>
      </c>
      <c r="M13" s="67">
        <f t="shared" si="3" ref="M13:M24">L13*F13</f>
        <v>2082576.4199999999</v>
      </c>
      <c r="P13" s="221"/>
    </row>
    <row r="14" spans="1:16" ht="42" customHeight="1">
      <c r="A14" s="65"/>
      <c r="B14" s="175">
        <v>20</v>
      </c>
      <c r="C14" s="180" t="s">
        <v>167</v>
      </c>
      <c r="D14" s="182" t="s">
        <v>71</v>
      </c>
      <c r="E14" s="66">
        <v>24</v>
      </c>
      <c r="F14" s="155">
        <v>185547.07</v>
      </c>
      <c r="G14" s="67">
        <f t="shared" si="0"/>
        <v>4453129.6799999997</v>
      </c>
      <c r="H14" s="67">
        <v>17</v>
      </c>
      <c r="I14" s="67">
        <f t="shared" si="4" ref="I14:I27">H14*F14</f>
        <v>3154300.1899999999</v>
      </c>
      <c r="J14" s="155">
        <v>1</v>
      </c>
      <c r="K14" s="155">
        <f t="shared" si="1"/>
        <v>185547.07000000001</v>
      </c>
      <c r="L14" s="67">
        <f t="shared" si="2"/>
        <v>18</v>
      </c>
      <c r="M14" s="67">
        <f t="shared" si="3"/>
        <v>3339847.2600000002</v>
      </c>
      <c r="P14" s="221"/>
    </row>
    <row r="15" spans="1:16" ht="39.95" customHeight="1">
      <c r="A15" s="65"/>
      <c r="B15" s="175">
        <v>30</v>
      </c>
      <c r="C15" s="181" t="s">
        <v>166</v>
      </c>
      <c r="D15" s="182" t="s">
        <v>71</v>
      </c>
      <c r="E15" s="110">
        <v>24</v>
      </c>
      <c r="F15" s="155">
        <v>106026.90</v>
      </c>
      <c r="G15" s="67">
        <f t="shared" si="0"/>
        <v>2544645.5999999996</v>
      </c>
      <c r="H15" s="67">
        <v>17</v>
      </c>
      <c r="I15" s="67">
        <f t="shared" si="4"/>
        <v>1802457.2999999998</v>
      </c>
      <c r="J15" s="155">
        <v>1</v>
      </c>
      <c r="K15" s="155">
        <f t="shared" si="1"/>
        <v>106026.89999999999</v>
      </c>
      <c r="L15" s="67">
        <f t="shared" si="2"/>
        <v>18</v>
      </c>
      <c r="M15" s="67">
        <f t="shared" si="3"/>
        <v>1908484.2</v>
      </c>
      <c r="P15" s="221"/>
    </row>
    <row r="16" spans="1:16" ht="39.95" customHeight="1">
      <c r="A16" s="65"/>
      <c r="B16" s="175">
        <v>40</v>
      </c>
      <c r="C16" s="181" t="s">
        <v>168</v>
      </c>
      <c r="D16" s="182" t="s">
        <v>71</v>
      </c>
      <c r="E16" s="110">
        <v>24</v>
      </c>
      <c r="F16" s="155">
        <v>106026.90</v>
      </c>
      <c r="G16" s="67">
        <f t="shared" si="0"/>
        <v>2544645.5999999996</v>
      </c>
      <c r="H16" s="67">
        <v>17</v>
      </c>
      <c r="I16" s="67">
        <f t="shared" si="4"/>
        <v>1802457.2999999998</v>
      </c>
      <c r="J16" s="155">
        <v>1</v>
      </c>
      <c r="K16" s="155">
        <f t="shared" si="1"/>
        <v>106026.89999999999</v>
      </c>
      <c r="L16" s="67">
        <f t="shared" si="2"/>
        <v>18</v>
      </c>
      <c r="M16" s="67">
        <f t="shared" si="3"/>
        <v>1908484.2</v>
      </c>
      <c r="P16" s="221"/>
    </row>
    <row r="17" spans="1:16" ht="35.1" customHeight="1">
      <c r="A17" s="65"/>
      <c r="B17" s="175">
        <v>10040</v>
      </c>
      <c r="C17" s="181" t="s">
        <v>178</v>
      </c>
      <c r="D17" s="174" t="s">
        <v>179</v>
      </c>
      <c r="E17" s="110">
        <v>600000</v>
      </c>
      <c r="F17" s="155">
        <v>1</v>
      </c>
      <c r="G17" s="67">
        <f t="shared" si="0"/>
        <v>600000</v>
      </c>
      <c r="H17" s="67">
        <v>568612.61</v>
      </c>
      <c r="I17" s="67">
        <f t="shared" si="4"/>
        <v>568612.60999999999</v>
      </c>
      <c r="J17" s="155">
        <f>DIFF!L9</f>
        <v>43805.580000000002</v>
      </c>
      <c r="K17" s="155">
        <f t="shared" si="1"/>
        <v>43805.580000000002</v>
      </c>
      <c r="L17" s="67">
        <f t="shared" si="2"/>
        <v>612418.18999999994</v>
      </c>
      <c r="M17" s="67">
        <f t="shared" si="3"/>
        <v>612418.18999999994</v>
      </c>
      <c r="P17" s="221"/>
    </row>
    <row r="18" spans="1:16" ht="35.1" customHeight="1">
      <c r="A18" s="65"/>
      <c r="B18" s="175">
        <v>10041</v>
      </c>
      <c r="C18" s="181" t="s">
        <v>193</v>
      </c>
      <c r="D18" s="174" t="s">
        <v>179</v>
      </c>
      <c r="E18" s="110">
        <v>1200000</v>
      </c>
      <c r="F18" s="155">
        <v>1</v>
      </c>
      <c r="G18" s="67">
        <f t="shared" si="0"/>
        <v>1200000</v>
      </c>
      <c r="H18" s="67">
        <v>617446</v>
      </c>
      <c r="I18" s="67">
        <v>246536</v>
      </c>
      <c r="J18" s="155">
        <v>0</v>
      </c>
      <c r="K18" s="155">
        <f t="shared" si="1"/>
        <v>0</v>
      </c>
      <c r="L18" s="67">
        <f t="shared" si="2"/>
        <v>617446</v>
      </c>
      <c r="M18" s="67">
        <f t="shared" si="3"/>
        <v>617446</v>
      </c>
      <c r="P18" s="221"/>
    </row>
    <row r="19" spans="1:16" ht="35.1" customHeight="1">
      <c r="A19" s="65"/>
      <c r="B19" s="175">
        <v>10042</v>
      </c>
      <c r="C19" s="181" t="s">
        <v>194</v>
      </c>
      <c r="D19" s="174" t="s">
        <v>179</v>
      </c>
      <c r="E19" s="110">
        <v>700000</v>
      </c>
      <c r="F19" s="155">
        <v>1</v>
      </c>
      <c r="G19" s="67">
        <f t="shared" si="0"/>
        <v>700000</v>
      </c>
      <c r="H19" s="67">
        <v>0</v>
      </c>
      <c r="I19" s="67">
        <f t="shared" si="4"/>
        <v>0</v>
      </c>
      <c r="J19" s="155">
        <v>0</v>
      </c>
      <c r="K19" s="155">
        <f t="shared" si="1"/>
        <v>0</v>
      </c>
      <c r="L19" s="67">
        <f t="shared" si="2"/>
        <v>0</v>
      </c>
      <c r="M19" s="67">
        <f t="shared" si="3"/>
        <v>0</v>
      </c>
      <c r="P19" s="221"/>
    </row>
    <row r="20" spans="1:16" ht="35.1" customHeight="1">
      <c r="A20" s="65"/>
      <c r="B20" s="175">
        <v>10043</v>
      </c>
      <c r="C20" s="181" t="s">
        <v>195</v>
      </c>
      <c r="D20" s="174" t="s">
        <v>179</v>
      </c>
      <c r="E20" s="110">
        <v>304000</v>
      </c>
      <c r="F20" s="155">
        <v>1</v>
      </c>
      <c r="G20" s="67">
        <f t="shared" si="0"/>
        <v>304000</v>
      </c>
      <c r="H20" s="67">
        <v>304000</v>
      </c>
      <c r="I20" s="67">
        <f t="shared" si="4"/>
        <v>304000</v>
      </c>
      <c r="J20" s="155">
        <v>0</v>
      </c>
      <c r="K20" s="155">
        <v>0</v>
      </c>
      <c r="L20" s="67">
        <f t="shared" si="2"/>
        <v>304000</v>
      </c>
      <c r="M20" s="67">
        <f t="shared" si="3"/>
        <v>304000</v>
      </c>
      <c r="P20" s="221"/>
    </row>
    <row r="21" spans="1:16" ht="35.1" customHeight="1">
      <c r="A21" s="65"/>
      <c r="B21" s="175">
        <v>10044</v>
      </c>
      <c r="C21" s="181" t="s">
        <v>196</v>
      </c>
      <c r="D21" s="174" t="s">
        <v>179</v>
      </c>
      <c r="E21" s="110">
        <v>16568</v>
      </c>
      <c r="F21" s="155">
        <v>1</v>
      </c>
      <c r="G21" s="67">
        <f t="shared" si="0"/>
        <v>16568</v>
      </c>
      <c r="H21" s="67">
        <v>16568</v>
      </c>
      <c r="I21" s="67">
        <f t="shared" si="4"/>
        <v>16568</v>
      </c>
      <c r="J21" s="155">
        <v>0</v>
      </c>
      <c r="K21" s="155">
        <v>0</v>
      </c>
      <c r="L21" s="67">
        <f t="shared" si="2"/>
        <v>16568</v>
      </c>
      <c r="M21" s="67">
        <f t="shared" si="3"/>
        <v>16568</v>
      </c>
      <c r="P21" s="221"/>
    </row>
    <row r="22" spans="1:16" ht="35.1" customHeight="1">
      <c r="A22" s="65"/>
      <c r="B22" s="175">
        <v>10045</v>
      </c>
      <c r="C22" s="181" t="s">
        <v>197</v>
      </c>
      <c r="D22" s="174" t="s">
        <v>179</v>
      </c>
      <c r="E22" s="110">
        <v>760</v>
      </c>
      <c r="F22" s="155">
        <v>1</v>
      </c>
      <c r="G22" s="67">
        <f t="shared" si="0"/>
        <v>760</v>
      </c>
      <c r="H22" s="67">
        <v>760</v>
      </c>
      <c r="I22" s="67">
        <f>H22*F22</f>
        <v>760</v>
      </c>
      <c r="J22" s="155">
        <v>0</v>
      </c>
      <c r="K22" s="155">
        <v>0</v>
      </c>
      <c r="L22" s="67">
        <f t="shared" si="2"/>
        <v>760</v>
      </c>
      <c r="M22" s="67">
        <f t="shared" si="3"/>
        <v>760</v>
      </c>
      <c r="P22" s="221"/>
    </row>
    <row r="23" spans="1:16" ht="35.1" customHeight="1">
      <c r="A23" s="65"/>
      <c r="B23" s="175">
        <v>10046</v>
      </c>
      <c r="C23" s="181" t="s">
        <v>198</v>
      </c>
      <c r="D23" s="174" t="s">
        <v>179</v>
      </c>
      <c r="E23" s="110">
        <v>57000</v>
      </c>
      <c r="F23" s="155">
        <v>1</v>
      </c>
      <c r="G23" s="67">
        <f t="shared" si="0"/>
        <v>57000</v>
      </c>
      <c r="H23" s="67">
        <v>10830</v>
      </c>
      <c r="I23" s="67">
        <f t="shared" si="4"/>
        <v>10830</v>
      </c>
      <c r="J23" s="155">
        <v>0</v>
      </c>
      <c r="K23" s="155">
        <f t="shared" si="1"/>
        <v>0</v>
      </c>
      <c r="L23" s="67">
        <f t="shared" si="2"/>
        <v>10830</v>
      </c>
      <c r="M23" s="67">
        <f t="shared" si="3"/>
        <v>10830</v>
      </c>
      <c r="P23" s="221"/>
    </row>
    <row r="24" spans="1:16" ht="39.95" customHeight="1">
      <c r="A24" s="65"/>
      <c r="B24" s="175">
        <v>10047</v>
      </c>
      <c r="C24" s="181" t="s">
        <v>199</v>
      </c>
      <c r="D24" s="174" t="s">
        <v>179</v>
      </c>
      <c r="E24" s="110">
        <v>800000</v>
      </c>
      <c r="F24" s="155">
        <v>1</v>
      </c>
      <c r="G24" s="67">
        <f t="shared" si="0"/>
        <v>800000</v>
      </c>
      <c r="H24" s="67">
        <v>368369.18</v>
      </c>
      <c r="I24" s="67">
        <f t="shared" si="4"/>
        <v>368369.17999999999</v>
      </c>
      <c r="J24" s="155">
        <v>0</v>
      </c>
      <c r="K24" s="155">
        <v>0</v>
      </c>
      <c r="L24" s="67">
        <f t="shared" si="2"/>
        <v>368369.17999999999</v>
      </c>
      <c r="M24" s="67">
        <f t="shared" si="3"/>
        <v>368369.17999999999</v>
      </c>
      <c r="P24" s="221"/>
    </row>
    <row r="25" spans="1:16" ht="20.1" customHeight="1">
      <c r="A25" s="184">
        <v>2</v>
      </c>
      <c r="B25" s="185"/>
      <c r="C25" s="186" t="s">
        <v>152</v>
      </c>
      <c r="D25" s="187"/>
      <c r="E25" s="188"/>
      <c r="F25" s="188"/>
      <c r="G25" s="188"/>
      <c r="H25" s="188"/>
      <c r="I25" s="183"/>
      <c r="J25" s="188"/>
      <c r="K25" s="188"/>
      <c r="L25" s="188"/>
      <c r="M25" s="188"/>
      <c r="P25" s="221"/>
    </row>
    <row r="26" spans="1:16" ht="38.1" customHeight="1">
      <c r="A26" s="65"/>
      <c r="B26" s="175">
        <v>10</v>
      </c>
      <c r="C26" s="181" t="s">
        <v>171</v>
      </c>
      <c r="D26" s="174" t="s">
        <v>106</v>
      </c>
      <c r="E26" s="66">
        <v>1250</v>
      </c>
      <c r="F26" s="155">
        <v>0.01</v>
      </c>
      <c r="G26" s="67">
        <f>E26*F26</f>
        <v>12.5</v>
      </c>
      <c r="H26" s="67">
        <v>0</v>
      </c>
      <c r="I26" s="67">
        <f t="shared" si="4"/>
        <v>0</v>
      </c>
      <c r="J26" s="155">
        <v>0</v>
      </c>
      <c r="K26" s="155">
        <f>J26*F26</f>
        <v>0</v>
      </c>
      <c r="L26" s="67">
        <v>0</v>
      </c>
      <c r="M26" s="67">
        <v>0</v>
      </c>
      <c r="P26" s="221"/>
    </row>
    <row r="27" spans="1:16" ht="39" customHeight="1">
      <c r="A27" s="65"/>
      <c r="B27" s="175">
        <v>20</v>
      </c>
      <c r="C27" s="181" t="s">
        <v>172</v>
      </c>
      <c r="D27" s="174" t="s">
        <v>106</v>
      </c>
      <c r="E27" s="66">
        <v>1250</v>
      </c>
      <c r="F27" s="155">
        <v>0.01</v>
      </c>
      <c r="G27" s="67">
        <f>E27*F27</f>
        <v>12.5</v>
      </c>
      <c r="H27" s="67">
        <v>0</v>
      </c>
      <c r="I27" s="67">
        <f t="shared" si="4"/>
        <v>0</v>
      </c>
      <c r="J27" s="155">
        <v>0</v>
      </c>
      <c r="K27" s="155">
        <f>J27*F27</f>
        <v>0</v>
      </c>
      <c r="L27" s="67">
        <v>0</v>
      </c>
      <c r="M27" s="67">
        <v>0</v>
      </c>
      <c r="P27" s="221"/>
    </row>
    <row r="28" spans="1:13" ht="20.1" customHeight="1">
      <c r="A28" s="507"/>
      <c r="B28" s="515" t="s">
        <v>107</v>
      </c>
      <c r="C28" s="517" t="s">
        <v>108</v>
      </c>
      <c r="D28" s="518"/>
      <c r="E28" s="518"/>
      <c r="F28" s="516"/>
      <c r="G28" s="116">
        <f>SUM(G13:G27)</f>
        <v>15997542.439999999</v>
      </c>
      <c r="H28" s="519" t="str">
        <f>"Claimed for "&amp;'WORKING SHEET'!B3&amp;" Month"</f>
        <v>Claimed for SEPTEMBER-2025 Month</v>
      </c>
      <c r="I28" s="520"/>
      <c r="J28" s="521"/>
      <c r="K28" s="117">
        <f>SUM(K13:K27)</f>
        <v>557105.14000000001</v>
      </c>
      <c r="L28" s="500" t="s">
        <v>109</v>
      </c>
      <c r="M28" s="501"/>
    </row>
    <row r="29" spans="1:13" ht="20.1" customHeight="1">
      <c r="A29" s="507"/>
      <c r="B29" s="515"/>
      <c r="C29" s="502" t="s">
        <v>133</v>
      </c>
      <c r="D29" s="503"/>
      <c r="E29" s="503"/>
      <c r="F29" s="504"/>
      <c r="G29" s="118">
        <f>G28*18%</f>
        <v>2879557.6391999996</v>
      </c>
      <c r="H29" s="519"/>
      <c r="I29" s="520"/>
      <c r="J29" s="521"/>
      <c r="K29" s="117">
        <f>K28*18%</f>
        <v>100278.9252</v>
      </c>
      <c r="L29" s="505" t="s">
        <v>109</v>
      </c>
      <c r="M29" s="506"/>
    </row>
    <row r="30" spans="1:13" ht="20.1" customHeight="1">
      <c r="A30" s="508"/>
      <c r="B30" s="516"/>
      <c r="C30" s="502" t="s">
        <v>110</v>
      </c>
      <c r="D30" s="503"/>
      <c r="E30" s="503"/>
      <c r="F30" s="504"/>
      <c r="G30" s="118">
        <f>SUM(G28:G29)</f>
        <v>18877100.0792</v>
      </c>
      <c r="H30" s="522"/>
      <c r="I30" s="523"/>
      <c r="J30" s="524"/>
      <c r="K30" s="117">
        <f>SUM(K28:K29)</f>
        <v>657384.06520000007</v>
      </c>
      <c r="L30" s="505" t="s">
        <v>109</v>
      </c>
      <c r="M30" s="506"/>
    </row>
    <row r="31" spans="1:13" ht="12.75">
      <c r="A31" s="68"/>
      <c r="B31" s="68"/>
      <c r="C31" s="68"/>
      <c r="D31" s="68"/>
      <c r="E31" s="68"/>
      <c r="F31" s="68"/>
      <c r="G31" s="68"/>
      <c r="H31" s="68"/>
      <c r="I31" s="68"/>
      <c r="J31" s="68"/>
      <c r="K31" s="69"/>
      <c r="L31" s="68"/>
      <c r="M31" s="68"/>
    </row>
    <row r="32" spans="1:13" ht="12.75">
      <c r="A32" s="68"/>
      <c r="B32" s="68"/>
      <c r="C32" s="68"/>
      <c r="D32" s="68"/>
      <c r="E32" s="68"/>
      <c r="F32" s="68"/>
      <c r="G32" s="68"/>
      <c r="H32" s="68"/>
      <c r="I32" s="68"/>
      <c r="J32" s="68"/>
      <c r="K32" s="68"/>
      <c r="L32" s="68"/>
      <c r="M32" s="68"/>
    </row>
    <row r="33" spans="1:13" ht="12.75">
      <c r="A33" s="68"/>
      <c r="B33" s="68"/>
      <c r="C33" s="68"/>
      <c r="D33" s="68"/>
      <c r="E33" s="68"/>
      <c r="F33" s="68"/>
      <c r="G33" s="68"/>
      <c r="H33" s="68"/>
      <c r="I33" s="68"/>
      <c r="J33" s="68"/>
      <c r="K33" s="68"/>
      <c r="L33" s="68"/>
      <c r="M33" s="68"/>
    </row>
    <row r="34" spans="1:13" ht="15">
      <c r="A34" s="510" t="str">
        <f>[2]!SpellNumber(K30)</f>
        <v xml:space="preserve">Rupees Six Lakh FiftySeven Thousand Three Hundred EightyFour Paise Seven Only </v>
      </c>
      <c r="B34" s="511"/>
      <c r="C34" s="511"/>
      <c r="D34" s="511"/>
      <c r="E34" s="511"/>
      <c r="F34" s="511"/>
      <c r="G34" s="511"/>
      <c r="H34" s="511"/>
      <c r="I34" s="511"/>
      <c r="J34" s="511"/>
      <c r="K34" s="511"/>
      <c r="L34" s="511"/>
      <c r="M34" s="512"/>
    </row>
    <row r="35" spans="1:13" ht="12.75">
      <c r="A35" s="56"/>
      <c r="B35" s="56"/>
      <c r="C35" s="56"/>
      <c r="D35" s="56"/>
      <c r="E35" s="56"/>
      <c r="F35" s="56"/>
      <c r="G35" s="56"/>
      <c r="H35" s="56"/>
      <c r="I35" s="56"/>
      <c r="J35" s="56"/>
      <c r="K35" s="56"/>
      <c r="L35" s="56"/>
      <c r="M35" s="56"/>
    </row>
    <row r="36" spans="1:13" ht="12.75">
      <c r="A36" s="56"/>
      <c r="B36" s="56"/>
      <c r="C36" s="56"/>
      <c r="D36" s="56"/>
      <c r="E36" s="56"/>
      <c r="F36" s="56"/>
      <c r="G36" s="56"/>
      <c r="H36" s="56"/>
      <c r="I36" s="56"/>
      <c r="J36" s="56"/>
      <c r="K36" s="56"/>
      <c r="L36" s="56"/>
      <c r="M36" s="56"/>
    </row>
    <row r="37" spans="1:13" ht="12.75">
      <c r="A37" s="56"/>
      <c r="B37" s="56"/>
      <c r="C37" s="56"/>
      <c r="D37" s="56"/>
      <c r="E37" s="56"/>
      <c r="F37" s="56"/>
      <c r="G37" s="56"/>
      <c r="H37" s="56"/>
      <c r="I37" s="56"/>
      <c r="J37" s="56"/>
      <c r="K37" s="56"/>
      <c r="L37" s="56"/>
      <c r="M37" s="56"/>
    </row>
    <row r="38" spans="1:13" ht="12.75">
      <c r="A38" s="56"/>
      <c r="B38" s="56"/>
      <c r="C38" s="56"/>
      <c r="D38" s="56"/>
      <c r="E38" s="56"/>
      <c r="F38" s="56"/>
      <c r="G38" s="56"/>
      <c r="H38" s="56"/>
      <c r="I38" s="56"/>
      <c r="J38" s="56"/>
      <c r="K38" s="56"/>
      <c r="L38" s="56"/>
      <c r="M38" s="56"/>
    </row>
    <row r="39" spans="1:13" ht="12.75">
      <c r="A39" s="56"/>
      <c r="B39" s="56"/>
      <c r="C39" s="56"/>
      <c r="D39" s="56"/>
      <c r="E39" s="56"/>
      <c r="F39" s="56"/>
      <c r="G39" s="56"/>
      <c r="H39" s="56"/>
      <c r="I39" s="56"/>
      <c r="J39" s="56"/>
      <c r="K39" s="56"/>
      <c r="L39" s="56"/>
      <c r="M39" s="56"/>
    </row>
    <row r="40" spans="1:13" ht="12.75">
      <c r="A40" s="56"/>
      <c r="B40" s="56"/>
      <c r="C40" s="56"/>
      <c r="D40" s="56"/>
      <c r="E40" s="56"/>
      <c r="F40" s="56"/>
      <c r="G40" s="56"/>
      <c r="H40" s="56"/>
      <c r="I40" s="56"/>
      <c r="J40" s="56"/>
      <c r="K40" s="56"/>
      <c r="L40" s="56"/>
      <c r="M40" s="56"/>
    </row>
    <row r="41" spans="1:13" ht="15">
      <c r="A41" s="509" t="s">
        <v>130</v>
      </c>
      <c r="B41" s="509"/>
      <c r="C41" s="509"/>
      <c r="D41" s="56"/>
      <c r="E41" s="56"/>
      <c r="F41" s="56"/>
      <c r="G41" s="56"/>
      <c r="H41" s="70"/>
      <c r="I41" s="56"/>
      <c r="J41" s="509" t="s">
        <v>97</v>
      </c>
      <c r="K41" s="509"/>
      <c r="L41" s="509"/>
      <c r="M41" s="509"/>
    </row>
    <row r="49" ht="15" customHeight="1"/>
  </sheetData>
  <sheetProtection/>
  <mergeCells count="35">
    <mergeCell ref="A41:C41"/>
    <mergeCell ref="A34:M34"/>
    <mergeCell ref="J41:M41"/>
    <mergeCell ref="D10:G10"/>
    <mergeCell ref="H10:I10"/>
    <mergeCell ref="J10:K10"/>
    <mergeCell ref="L10:M10"/>
    <mergeCell ref="B28:B30"/>
    <mergeCell ref="C28:F28"/>
    <mergeCell ref="H28:J30"/>
    <mergeCell ref="L28:M28"/>
    <mergeCell ref="C29:F29"/>
    <mergeCell ref="L29:M29"/>
    <mergeCell ref="C30:F30"/>
    <mergeCell ref="L30:M30"/>
    <mergeCell ref="A28:A30"/>
    <mergeCell ref="A1:M1"/>
    <mergeCell ref="A2:C2"/>
    <mergeCell ref="A3:C3"/>
    <mergeCell ref="A4:C4"/>
    <mergeCell ref="A5:C5"/>
    <mergeCell ref="E2:M2"/>
    <mergeCell ref="E3:M3"/>
    <mergeCell ref="E4:M4"/>
    <mergeCell ref="E5:M5"/>
    <mergeCell ref="A6:C6"/>
    <mergeCell ref="A7:C7"/>
    <mergeCell ref="A8:C8"/>
    <mergeCell ref="E8:M8"/>
    <mergeCell ref="B10:B11"/>
    <mergeCell ref="C10:C11"/>
    <mergeCell ref="A10:A11"/>
    <mergeCell ref="E6:M6"/>
    <mergeCell ref="E7:M7"/>
    <mergeCell ref="A9:M9"/>
  </mergeCells>
  <printOptions horizontalCentered="1"/>
  <pageMargins left="0.25" right="0.25" top="0.75" bottom="0.75" header="0.3" footer="0.3"/>
  <pageSetup orientation="portrait" paperSize="1" scale="61"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35691C64-E944-4301-97B3-43F9939CB9AB}">
  <sheetPr codeName="Sheet5"/>
  <dimension ref="A1:J26"/>
  <sheetViews>
    <sheetView workbookViewId="0" topLeftCell="A1">
      <selection pane="topLeft" activeCell="E8" sqref="E8"/>
    </sheetView>
  </sheetViews>
  <sheetFormatPr defaultRowHeight="12.75"/>
  <cols>
    <col min="2" max="2" width="15" customWidth="1"/>
    <col min="3" max="3" width="17.4285714285714" customWidth="1"/>
    <col min="4" max="4" width="12.8571428571429" customWidth="1"/>
    <col min="5" max="5" width="15.1428571428571" customWidth="1"/>
    <col min="6" max="6" width="17.8571428571429" customWidth="1"/>
    <col min="7" max="7" width="31.8571428571429" customWidth="1"/>
    <col min="8" max="10" width="13.1428571428571" bestFit="1" customWidth="1"/>
  </cols>
  <sheetData>
    <row r="1" spans="1:7" ht="15">
      <c r="A1" s="525" t="s">
        <v>4</v>
      </c>
      <c r="B1" s="525"/>
      <c r="C1" s="2" t="s">
        <v>3</v>
      </c>
      <c r="D1" s="4"/>
      <c r="E1" s="5"/>
      <c r="G1" s="6"/>
    </row>
    <row r="2" spans="1:7" ht="15">
      <c r="A2" s="525" t="s">
        <v>5</v>
      </c>
      <c r="B2" s="525"/>
      <c r="C2" s="7" t="s">
        <v>16</v>
      </c>
      <c r="D2" s="4"/>
      <c r="E2" s="5"/>
      <c r="G2" s="6"/>
    </row>
    <row r="3" spans="1:7" ht="15">
      <c r="A3" s="525" t="s">
        <v>6</v>
      </c>
      <c r="B3" s="525"/>
      <c r="C3" s="8"/>
      <c r="D3" s="9"/>
      <c r="G3" s="6"/>
    </row>
    <row r="4" spans="1:7" ht="15">
      <c r="A4" s="10"/>
      <c r="D4" s="5"/>
      <c r="E4" s="5"/>
      <c r="G4" s="6"/>
    </row>
    <row r="5" spans="1:7" ht="15.75">
      <c r="A5" s="526" t="s">
        <v>7</v>
      </c>
      <c r="B5" s="526"/>
      <c r="C5" s="526"/>
      <c r="D5" s="526"/>
      <c r="E5" s="526"/>
      <c r="F5" s="526"/>
      <c r="G5" s="526"/>
    </row>
    <row r="6" spans="1:7" ht="12.75">
      <c r="A6" s="11" t="s">
        <v>8</v>
      </c>
      <c r="B6" s="11" t="s">
        <v>9</v>
      </c>
      <c r="C6" s="11" t="s">
        <v>10</v>
      </c>
      <c r="D6" s="527" t="s">
        <v>11</v>
      </c>
      <c r="E6" s="527"/>
      <c r="F6" s="11" t="s">
        <v>12</v>
      </c>
      <c r="G6" s="11" t="s">
        <v>13</v>
      </c>
    </row>
    <row r="7" spans="1:7" ht="12.75">
      <c r="A7" s="12"/>
      <c r="B7" s="12"/>
      <c r="C7" s="12"/>
      <c r="D7" s="13" t="s">
        <v>1</v>
      </c>
      <c r="E7" s="13" t="s">
        <v>14</v>
      </c>
      <c r="F7" s="12"/>
      <c r="G7" s="12"/>
    </row>
    <row r="8" spans="1:9" ht="12.75">
      <c r="A8" s="3">
        <v>1</v>
      </c>
      <c r="B8" s="14" t="s">
        <v>17</v>
      </c>
      <c r="C8" s="15">
        <v>3278428</v>
      </c>
      <c r="D8" s="16"/>
      <c r="E8" s="17"/>
      <c r="F8" s="18"/>
      <c r="G8" s="19"/>
      <c r="I8" s="20"/>
    </row>
    <row r="9" spans="1:7" ht="12.75">
      <c r="A9" s="3">
        <v>2</v>
      </c>
      <c r="B9" s="14"/>
      <c r="C9" s="21"/>
      <c r="D9" s="16"/>
      <c r="E9" s="17"/>
      <c r="F9" s="18"/>
      <c r="G9" s="19"/>
    </row>
    <row r="10" spans="1:7" ht="12.75">
      <c r="A10" s="3">
        <v>3</v>
      </c>
      <c r="B10" s="14"/>
      <c r="C10" s="21"/>
      <c r="D10" s="16"/>
      <c r="E10" s="17"/>
      <c r="F10" s="18"/>
      <c r="G10" s="19"/>
    </row>
    <row r="11" spans="1:9" ht="12.75">
      <c r="A11" s="3">
        <v>4</v>
      </c>
      <c r="B11" s="14"/>
      <c r="C11" s="21"/>
      <c r="D11" s="16"/>
      <c r="E11" s="17"/>
      <c r="F11" s="18"/>
      <c r="G11" s="19"/>
      <c r="H11" s="20"/>
      <c r="I11" s="20"/>
    </row>
    <row r="12" spans="1:7" ht="12.75">
      <c r="A12" s="3">
        <v>5</v>
      </c>
      <c r="B12" s="14"/>
      <c r="C12" s="21"/>
      <c r="D12" s="16"/>
      <c r="E12" s="17"/>
      <c r="F12" s="18"/>
      <c r="G12" s="19"/>
    </row>
    <row r="13" spans="1:7" ht="12.75">
      <c r="A13" s="3">
        <v>6</v>
      </c>
      <c r="B13" s="14"/>
      <c r="C13" s="21"/>
      <c r="D13" s="16"/>
      <c r="E13" s="17"/>
      <c r="F13" s="18"/>
      <c r="G13" s="19"/>
    </row>
    <row r="14" spans="1:7" ht="12.75">
      <c r="A14" s="3">
        <v>7</v>
      </c>
      <c r="B14" s="14"/>
      <c r="C14" s="21"/>
      <c r="D14" s="16"/>
      <c r="E14" s="17"/>
      <c r="F14" s="18"/>
      <c r="G14" s="19"/>
    </row>
    <row r="15" spans="1:7" ht="12.75">
      <c r="A15" s="3">
        <v>8</v>
      </c>
      <c r="B15" s="14"/>
      <c r="C15" s="21"/>
      <c r="D15" s="16"/>
      <c r="E15" s="17"/>
      <c r="F15" s="18"/>
      <c r="G15" s="19"/>
    </row>
    <row r="16" spans="1:7" ht="12.75">
      <c r="A16" s="3">
        <v>9</v>
      </c>
      <c r="B16" s="14"/>
      <c r="C16" s="21"/>
      <c r="D16" s="16"/>
      <c r="E16" s="17"/>
      <c r="F16" s="18"/>
      <c r="G16" s="19"/>
    </row>
    <row r="17" spans="1:7" ht="12.75">
      <c r="A17" s="3">
        <v>10</v>
      </c>
      <c r="B17" s="14"/>
      <c r="C17" s="21"/>
      <c r="D17" s="16"/>
      <c r="E17" s="17"/>
      <c r="F17" s="18">
        <f>C17-E17</f>
        <v>0</v>
      </c>
      <c r="G17" s="22"/>
    </row>
    <row r="18" spans="1:7" ht="12.75">
      <c r="A18" s="3">
        <v>11</v>
      </c>
      <c r="B18" s="14"/>
      <c r="C18" s="21"/>
      <c r="D18" s="16"/>
      <c r="E18" s="17"/>
      <c r="F18" s="18">
        <f>C18-E18</f>
        <v>0</v>
      </c>
      <c r="G18" s="22"/>
    </row>
    <row r="19" spans="1:10" ht="12.75">
      <c r="A19" s="3">
        <v>12</v>
      </c>
      <c r="B19" s="14"/>
      <c r="C19" s="21"/>
      <c r="D19" s="16"/>
      <c r="E19" s="17"/>
      <c r="F19" s="18">
        <f>C19-E19</f>
        <v>0</v>
      </c>
      <c r="G19" s="22"/>
      <c r="J19" s="20"/>
    </row>
    <row r="20" spans="1:7" ht="12.75">
      <c r="A20" s="23"/>
      <c r="B20" s="24"/>
      <c r="C20" s="25"/>
      <c r="D20" s="26"/>
      <c r="E20" s="27"/>
      <c r="F20" s="28"/>
      <c r="G20" s="29"/>
    </row>
    <row r="21" spans="1:1" ht="12.75">
      <c r="A21" t="s">
        <v>15</v>
      </c>
    </row>
    <row r="22" spans="1:1" ht="15">
      <c r="A22" s="30" t="s">
        <v>3</v>
      </c>
    </row>
    <row r="26" spans="1:1" ht="12.75">
      <c r="A26" s="31" t="s">
        <v>0</v>
      </c>
    </row>
  </sheetData>
  <sheetProtection/>
  <mergeCells count="5">
    <mergeCell ref="A1:B1"/>
    <mergeCell ref="A2:B2"/>
    <mergeCell ref="A3:B3"/>
    <mergeCell ref="A5:G5"/>
    <mergeCell ref="D6:E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9DDC8B27-2F34-47D2-B1CB-B0C8600EB9AB}">
  <sheetPr codeName="Sheet6"/>
  <dimension ref="A1:L16"/>
  <sheetViews>
    <sheetView view="pageBreakPreview" zoomScale="84" zoomScaleNormal="64" zoomScaleSheetLayoutView="84" workbookViewId="0" topLeftCell="A1">
      <selection pane="topLeft" activeCell="H7" sqref="H7"/>
    </sheetView>
  </sheetViews>
  <sheetFormatPr defaultRowHeight="12.75"/>
  <cols>
    <col min="1" max="1" width="7.14285714285714" customWidth="1"/>
    <col min="2" max="2" width="24.4285714285714" customWidth="1"/>
    <col min="3" max="12" width="14.8571428571429" customWidth="1"/>
  </cols>
  <sheetData>
    <row r="1" spans="1:12" ht="21">
      <c r="A1" s="534" t="s">
        <v>95</v>
      </c>
      <c r="B1" s="534"/>
      <c r="C1" s="534"/>
      <c r="D1" s="534"/>
      <c r="E1" s="534"/>
      <c r="F1" s="534"/>
      <c r="G1" s="534"/>
      <c r="H1" s="534"/>
      <c r="I1" s="534"/>
      <c r="J1" s="534"/>
      <c r="K1" s="534"/>
      <c r="L1" s="534"/>
    </row>
    <row r="2" spans="1:12" ht="21">
      <c r="A2" s="534" t="s">
        <v>144</v>
      </c>
      <c r="B2" s="534"/>
      <c r="C2" s="534"/>
      <c r="D2" s="534"/>
      <c r="E2" s="534"/>
      <c r="F2" s="534"/>
      <c r="G2" s="534"/>
      <c r="H2" s="534"/>
      <c r="I2" s="534"/>
      <c r="J2" s="534"/>
      <c r="K2" s="534"/>
      <c r="L2" s="534"/>
    </row>
    <row r="3" spans="1:12" ht="18.75">
      <c r="A3" s="529" t="str">
        <f>"(Period From "&amp;'WORKING SHEET'!B1&amp;")"</f>
        <v>(Period From 01 Oct 2025 To 31 Oct 2025)</v>
      </c>
      <c r="B3" s="529"/>
      <c r="C3" s="529"/>
      <c r="D3" s="529"/>
      <c r="E3" s="529"/>
      <c r="F3" s="529"/>
      <c r="G3" s="529"/>
      <c r="H3" s="529"/>
      <c r="I3" s="529"/>
      <c r="J3" s="529"/>
      <c r="K3" s="529"/>
      <c r="L3" s="529"/>
    </row>
    <row r="4" spans="1:12" ht="18.75">
      <c r="A4" s="528" t="s">
        <v>96</v>
      </c>
      <c r="B4" s="528"/>
      <c r="C4" s="528"/>
      <c r="D4" s="528"/>
      <c r="E4" s="528"/>
      <c r="F4" s="528"/>
      <c r="G4" s="528"/>
      <c r="H4" s="528"/>
      <c r="I4" s="528"/>
      <c r="J4" s="528"/>
      <c r="K4" s="528"/>
      <c r="L4" s="528"/>
    </row>
    <row r="5" spans="1:12" ht="18.75">
      <c r="A5" s="114"/>
      <c r="B5" s="114"/>
      <c r="C5" s="114"/>
      <c r="D5" s="114"/>
      <c r="E5" s="114"/>
      <c r="F5" s="114"/>
      <c r="G5" s="114"/>
      <c r="H5" s="114"/>
      <c r="I5" s="114"/>
      <c r="J5" s="114"/>
      <c r="K5" s="114"/>
      <c r="L5" s="114"/>
    </row>
    <row r="6" spans="1:12" ht="64.5" customHeight="1">
      <c r="A6" s="112" t="s">
        <v>134</v>
      </c>
      <c r="B6" s="112" t="s">
        <v>135</v>
      </c>
      <c r="C6" s="113" t="s">
        <v>136</v>
      </c>
      <c r="D6" s="113" t="s">
        <v>143</v>
      </c>
      <c r="E6" s="113" t="s">
        <v>142</v>
      </c>
      <c r="F6" s="113" t="s">
        <v>373</v>
      </c>
      <c r="G6" s="113" t="s">
        <v>137</v>
      </c>
      <c r="H6" s="113" t="s">
        <v>138</v>
      </c>
      <c r="I6" s="113" t="s">
        <v>139</v>
      </c>
      <c r="J6" s="113" t="s">
        <v>169</v>
      </c>
      <c r="K6" s="113" t="s">
        <v>170</v>
      </c>
      <c r="L6" s="113" t="s">
        <v>140</v>
      </c>
    </row>
    <row r="7" spans="1:12" ht="57.75" customHeight="1">
      <c r="A7" s="135">
        <v>1</v>
      </c>
      <c r="B7" s="136" t="s">
        <v>163</v>
      </c>
      <c r="C7" s="135" t="s">
        <v>162</v>
      </c>
      <c r="D7" s="137">
        <v>4</v>
      </c>
      <c r="E7" s="138">
        <f>'WORKING SHEET'!B11</f>
        <v>897</v>
      </c>
      <c r="F7" s="138">
        <f>'WORKING SHEET'!B12</f>
        <v>981</v>
      </c>
      <c r="G7" s="138">
        <f>F7-E7</f>
        <v>84</v>
      </c>
      <c r="H7" s="140">
        <f>SUMIFS('FORM B-(Wage Reg.)'!$F$23:$F$54,'FORM B-(Wage Reg.)'!$D$23:$D$54,DIFF!F7)</f>
        <v>104</v>
      </c>
      <c r="I7" s="138">
        <f>G7*H7</f>
        <v>8736</v>
      </c>
      <c r="J7" s="138">
        <f>I7*13%</f>
        <v>1135.6800000000001</v>
      </c>
      <c r="K7" s="138">
        <v>0</v>
      </c>
      <c r="L7" s="139">
        <f>+I7+J7+K7</f>
        <v>9871.6800000000003</v>
      </c>
    </row>
    <row r="8" spans="1:12" s="1" customFormat="1" ht="48.75" customHeight="1">
      <c r="A8" s="134">
        <v>2</v>
      </c>
      <c r="B8" s="57" t="s">
        <v>164</v>
      </c>
      <c r="C8" s="134" t="s">
        <v>162</v>
      </c>
      <c r="D8" s="115">
        <v>15</v>
      </c>
      <c r="E8" s="140">
        <f>'WORKING SHEET'!C11</f>
        <v>816</v>
      </c>
      <c r="F8" s="140">
        <f>'WORKING SHEET'!C12</f>
        <v>893</v>
      </c>
      <c r="G8" s="140">
        <f>F8-E8</f>
        <v>77</v>
      </c>
      <c r="H8" s="140">
        <f>SUMIFS('FORM B-(Wage Reg.)'!$F$23:$F$54,'FORM B-(Wage Reg.)'!$D$23:$D$54,DIFF!F8)</f>
        <v>390</v>
      </c>
      <c r="I8" s="140">
        <f>G8*H8</f>
        <v>30030</v>
      </c>
      <c r="J8" s="140">
        <f>I8*13%</f>
        <v>3903.9000000000001</v>
      </c>
      <c r="K8" s="140">
        <v>0</v>
      </c>
      <c r="L8" s="141">
        <f>+I8+J8+K8</f>
        <v>33933.900000000001</v>
      </c>
    </row>
    <row r="9" spans="1:12" ht="39.95" customHeight="1">
      <c r="A9" s="530" t="s">
        <v>141</v>
      </c>
      <c r="B9" s="531"/>
      <c r="C9" s="531"/>
      <c r="D9" s="531"/>
      <c r="E9" s="531"/>
      <c r="F9" s="531"/>
      <c r="G9" s="531"/>
      <c r="H9" s="531"/>
      <c r="I9" s="531"/>
      <c r="J9" s="531"/>
      <c r="K9" s="532"/>
      <c r="L9" s="178">
        <f>SUM(L7:L8)</f>
        <v>43805.580000000002</v>
      </c>
    </row>
    <row r="10" spans="1:12" ht="15.75">
      <c r="A10" s="58"/>
      <c r="B10" s="58"/>
      <c r="C10" s="58"/>
      <c r="D10" s="58"/>
      <c r="E10" s="58"/>
      <c r="F10" s="58"/>
      <c r="G10" s="58"/>
      <c r="H10" s="58"/>
      <c r="I10" s="58"/>
      <c r="J10" s="58"/>
      <c r="K10" s="58"/>
      <c r="L10" s="58"/>
    </row>
    <row r="11" spans="1:12" ht="15.75">
      <c r="A11" s="58"/>
      <c r="B11" s="58"/>
      <c r="C11" s="58"/>
      <c r="D11" s="58"/>
      <c r="E11" s="58"/>
      <c r="F11" s="58"/>
      <c r="G11" s="58"/>
      <c r="H11" s="58"/>
      <c r="I11" s="58"/>
      <c r="J11" s="58"/>
      <c r="K11" s="58"/>
      <c r="L11" s="58"/>
    </row>
    <row r="12" spans="1:12" ht="15.75">
      <c r="A12" s="58"/>
      <c r="B12" s="58"/>
      <c r="C12" s="58"/>
      <c r="D12" s="58"/>
      <c r="E12" s="58"/>
      <c r="F12" s="58"/>
      <c r="G12" s="58"/>
      <c r="H12" s="58"/>
      <c r="I12" s="58"/>
      <c r="J12" s="58"/>
      <c r="K12" s="58"/>
      <c r="L12" s="58"/>
    </row>
    <row r="13" spans="1:12" ht="15.75">
      <c r="A13" s="58"/>
      <c r="B13" s="58"/>
      <c r="C13" s="58"/>
      <c r="D13" s="58"/>
      <c r="E13" s="58"/>
      <c r="F13" s="58"/>
      <c r="G13" s="58"/>
      <c r="H13" s="58"/>
      <c r="I13" s="58"/>
      <c r="J13" s="58"/>
      <c r="K13" s="58"/>
      <c r="L13" s="58"/>
    </row>
    <row r="14" spans="1:12" ht="15.75">
      <c r="A14" s="58"/>
      <c r="B14" s="58"/>
      <c r="C14" s="58"/>
      <c r="D14" s="58"/>
      <c r="E14" s="58"/>
      <c r="F14" s="58"/>
      <c r="G14" s="58"/>
      <c r="H14" s="58"/>
      <c r="I14" s="58"/>
      <c r="J14" s="58"/>
      <c r="K14" s="58"/>
      <c r="L14" s="58"/>
    </row>
    <row r="15" spans="1:12" ht="15.75">
      <c r="A15" s="58"/>
      <c r="B15" s="58"/>
      <c r="C15" s="58"/>
      <c r="D15" s="58"/>
      <c r="E15" s="58"/>
      <c r="F15" s="58"/>
      <c r="G15" s="58"/>
      <c r="H15" s="58"/>
      <c r="I15" s="58"/>
      <c r="J15" s="58"/>
      <c r="K15" s="58"/>
      <c r="L15" s="58"/>
    </row>
    <row r="16" spans="1:12" ht="15.75">
      <c r="A16" s="533" t="s">
        <v>130</v>
      </c>
      <c r="B16" s="533"/>
      <c r="C16" s="533"/>
      <c r="D16" s="59"/>
      <c r="E16" s="59"/>
      <c r="F16" s="59"/>
      <c r="G16" s="59"/>
      <c r="H16" s="59"/>
      <c r="I16" s="533" t="s">
        <v>192</v>
      </c>
      <c r="J16" s="533"/>
      <c r="K16" s="533"/>
      <c r="L16" s="533"/>
    </row>
  </sheetData>
  <sheetProtection/>
  <mergeCells count="7">
    <mergeCell ref="A4:L4"/>
    <mergeCell ref="A3:L3"/>
    <mergeCell ref="A9:K9"/>
    <mergeCell ref="A16:C16"/>
    <mergeCell ref="I16:L16"/>
    <mergeCell ref="A1:L1"/>
    <mergeCell ref="A2:L2"/>
  </mergeCells>
  <printOptions horizontalCentered="1"/>
  <pageMargins left="0.25" right="0.25" top="0.75" bottom="0.75" header="0.3" footer="0.3"/>
  <pageSetup orientation="landscape" paperSize="1" scale="75"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4AED8F9F-C57B-4E8A-B459-CB8B45F7B9AB}">
  <sheetPr codeName="Sheet7">
    <tabColor rgb="FF92D050"/>
    <pageSetUpPr fitToPage="1"/>
  </sheetPr>
  <dimension ref="A1:AH44"/>
  <sheetViews>
    <sheetView view="pageBreakPreview" zoomScale="89" zoomScaleNormal="60" zoomScaleSheetLayoutView="89" workbookViewId="0" topLeftCell="B21">
      <selection pane="topLeft" activeCell="AA17" sqref="AA17"/>
    </sheetView>
  </sheetViews>
  <sheetFormatPr defaultRowHeight="12.75"/>
  <cols>
    <col min="1" max="1" width="9.71428571428571" customWidth="1"/>
    <col min="2" max="2" width="14.4285714285714" customWidth="1"/>
    <col min="3" max="3" width="26" customWidth="1"/>
    <col min="4" max="4" width="9.28571428571429" bestFit="1" customWidth="1"/>
    <col min="5" max="5" width="10.1428571428571" bestFit="1" customWidth="1"/>
    <col min="6" max="6" width="10" customWidth="1"/>
    <col min="7" max="7" width="7.14285714285714" customWidth="1"/>
    <col min="8" max="8" width="9.57142857142857" customWidth="1"/>
    <col min="9" max="9" width="7.42857142857143" customWidth="1"/>
    <col min="10" max="10" width="8.28571428571429" customWidth="1"/>
    <col min="11" max="11" width="5.42857142857143" customWidth="1"/>
    <col min="12" max="12" width="7.14285714285714" bestFit="1" customWidth="1"/>
    <col min="13" max="16" width="7.85714285714286" customWidth="1"/>
    <col min="17" max="17" width="12" customWidth="1"/>
    <col min="18" max="18" width="9.57142857142857" customWidth="1"/>
    <col min="19" max="19" width="4.85714285714286" bestFit="1" customWidth="1"/>
    <col min="20" max="20" width="4.28571428571429" bestFit="1" customWidth="1"/>
    <col min="21" max="21" width="7.14285714285714" bestFit="1" customWidth="1"/>
    <col min="22" max="22" width="4.28571428571429" bestFit="1" customWidth="1"/>
    <col min="23" max="23" width="8" bestFit="1" customWidth="1"/>
    <col min="24" max="24" width="6.57142857142857" customWidth="1"/>
    <col min="25" max="25" width="8.42857142857143" customWidth="1"/>
    <col min="26" max="26" width="12.2857142857143" customWidth="1"/>
    <col min="27" max="27" width="13.4285714285714" customWidth="1"/>
    <col min="28" max="28" width="14.7142857142857" customWidth="1"/>
    <col min="29" max="29" width="14.2857142857143" customWidth="1"/>
    <col min="30" max="30" width="17.5714285714286" customWidth="1"/>
    <col min="31" max="31" width="8.42857142857143" bestFit="1" customWidth="1"/>
    <col min="32" max="33" width="17.5714285714286" customWidth="1"/>
  </cols>
  <sheetData>
    <row r="1" spans="1:34" ht="18.75">
      <c r="A1" s="535" t="s">
        <v>368</v>
      </c>
      <c r="B1" s="535"/>
      <c r="C1" s="536"/>
      <c r="D1" s="536"/>
      <c r="E1" s="536"/>
      <c r="F1" s="536"/>
      <c r="G1" s="536"/>
      <c r="H1" s="536"/>
      <c r="I1" s="536"/>
      <c r="J1" s="536"/>
      <c r="K1" s="536"/>
      <c r="L1" s="536"/>
      <c r="M1" s="536"/>
      <c r="N1" s="536"/>
      <c r="O1" s="536"/>
      <c r="P1" s="536"/>
      <c r="Q1" s="536"/>
      <c r="R1" s="536"/>
      <c r="S1" s="536"/>
      <c r="T1" s="536"/>
      <c r="U1" s="536"/>
      <c r="V1" s="536"/>
      <c r="W1" s="536"/>
      <c r="X1" s="536"/>
      <c r="Y1" s="536"/>
      <c r="Z1" s="536"/>
      <c r="AA1" s="536"/>
      <c r="AB1" s="536"/>
      <c r="AC1" s="536"/>
      <c r="AD1" s="536"/>
      <c r="AG1" s="222" t="s">
        <v>200</v>
      </c>
      <c r="AH1" s="222"/>
    </row>
    <row r="2" spans="1:34" ht="18.75">
      <c r="A2" s="535" t="s">
        <v>201</v>
      </c>
      <c r="B2" s="535"/>
      <c r="C2" s="535"/>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G2" s="222"/>
      <c r="AH2" s="222"/>
    </row>
    <row r="3" spans="1:34" ht="10.5" customHeight="1">
      <c r="A3" s="223"/>
      <c r="B3" s="223"/>
      <c r="C3" s="224"/>
      <c r="D3" s="224"/>
      <c r="E3" s="224"/>
      <c r="F3" s="224"/>
      <c r="G3" s="224"/>
      <c r="H3" s="224"/>
      <c r="I3" s="224"/>
      <c r="J3" s="224"/>
      <c r="K3" s="224"/>
      <c r="L3" s="224"/>
      <c r="M3" s="224"/>
      <c r="N3" s="249"/>
      <c r="O3" s="224"/>
      <c r="P3" s="224"/>
      <c r="Q3" s="224"/>
      <c r="R3" s="224"/>
      <c r="S3" s="224"/>
      <c r="T3" s="224"/>
      <c r="U3" s="224"/>
      <c r="V3" s="224"/>
      <c r="W3" s="224"/>
      <c r="X3" s="224"/>
      <c r="Y3" s="224"/>
      <c r="Z3" s="224"/>
      <c r="AA3" s="224"/>
      <c r="AB3" s="224"/>
      <c r="AC3" s="224"/>
      <c r="AD3" s="224"/>
      <c r="AG3" s="222"/>
      <c r="AH3" s="222"/>
    </row>
    <row r="4" spans="1:34" s="225" customFormat="1" ht="30.75" customHeight="1">
      <c r="A4" s="537" t="s">
        <v>372</v>
      </c>
      <c r="B4" s="537"/>
      <c r="C4" s="537"/>
      <c r="D4" s="537"/>
      <c r="E4" s="537"/>
      <c r="F4" s="537"/>
      <c r="G4" s="537"/>
      <c r="H4" s="537"/>
      <c r="I4" s="537"/>
      <c r="J4" s="537"/>
      <c r="K4" s="537"/>
      <c r="L4" s="537"/>
      <c r="M4" s="537"/>
      <c r="N4" s="537"/>
      <c r="O4" s="537"/>
      <c r="P4" s="537"/>
      <c r="Q4" s="537"/>
      <c r="R4" s="537"/>
      <c r="S4" s="537"/>
      <c r="T4" s="537"/>
      <c r="U4" s="537"/>
      <c r="V4" s="537"/>
      <c r="W4" s="537"/>
      <c r="X4" s="537"/>
      <c r="Y4" s="537"/>
      <c r="Z4" s="537"/>
      <c r="AA4" s="537"/>
      <c r="AB4" s="537"/>
      <c r="AC4" s="537"/>
      <c r="AD4" s="537"/>
      <c r="AG4" s="226">
        <v>1</v>
      </c>
      <c r="AH4" s="6" t="s">
        <v>202</v>
      </c>
    </row>
    <row r="5" spans="1:34" s="227" customFormat="1" ht="22.5" customHeight="1">
      <c r="A5" s="537"/>
      <c r="B5" s="537"/>
      <c r="C5" s="537"/>
      <c r="D5" s="537"/>
      <c r="E5" s="537"/>
      <c r="F5" s="537"/>
      <c r="G5" s="537"/>
      <c r="H5" s="538" t="s">
        <v>203</v>
      </c>
      <c r="I5" s="539"/>
      <c r="J5" s="539"/>
      <c r="K5" s="539"/>
      <c r="L5" s="539"/>
      <c r="M5" s="538" t="s">
        <v>204</v>
      </c>
      <c r="N5" s="539"/>
      <c r="O5" s="539"/>
      <c r="P5" s="539"/>
      <c r="Q5" s="539"/>
      <c r="R5" s="539"/>
      <c r="S5" s="539"/>
      <c r="T5" s="540"/>
      <c r="U5" s="537" t="s">
        <v>205</v>
      </c>
      <c r="V5" s="537"/>
      <c r="W5" s="537"/>
      <c r="X5" s="537"/>
      <c r="Y5" s="537"/>
      <c r="Z5" s="537" t="s">
        <v>206</v>
      </c>
      <c r="AA5" s="537"/>
      <c r="AB5" s="537"/>
      <c r="AC5" s="537"/>
      <c r="AD5" s="537"/>
      <c r="AG5" s="226">
        <v>2</v>
      </c>
      <c r="AH5" s="6" t="s">
        <v>207</v>
      </c>
    </row>
    <row r="6" spans="1:34" s="227" customFormat="1" ht="22.5" customHeight="1">
      <c r="A6" s="380" t="s">
        <v>369</v>
      </c>
      <c r="B6" s="380"/>
      <c r="C6" s="380"/>
      <c r="D6" s="380"/>
      <c r="E6" s="380"/>
      <c r="F6" s="380"/>
      <c r="G6" s="380"/>
      <c r="H6" s="541" t="s">
        <v>371</v>
      </c>
      <c r="I6" s="542"/>
      <c r="J6" s="542"/>
      <c r="K6" s="542"/>
      <c r="L6" s="542"/>
      <c r="M6" s="541" t="s">
        <v>370</v>
      </c>
      <c r="N6" s="542"/>
      <c r="O6" s="542"/>
      <c r="P6" s="542"/>
      <c r="Q6" s="542"/>
      <c r="R6" s="542"/>
      <c r="S6" s="542"/>
      <c r="T6" s="545"/>
      <c r="U6" s="547" t="s">
        <v>109</v>
      </c>
      <c r="V6" s="547"/>
      <c r="W6" s="547"/>
      <c r="X6" s="547"/>
      <c r="Y6" s="547"/>
      <c r="Z6" s="547" t="s">
        <v>109</v>
      </c>
      <c r="AA6" s="547"/>
      <c r="AB6" s="547"/>
      <c r="AC6" s="547"/>
      <c r="AD6" s="547"/>
      <c r="AG6" s="226">
        <v>3</v>
      </c>
      <c r="AH6" s="6" t="s">
        <v>208</v>
      </c>
    </row>
    <row r="7" spans="1:34" s="227" customFormat="1" ht="22.5" customHeight="1">
      <c r="A7" s="380" t="s">
        <v>209</v>
      </c>
      <c r="B7" s="380"/>
      <c r="C7" s="380"/>
      <c r="D7" s="380"/>
      <c r="E7" s="380"/>
      <c r="F7" s="380"/>
      <c r="G7" s="380"/>
      <c r="H7" s="543"/>
      <c r="I7" s="544"/>
      <c r="J7" s="544"/>
      <c r="K7" s="544"/>
      <c r="L7" s="544"/>
      <c r="M7" s="543"/>
      <c r="N7" s="544"/>
      <c r="O7" s="544"/>
      <c r="P7" s="544"/>
      <c r="Q7" s="544"/>
      <c r="R7" s="544"/>
      <c r="S7" s="544"/>
      <c r="T7" s="546"/>
      <c r="U7" s="547"/>
      <c r="V7" s="547"/>
      <c r="W7" s="547"/>
      <c r="X7" s="547"/>
      <c r="Y7" s="547"/>
      <c r="Z7" s="547"/>
      <c r="AA7" s="547"/>
      <c r="AB7" s="547"/>
      <c r="AC7" s="547"/>
      <c r="AD7" s="547"/>
      <c r="AG7" s="226">
        <v>4</v>
      </c>
      <c r="AH7" s="6" t="s">
        <v>210</v>
      </c>
    </row>
    <row r="8" spans="1:34" s="227" customFormat="1" ht="22.5" customHeight="1">
      <c r="A8" s="380" t="s">
        <v>211</v>
      </c>
      <c r="B8" s="380"/>
      <c r="C8" s="380"/>
      <c r="D8" s="380"/>
      <c r="E8" s="380"/>
      <c r="F8" s="380"/>
      <c r="G8" s="380"/>
      <c r="H8" s="548"/>
      <c r="I8" s="549"/>
      <c r="J8" s="549"/>
      <c r="K8" s="549"/>
      <c r="L8" s="549"/>
      <c r="M8" s="548"/>
      <c r="N8" s="549"/>
      <c r="O8" s="549"/>
      <c r="P8" s="549"/>
      <c r="Q8" s="549"/>
      <c r="R8" s="549"/>
      <c r="S8" s="549"/>
      <c r="T8" s="550"/>
      <c r="U8" s="551"/>
      <c r="V8" s="537"/>
      <c r="W8" s="537"/>
      <c r="X8" s="537"/>
      <c r="Y8" s="537"/>
      <c r="Z8" s="551"/>
      <c r="AA8" s="551"/>
      <c r="AB8" s="551"/>
      <c r="AC8" s="551"/>
      <c r="AD8" s="551"/>
      <c r="AG8" s="226">
        <v>5</v>
      </c>
      <c r="AH8" s="6" t="s">
        <v>212</v>
      </c>
    </row>
    <row r="9" spans="1:34" s="227" customFormat="1" ht="13.5" customHeight="1">
      <c r="A9" s="216"/>
      <c r="B9" s="216"/>
      <c r="C9" s="216"/>
      <c r="D9" s="216"/>
      <c r="E9" s="216"/>
      <c r="F9" s="216"/>
      <c r="G9" s="216"/>
      <c r="H9" s="228"/>
      <c r="I9" s="228"/>
      <c r="J9" s="228"/>
      <c r="K9" s="228"/>
      <c r="L9" s="228"/>
      <c r="M9" s="228"/>
      <c r="N9" s="228"/>
      <c r="O9" s="228"/>
      <c r="P9" s="228"/>
      <c r="Q9" s="226"/>
      <c r="R9" s="226"/>
      <c r="S9" s="226"/>
      <c r="T9" s="226"/>
      <c r="U9" s="228"/>
      <c r="V9" s="226"/>
      <c r="W9" s="226"/>
      <c r="X9" s="226"/>
      <c r="Y9" s="226"/>
      <c r="Z9" s="228"/>
      <c r="AA9" s="228"/>
      <c r="AB9" s="228"/>
      <c r="AC9" s="228"/>
      <c r="AD9" s="228"/>
      <c r="AG9" s="226"/>
      <c r="AH9" s="6"/>
    </row>
    <row r="10" spans="1:34" s="227" customFormat="1" ht="30" customHeight="1">
      <c r="A10" s="552" t="s">
        <v>213</v>
      </c>
      <c r="B10" s="552"/>
      <c r="C10" s="552"/>
      <c r="D10" s="552"/>
      <c r="E10" s="552"/>
      <c r="F10" s="552"/>
      <c r="G10" s="552"/>
      <c r="H10" s="552"/>
      <c r="I10" s="229" t="s">
        <v>214</v>
      </c>
      <c r="J10" s="552" t="s">
        <v>46</v>
      </c>
      <c r="K10" s="552"/>
      <c r="L10" s="552"/>
      <c r="M10" s="552"/>
      <c r="N10" s="552"/>
      <c r="O10" s="552"/>
      <c r="P10" s="552"/>
      <c r="Q10" s="552"/>
      <c r="R10" s="552"/>
      <c r="S10" s="552"/>
      <c r="T10" s="552"/>
      <c r="U10" s="552"/>
      <c r="V10" s="552"/>
      <c r="W10" s="552"/>
      <c r="X10" s="552"/>
      <c r="Y10" s="552"/>
      <c r="Z10" s="552"/>
      <c r="AA10" s="552"/>
      <c r="AB10" s="552"/>
      <c r="AC10" s="552"/>
      <c r="AD10" s="552"/>
      <c r="AG10" s="226">
        <v>6</v>
      </c>
      <c r="AH10" s="6" t="s">
        <v>215</v>
      </c>
    </row>
    <row r="11" spans="1:34" s="227" customFormat="1" ht="11.25" customHeight="1">
      <c r="A11" s="230"/>
      <c r="B11" s="230"/>
      <c r="C11" s="230"/>
      <c r="D11" s="230"/>
      <c r="E11" s="230"/>
      <c r="F11" s="230"/>
      <c r="G11" s="230"/>
      <c r="H11" s="230"/>
      <c r="I11" s="230"/>
      <c r="J11" s="230"/>
      <c r="K11" s="230"/>
      <c r="L11" s="230"/>
      <c r="M11" s="230"/>
      <c r="N11" s="247"/>
      <c r="O11" s="230"/>
      <c r="P11" s="230"/>
      <c r="Q11" s="230"/>
      <c r="R11" s="231"/>
      <c r="S11" s="235"/>
      <c r="T11" s="235"/>
      <c r="U11" s="235"/>
      <c r="V11" s="235"/>
      <c r="W11" s="235"/>
      <c r="X11" s="196"/>
      <c r="Y11" s="232"/>
      <c r="Z11" s="233"/>
      <c r="AA11" s="234"/>
      <c r="AB11" s="232"/>
      <c r="AC11" s="232"/>
      <c r="AD11" s="198"/>
      <c r="AG11" s="226"/>
      <c r="AH11" s="6"/>
    </row>
    <row r="12" spans="1:34" s="227" customFormat="1" ht="30" customHeight="1">
      <c r="A12" s="553" t="s">
        <v>216</v>
      </c>
      <c r="B12" s="553"/>
      <c r="C12" s="553"/>
      <c r="D12" s="553"/>
      <c r="E12" s="553"/>
      <c r="F12" s="553"/>
      <c r="G12" s="553"/>
      <c r="H12" s="553"/>
      <c r="I12" s="229" t="s">
        <v>214</v>
      </c>
      <c r="J12" s="552" t="s">
        <v>217</v>
      </c>
      <c r="K12" s="552"/>
      <c r="L12" s="552"/>
      <c r="M12" s="552"/>
      <c r="N12" s="552"/>
      <c r="O12" s="552"/>
      <c r="P12" s="552"/>
      <c r="Q12" s="552"/>
      <c r="R12" s="552"/>
      <c r="S12" s="552"/>
      <c r="T12" s="552"/>
      <c r="U12" s="552"/>
      <c r="V12" s="552"/>
      <c r="W12" s="552"/>
      <c r="X12" s="552"/>
      <c r="Y12" s="552"/>
      <c r="Z12" s="552"/>
      <c r="AA12" s="552"/>
      <c r="AB12" s="552"/>
      <c r="AC12" s="552"/>
      <c r="AD12" s="552"/>
      <c r="AG12" s="226">
        <v>7</v>
      </c>
      <c r="AH12" s="6" t="s">
        <v>218</v>
      </c>
    </row>
    <row r="13" spans="1:34" s="227" customFormat="1" ht="8.25" customHeight="1">
      <c r="A13" s="236"/>
      <c r="B13" s="236"/>
      <c r="C13" s="236"/>
      <c r="D13" s="236"/>
      <c r="E13" s="236"/>
      <c r="F13" s="236"/>
      <c r="G13" s="236"/>
      <c r="H13" s="236"/>
      <c r="I13" s="236"/>
      <c r="J13" s="236"/>
      <c r="K13" s="236"/>
      <c r="L13" s="236"/>
      <c r="M13" s="236"/>
      <c r="N13" s="236"/>
      <c r="O13" s="236"/>
      <c r="P13" s="236"/>
      <c r="Q13" s="236"/>
      <c r="R13" s="198"/>
      <c r="S13" s="198"/>
      <c r="T13" s="198"/>
      <c r="U13" s="198"/>
      <c r="V13" s="198"/>
      <c r="W13" s="198"/>
      <c r="X13" s="198"/>
      <c r="Y13" s="198"/>
      <c r="Z13" s="198"/>
      <c r="AA13" s="198"/>
      <c r="AB13" s="198"/>
      <c r="AC13" s="198"/>
      <c r="AD13" s="198"/>
      <c r="AG13" s="226"/>
      <c r="AH13" s="6"/>
    </row>
    <row r="14" spans="1:34" s="227" customFormat="1" ht="30" customHeight="1">
      <c r="A14" s="552" t="s">
        <v>219</v>
      </c>
      <c r="B14" s="552"/>
      <c r="C14" s="552"/>
      <c r="D14" s="552"/>
      <c r="E14" s="552"/>
      <c r="F14" s="552"/>
      <c r="G14" s="552"/>
      <c r="H14" s="552"/>
      <c r="I14" s="229" t="s">
        <v>214</v>
      </c>
      <c r="J14" s="552" t="s">
        <v>220</v>
      </c>
      <c r="K14" s="552"/>
      <c r="L14" s="552"/>
      <c r="M14" s="552"/>
      <c r="N14" s="552"/>
      <c r="O14" s="552"/>
      <c r="P14" s="552"/>
      <c r="Q14" s="552"/>
      <c r="R14" s="552"/>
      <c r="S14" s="552"/>
      <c r="T14" s="552"/>
      <c r="U14" s="552"/>
      <c r="V14" s="552"/>
      <c r="W14" s="552"/>
      <c r="X14" s="552"/>
      <c r="Y14" s="552"/>
      <c r="Z14" s="552"/>
      <c r="AA14" s="552"/>
      <c r="AB14" s="552"/>
      <c r="AC14" s="552"/>
      <c r="AD14" s="552"/>
      <c r="AG14" s="226"/>
      <c r="AH14" s="6"/>
    </row>
    <row r="15" spans="1:34" s="227" customFormat="1" ht="6" customHeight="1">
      <c r="A15" s="236"/>
      <c r="B15" s="236"/>
      <c r="C15" s="236"/>
      <c r="D15" s="236"/>
      <c r="E15" s="236"/>
      <c r="F15" s="236"/>
      <c r="G15" s="236"/>
      <c r="H15" s="236"/>
      <c r="I15" s="236"/>
      <c r="J15" s="236"/>
      <c r="K15" s="236"/>
      <c r="L15" s="236"/>
      <c r="M15" s="236"/>
      <c r="N15" s="236"/>
      <c r="O15" s="236"/>
      <c r="P15" s="236"/>
      <c r="Q15" s="236"/>
      <c r="R15" s="198"/>
      <c r="S15" s="198"/>
      <c r="T15" s="198"/>
      <c r="U15" s="198"/>
      <c r="V15" s="198"/>
      <c r="W15" s="198"/>
      <c r="X15" s="198"/>
      <c r="Y15" s="198"/>
      <c r="Z15" s="198"/>
      <c r="AA15" s="198"/>
      <c r="AB15" s="198"/>
      <c r="AC15" s="198"/>
      <c r="AD15" s="198"/>
      <c r="AG15" s="226"/>
      <c r="AH15" s="6"/>
    </row>
    <row r="16" spans="1:34" s="227" customFormat="1" ht="30" customHeight="1">
      <c r="A16" s="552" t="s">
        <v>221</v>
      </c>
      <c r="B16" s="552"/>
      <c r="C16" s="552"/>
      <c r="D16" s="552"/>
      <c r="E16" s="552"/>
      <c r="F16" s="552"/>
      <c r="G16" s="552"/>
      <c r="H16" s="552"/>
      <c r="I16" s="229" t="s">
        <v>214</v>
      </c>
      <c r="J16" s="552"/>
      <c r="K16" s="552"/>
      <c r="L16" s="552"/>
      <c r="M16" s="552"/>
      <c r="N16" s="552"/>
      <c r="O16" s="552"/>
      <c r="P16" s="552"/>
      <c r="Q16" s="552"/>
      <c r="R16" s="552"/>
      <c r="S16" s="552"/>
      <c r="T16" s="552"/>
      <c r="U16" s="552"/>
      <c r="V16" s="552"/>
      <c r="W16" s="552"/>
      <c r="X16" s="554" t="s">
        <v>222</v>
      </c>
      <c r="Y16" s="554"/>
      <c r="Z16" s="554"/>
      <c r="AA16" s="555" t="s">
        <v>377</v>
      </c>
      <c r="AB16" s="556"/>
      <c r="AC16" s="556"/>
      <c r="AD16" s="556"/>
      <c r="AG16" s="226"/>
      <c r="AH16" s="6"/>
    </row>
    <row r="17" spans="1:34" s="227" customFormat="1" ht="8.25" customHeight="1">
      <c r="A17" s="235"/>
      <c r="B17" s="235"/>
      <c r="C17" s="235"/>
      <c r="D17" s="235"/>
      <c r="E17" s="235"/>
      <c r="F17" s="235"/>
      <c r="G17" s="235"/>
      <c r="H17" s="235"/>
      <c r="I17" s="235"/>
      <c r="J17" s="235"/>
      <c r="K17" s="235"/>
      <c r="L17" s="235"/>
      <c r="M17" s="235"/>
      <c r="N17" s="248"/>
      <c r="O17" s="235"/>
      <c r="P17" s="235"/>
      <c r="Q17" s="235"/>
      <c r="R17" s="216"/>
      <c r="S17" s="216"/>
      <c r="T17" s="216"/>
      <c r="U17" s="216"/>
      <c r="V17" s="216"/>
      <c r="W17" s="198"/>
      <c r="X17" s="232"/>
      <c r="Y17" s="198"/>
      <c r="Z17" s="198"/>
      <c r="AA17" s="198"/>
      <c r="AB17" s="198"/>
      <c r="AC17" s="198"/>
      <c r="AD17" s="198"/>
      <c r="AG17" s="226"/>
      <c r="AH17" s="6"/>
    </row>
    <row r="18" spans="1:34" s="227" customFormat="1" ht="40.5" customHeight="1">
      <c r="A18" s="552" t="s">
        <v>223</v>
      </c>
      <c r="B18" s="552"/>
      <c r="C18" s="552"/>
      <c r="D18" s="552"/>
      <c r="E18" s="552"/>
      <c r="F18" s="552"/>
      <c r="G18" s="552"/>
      <c r="H18" s="552"/>
      <c r="I18" s="229" t="s">
        <v>214</v>
      </c>
      <c r="J18" s="552" t="s">
        <v>224</v>
      </c>
      <c r="K18" s="552"/>
      <c r="L18" s="552"/>
      <c r="M18" s="552"/>
      <c r="N18" s="552"/>
      <c r="O18" s="552"/>
      <c r="P18" s="552"/>
      <c r="Q18" s="552"/>
      <c r="R18" s="552"/>
      <c r="S18" s="552"/>
      <c r="T18" s="552"/>
      <c r="U18" s="552"/>
      <c r="V18" s="552"/>
      <c r="W18" s="552"/>
      <c r="X18" s="198" t="s">
        <v>225</v>
      </c>
      <c r="Y18" s="229"/>
      <c r="Z18" s="229"/>
      <c r="AA18" s="229"/>
      <c r="AB18" s="229"/>
      <c r="AC18" s="229"/>
      <c r="AD18" s="229"/>
      <c r="AG18" s="226"/>
      <c r="AH18" s="6"/>
    </row>
    <row r="19" spans="1:34" s="227" customFormat="1" ht="8.25" customHeight="1">
      <c r="A19" s="237"/>
      <c r="B19" s="237"/>
      <c r="C19" s="237"/>
      <c r="D19" s="237"/>
      <c r="E19" s="237"/>
      <c r="F19" s="237"/>
      <c r="G19" s="237"/>
      <c r="H19" s="237"/>
      <c r="I19" s="237"/>
      <c r="J19" s="237"/>
      <c r="K19" s="237"/>
      <c r="L19" s="237"/>
      <c r="M19" s="237"/>
      <c r="N19" s="237"/>
      <c r="O19" s="237"/>
      <c r="P19" s="237"/>
      <c r="Q19" s="237"/>
      <c r="R19" s="238"/>
      <c r="S19" s="238"/>
      <c r="T19" s="238"/>
      <c r="U19" s="238"/>
      <c r="V19" s="238"/>
      <c r="W19" s="238"/>
      <c r="X19" s="239"/>
      <c r="Y19" s="238"/>
      <c r="Z19" s="238"/>
      <c r="AA19" s="238"/>
      <c r="AB19" s="238"/>
      <c r="AC19" s="238"/>
      <c r="AD19" s="238"/>
      <c r="AG19" s="226"/>
      <c r="AH19" s="6"/>
    </row>
    <row r="20" spans="1:34" s="257" customFormat="1" ht="18.75">
      <c r="A20" s="557" t="s">
        <v>99</v>
      </c>
      <c r="B20" s="557" t="s">
        <v>226</v>
      </c>
      <c r="C20" s="559" t="s">
        <v>227</v>
      </c>
      <c r="D20" s="557" t="s">
        <v>228</v>
      </c>
      <c r="E20" s="557" t="s">
        <v>229</v>
      </c>
      <c r="F20" s="559" t="s">
        <v>230</v>
      </c>
      <c r="G20" s="560" t="s">
        <v>231</v>
      </c>
      <c r="H20" s="557" t="s">
        <v>232</v>
      </c>
      <c r="I20" s="557" t="s">
        <v>209</v>
      </c>
      <c r="J20" s="560" t="s">
        <v>233</v>
      </c>
      <c r="K20" s="560" t="s">
        <v>234</v>
      </c>
      <c r="L20" s="562" t="s">
        <v>235</v>
      </c>
      <c r="M20" s="562" t="s">
        <v>236</v>
      </c>
      <c r="N20" s="560" t="s">
        <v>374</v>
      </c>
      <c r="O20" s="560" t="s">
        <v>237</v>
      </c>
      <c r="P20" s="560" t="s">
        <v>238</v>
      </c>
      <c r="Q20" s="559" t="s">
        <v>239</v>
      </c>
      <c r="R20" s="563" t="s">
        <v>240</v>
      </c>
      <c r="S20" s="563"/>
      <c r="T20" s="563"/>
      <c r="U20" s="563"/>
      <c r="V20" s="563"/>
      <c r="W20" s="563"/>
      <c r="X20" s="563"/>
      <c r="Y20" s="563"/>
      <c r="Z20" s="559" t="s">
        <v>241</v>
      </c>
      <c r="AA20" s="559" t="s">
        <v>242</v>
      </c>
      <c r="AB20" s="559" t="s">
        <v>243</v>
      </c>
      <c r="AC20" s="559" t="s">
        <v>244</v>
      </c>
      <c r="AD20" s="559" t="s">
        <v>245</v>
      </c>
      <c r="AG20" s="256"/>
      <c r="AH20" s="258"/>
    </row>
    <row r="21" spans="1:30" s="257" customFormat="1" ht="101.25" customHeight="1">
      <c r="A21" s="558"/>
      <c r="B21" s="558"/>
      <c r="C21" s="559"/>
      <c r="D21" s="558"/>
      <c r="E21" s="558"/>
      <c r="F21" s="559"/>
      <c r="G21" s="561"/>
      <c r="H21" s="558"/>
      <c r="I21" s="558"/>
      <c r="J21" s="561"/>
      <c r="K21" s="561"/>
      <c r="L21" s="562"/>
      <c r="M21" s="562"/>
      <c r="N21" s="561"/>
      <c r="O21" s="561"/>
      <c r="P21" s="561"/>
      <c r="Q21" s="559"/>
      <c r="R21" s="259" t="s">
        <v>246</v>
      </c>
      <c r="S21" s="259" t="s">
        <v>247</v>
      </c>
      <c r="T21" s="259" t="s">
        <v>248</v>
      </c>
      <c r="U21" s="259" t="s">
        <v>249</v>
      </c>
      <c r="V21" s="259" t="s">
        <v>250</v>
      </c>
      <c r="W21" s="260" t="s">
        <v>251</v>
      </c>
      <c r="X21" s="259" t="s">
        <v>252</v>
      </c>
      <c r="Y21" s="260" t="s">
        <v>253</v>
      </c>
      <c r="Z21" s="559"/>
      <c r="AA21" s="559"/>
      <c r="AB21" s="559"/>
      <c r="AC21" s="559"/>
      <c r="AD21" s="559"/>
    </row>
    <row r="22" spans="1:30" s="264" customFormat="1" ht="18.75">
      <c r="A22" s="260">
        <v>1</v>
      </c>
      <c r="B22" s="260" t="s">
        <v>254</v>
      </c>
      <c r="C22" s="261">
        <v>2</v>
      </c>
      <c r="D22" s="262">
        <v>3</v>
      </c>
      <c r="E22" s="262" t="s">
        <v>255</v>
      </c>
      <c r="F22" s="261">
        <v>4</v>
      </c>
      <c r="G22" s="261">
        <v>5</v>
      </c>
      <c r="H22" s="261">
        <v>6</v>
      </c>
      <c r="I22" s="261">
        <v>7</v>
      </c>
      <c r="J22" s="261">
        <v>8</v>
      </c>
      <c r="K22" s="261">
        <v>9</v>
      </c>
      <c r="L22" s="261">
        <v>10</v>
      </c>
      <c r="M22" s="261" t="s">
        <v>256</v>
      </c>
      <c r="N22" s="261"/>
      <c r="O22" s="261" t="s">
        <v>257</v>
      </c>
      <c r="P22" s="261" t="s">
        <v>258</v>
      </c>
      <c r="Q22" s="261">
        <v>11</v>
      </c>
      <c r="R22" s="261">
        <v>12</v>
      </c>
      <c r="S22" s="261">
        <v>13</v>
      </c>
      <c r="T22" s="261">
        <v>14</v>
      </c>
      <c r="U22" s="261">
        <v>15</v>
      </c>
      <c r="V22" s="261">
        <v>16</v>
      </c>
      <c r="W22" s="263">
        <v>17</v>
      </c>
      <c r="X22" s="261">
        <v>18</v>
      </c>
      <c r="Y22" s="261">
        <v>19</v>
      </c>
      <c r="Z22" s="261">
        <v>20</v>
      </c>
      <c r="AA22" s="261">
        <v>21</v>
      </c>
      <c r="AB22" s="261">
        <v>22</v>
      </c>
      <c r="AC22" s="261">
        <v>23</v>
      </c>
      <c r="AD22" s="261">
        <v>24</v>
      </c>
    </row>
    <row r="23" spans="1:34" s="276" customFormat="1" ht="75">
      <c r="A23" s="265">
        <v>1</v>
      </c>
      <c r="B23" s="265" t="s">
        <v>259</v>
      </c>
      <c r="C23" s="266" t="s">
        <v>260</v>
      </c>
      <c r="D23" s="267">
        <v>893</v>
      </c>
      <c r="E23" s="268">
        <v>27683</v>
      </c>
      <c r="F23" s="269">
        <v>26</v>
      </c>
      <c r="G23" s="270"/>
      <c r="H23" s="268">
        <v>23218</v>
      </c>
      <c r="I23" s="268"/>
      <c r="J23" s="265"/>
      <c r="K23" s="265"/>
      <c r="L23" s="265"/>
      <c r="M23" s="265"/>
      <c r="N23" s="265"/>
      <c r="O23" s="265"/>
      <c r="P23" s="265"/>
      <c r="Q23" s="271">
        <v>23218</v>
      </c>
      <c r="R23" s="268">
        <v>1800</v>
      </c>
      <c r="S23" s="265"/>
      <c r="T23" s="265"/>
      <c r="U23" s="265"/>
      <c r="V23" s="265"/>
      <c r="W23" s="265"/>
      <c r="X23" s="268"/>
      <c r="Y23" s="271">
        <v>1800</v>
      </c>
      <c r="Z23" s="272">
        <v>21418</v>
      </c>
      <c r="AA23" s="268">
        <f>IF(H23&gt;15000,15000*13%,H23*13%)</f>
        <v>1950</v>
      </c>
      <c r="AB23" s="273" t="s">
        <v>261</v>
      </c>
      <c r="AC23" s="273" t="s">
        <v>376</v>
      </c>
      <c r="AD23" s="274" t="s">
        <v>262</v>
      </c>
      <c r="AE23" s="275"/>
      <c r="AF23" s="275"/>
      <c r="AG23" s="275"/>
      <c r="AH23" s="275"/>
    </row>
    <row r="24" spans="1:34" s="276" customFormat="1" ht="75">
      <c r="A24" s="265">
        <v>2</v>
      </c>
      <c r="B24" s="265" t="s">
        <v>263</v>
      </c>
      <c r="C24" s="266" t="s">
        <v>264</v>
      </c>
      <c r="D24" s="267">
        <v>893</v>
      </c>
      <c r="E24" s="268">
        <v>27683</v>
      </c>
      <c r="F24" s="269">
        <v>27</v>
      </c>
      <c r="G24" s="270">
        <v>12</v>
      </c>
      <c r="H24" s="268">
        <v>24111</v>
      </c>
      <c r="I24" s="268"/>
      <c r="J24" s="265">
        <v>2679</v>
      </c>
      <c r="K24" s="265"/>
      <c r="L24" s="265"/>
      <c r="M24" s="265"/>
      <c r="N24" s="265"/>
      <c r="O24" s="265"/>
      <c r="P24" s="265"/>
      <c r="Q24" s="271">
        <v>26790</v>
      </c>
      <c r="R24" s="268">
        <v>1800</v>
      </c>
      <c r="S24" s="265"/>
      <c r="T24" s="265"/>
      <c r="U24" s="265"/>
      <c r="V24" s="265"/>
      <c r="W24" s="265"/>
      <c r="X24" s="268"/>
      <c r="Y24" s="271">
        <v>1800</v>
      </c>
      <c r="Z24" s="272">
        <v>24990</v>
      </c>
      <c r="AA24" s="268">
        <f t="shared" si="0" ref="AA24:AA41">IF(H24&gt;15000,15000*13%,H24*13%)</f>
        <v>1950</v>
      </c>
      <c r="AB24" s="273" t="s">
        <v>261</v>
      </c>
      <c r="AC24" s="273" t="s">
        <v>376</v>
      </c>
      <c r="AD24" s="274" t="s">
        <v>262</v>
      </c>
      <c r="AE24" s="275"/>
      <c r="AF24" s="275"/>
      <c r="AG24" s="275"/>
      <c r="AH24" s="275"/>
    </row>
    <row r="25" spans="1:34" s="276" customFormat="1" ht="93.75">
      <c r="A25" s="265">
        <v>3</v>
      </c>
      <c r="B25" s="265" t="s">
        <v>265</v>
      </c>
      <c r="C25" s="266" t="s">
        <v>266</v>
      </c>
      <c r="D25" s="267">
        <v>893</v>
      </c>
      <c r="E25" s="268">
        <v>27683</v>
      </c>
      <c r="F25" s="269">
        <v>26</v>
      </c>
      <c r="G25" s="270"/>
      <c r="H25" s="268">
        <v>23218</v>
      </c>
      <c r="I25" s="268"/>
      <c r="J25" s="265"/>
      <c r="K25" s="265"/>
      <c r="L25" s="265"/>
      <c r="M25" s="265"/>
      <c r="N25" s="265"/>
      <c r="O25" s="265"/>
      <c r="P25" s="265"/>
      <c r="Q25" s="271">
        <v>23218</v>
      </c>
      <c r="R25" s="268">
        <v>1800</v>
      </c>
      <c r="S25" s="265"/>
      <c r="T25" s="265"/>
      <c r="U25" s="265"/>
      <c r="V25" s="265"/>
      <c r="W25" s="265"/>
      <c r="X25" s="268"/>
      <c r="Y25" s="271">
        <v>1800</v>
      </c>
      <c r="Z25" s="272">
        <v>21418</v>
      </c>
      <c r="AA25" s="268">
        <f t="shared" si="0"/>
        <v>1950</v>
      </c>
      <c r="AB25" s="273" t="s">
        <v>261</v>
      </c>
      <c r="AC25" s="273" t="s">
        <v>376</v>
      </c>
      <c r="AD25" s="274" t="s">
        <v>262</v>
      </c>
      <c r="AE25" s="275"/>
      <c r="AF25" s="275"/>
      <c r="AG25" s="275"/>
      <c r="AH25" s="275"/>
    </row>
    <row r="26" spans="1:34" s="276" customFormat="1" ht="75">
      <c r="A26" s="265">
        <v>4</v>
      </c>
      <c r="B26" s="265" t="s">
        <v>267</v>
      </c>
      <c r="C26" s="266" t="s">
        <v>268</v>
      </c>
      <c r="D26" s="267">
        <v>981</v>
      </c>
      <c r="E26" s="268">
        <v>30411</v>
      </c>
      <c r="F26" s="269">
        <v>26</v>
      </c>
      <c r="G26" s="270"/>
      <c r="H26" s="268">
        <v>25506</v>
      </c>
      <c r="I26" s="268"/>
      <c r="J26" s="265"/>
      <c r="K26" s="265"/>
      <c r="L26" s="265"/>
      <c r="M26" s="265"/>
      <c r="N26" s="265"/>
      <c r="O26" s="265"/>
      <c r="P26" s="265"/>
      <c r="Q26" s="271">
        <v>25506</v>
      </c>
      <c r="R26" s="268">
        <v>1800</v>
      </c>
      <c r="S26" s="265"/>
      <c r="T26" s="265"/>
      <c r="U26" s="265"/>
      <c r="V26" s="265"/>
      <c r="W26" s="265"/>
      <c r="X26" s="268"/>
      <c r="Y26" s="271">
        <v>1800</v>
      </c>
      <c r="Z26" s="272">
        <v>23706</v>
      </c>
      <c r="AA26" s="268">
        <f t="shared" si="0"/>
        <v>1950</v>
      </c>
      <c r="AB26" s="273" t="s">
        <v>261</v>
      </c>
      <c r="AC26" s="273" t="s">
        <v>376</v>
      </c>
      <c r="AD26" s="274" t="s">
        <v>262</v>
      </c>
      <c r="AE26" s="275"/>
      <c r="AF26" s="275"/>
      <c r="AG26" s="275"/>
      <c r="AH26" s="275"/>
    </row>
    <row r="27" spans="1:34" s="276" customFormat="1" ht="75">
      <c r="A27" s="265">
        <v>5</v>
      </c>
      <c r="B27" s="265" t="s">
        <v>269</v>
      </c>
      <c r="C27" s="266" t="s">
        <v>270</v>
      </c>
      <c r="D27" s="267">
        <v>893</v>
      </c>
      <c r="E27" s="268">
        <v>27683</v>
      </c>
      <c r="F27" s="269">
        <v>28</v>
      </c>
      <c r="G27" s="270">
        <v>16</v>
      </c>
      <c r="H27" s="268">
        <v>25004</v>
      </c>
      <c r="I27" s="268"/>
      <c r="J27" s="265">
        <v>3572</v>
      </c>
      <c r="K27" s="265"/>
      <c r="L27" s="265"/>
      <c r="M27" s="265"/>
      <c r="N27" s="265"/>
      <c r="O27" s="265"/>
      <c r="P27" s="265"/>
      <c r="Q27" s="271">
        <v>28576</v>
      </c>
      <c r="R27" s="268">
        <v>1800</v>
      </c>
      <c r="S27" s="265"/>
      <c r="T27" s="265"/>
      <c r="U27" s="265"/>
      <c r="V27" s="265"/>
      <c r="W27" s="265"/>
      <c r="X27" s="268"/>
      <c r="Y27" s="271">
        <v>1800</v>
      </c>
      <c r="Z27" s="272">
        <v>26776</v>
      </c>
      <c r="AA27" s="268">
        <f t="shared" si="0"/>
        <v>1950</v>
      </c>
      <c r="AB27" s="273" t="s">
        <v>261</v>
      </c>
      <c r="AC27" s="273" t="s">
        <v>376</v>
      </c>
      <c r="AD27" s="274" t="s">
        <v>262</v>
      </c>
      <c r="AE27" s="275"/>
      <c r="AF27" s="275"/>
      <c r="AG27" s="275"/>
      <c r="AH27" s="275"/>
    </row>
    <row r="28" spans="1:34" s="276" customFormat="1" ht="93.75">
      <c r="A28" s="265">
        <v>6</v>
      </c>
      <c r="B28" s="265" t="s">
        <v>271</v>
      </c>
      <c r="C28" s="266" t="s">
        <v>272</v>
      </c>
      <c r="D28" s="267">
        <v>893</v>
      </c>
      <c r="E28" s="268">
        <v>27683</v>
      </c>
      <c r="F28" s="269">
        <v>26</v>
      </c>
      <c r="G28" s="270"/>
      <c r="H28" s="268">
        <v>23218</v>
      </c>
      <c r="I28" s="268"/>
      <c r="J28" s="265"/>
      <c r="K28" s="265"/>
      <c r="L28" s="265"/>
      <c r="M28" s="265"/>
      <c r="N28" s="265"/>
      <c r="O28" s="265"/>
      <c r="P28" s="265"/>
      <c r="Q28" s="271">
        <v>23218</v>
      </c>
      <c r="R28" s="268">
        <v>1800</v>
      </c>
      <c r="S28" s="265"/>
      <c r="T28" s="265"/>
      <c r="U28" s="265"/>
      <c r="V28" s="265"/>
      <c r="W28" s="265"/>
      <c r="X28" s="268"/>
      <c r="Y28" s="271">
        <v>1800</v>
      </c>
      <c r="Z28" s="272">
        <v>21418</v>
      </c>
      <c r="AA28" s="268">
        <f t="shared" si="0"/>
        <v>1950</v>
      </c>
      <c r="AB28" s="273" t="s">
        <v>261</v>
      </c>
      <c r="AC28" s="273" t="s">
        <v>376</v>
      </c>
      <c r="AD28" s="274" t="s">
        <v>262</v>
      </c>
      <c r="AE28" s="275"/>
      <c r="AF28" s="275"/>
      <c r="AG28" s="275"/>
      <c r="AH28" s="275"/>
    </row>
    <row r="29" spans="1:34" s="276" customFormat="1" ht="75">
      <c r="A29" s="265">
        <v>7</v>
      </c>
      <c r="B29" s="265" t="s">
        <v>273</v>
      </c>
      <c r="C29" s="266" t="s">
        <v>274</v>
      </c>
      <c r="D29" s="267">
        <v>981</v>
      </c>
      <c r="E29" s="268">
        <v>30411</v>
      </c>
      <c r="F29" s="269">
        <v>27</v>
      </c>
      <c r="G29" s="270"/>
      <c r="H29" s="268">
        <v>26487</v>
      </c>
      <c r="I29" s="268"/>
      <c r="J29" s="265"/>
      <c r="K29" s="265"/>
      <c r="L29" s="265"/>
      <c r="M29" s="265"/>
      <c r="N29" s="265"/>
      <c r="O29" s="265"/>
      <c r="P29" s="265"/>
      <c r="Q29" s="271">
        <v>26487</v>
      </c>
      <c r="R29" s="268">
        <v>1800</v>
      </c>
      <c r="S29" s="265"/>
      <c r="T29" s="265"/>
      <c r="U29" s="265"/>
      <c r="V29" s="265"/>
      <c r="W29" s="265"/>
      <c r="X29" s="268"/>
      <c r="Y29" s="271">
        <v>1800</v>
      </c>
      <c r="Z29" s="272">
        <v>24687</v>
      </c>
      <c r="AA29" s="268">
        <f t="shared" si="0"/>
        <v>1950</v>
      </c>
      <c r="AB29" s="273" t="s">
        <v>261</v>
      </c>
      <c r="AC29" s="273" t="s">
        <v>376</v>
      </c>
      <c r="AD29" s="274" t="s">
        <v>262</v>
      </c>
      <c r="AE29" s="275"/>
      <c r="AF29" s="275"/>
      <c r="AG29" s="275"/>
      <c r="AH29" s="275"/>
    </row>
    <row r="30" spans="1:34" s="276" customFormat="1" ht="93.75">
      <c r="A30" s="265">
        <v>8</v>
      </c>
      <c r="B30" s="265" t="s">
        <v>275</v>
      </c>
      <c r="C30" s="266" t="s">
        <v>276</v>
      </c>
      <c r="D30" s="267">
        <v>893</v>
      </c>
      <c r="E30" s="268">
        <v>27683</v>
      </c>
      <c r="F30" s="269">
        <v>26</v>
      </c>
      <c r="G30" s="270"/>
      <c r="H30" s="268">
        <v>23218</v>
      </c>
      <c r="I30" s="268"/>
      <c r="J30" s="265"/>
      <c r="K30" s="265"/>
      <c r="L30" s="265"/>
      <c r="M30" s="265"/>
      <c r="N30" s="265"/>
      <c r="O30" s="265"/>
      <c r="P30" s="265"/>
      <c r="Q30" s="271">
        <v>23218</v>
      </c>
      <c r="R30" s="268">
        <v>1800</v>
      </c>
      <c r="S30" s="265"/>
      <c r="T30" s="265"/>
      <c r="U30" s="265"/>
      <c r="V30" s="265"/>
      <c r="W30" s="265"/>
      <c r="X30" s="268"/>
      <c r="Y30" s="271">
        <v>1800</v>
      </c>
      <c r="Z30" s="272">
        <v>21418</v>
      </c>
      <c r="AA30" s="268">
        <f t="shared" si="0"/>
        <v>1950</v>
      </c>
      <c r="AB30" s="273" t="s">
        <v>261</v>
      </c>
      <c r="AC30" s="273" t="s">
        <v>376</v>
      </c>
      <c r="AD30" s="274" t="s">
        <v>262</v>
      </c>
      <c r="AE30" s="275"/>
      <c r="AF30" s="275"/>
      <c r="AG30" s="275"/>
      <c r="AH30" s="275"/>
    </row>
    <row r="31" spans="1:34" s="276" customFormat="1" ht="75">
      <c r="A31" s="265">
        <v>9</v>
      </c>
      <c r="B31" s="265" t="s">
        <v>277</v>
      </c>
      <c r="C31" s="266" t="s">
        <v>278</v>
      </c>
      <c r="D31" s="267">
        <v>893</v>
      </c>
      <c r="E31" s="268">
        <v>27683</v>
      </c>
      <c r="F31" s="269">
        <v>28</v>
      </c>
      <c r="G31" s="270">
        <v>4</v>
      </c>
      <c r="H31" s="268">
        <v>25004</v>
      </c>
      <c r="I31" s="268"/>
      <c r="J31" s="265">
        <v>893</v>
      </c>
      <c r="K31" s="265"/>
      <c r="L31" s="265"/>
      <c r="M31" s="265"/>
      <c r="N31" s="265"/>
      <c r="O31" s="265"/>
      <c r="P31" s="265"/>
      <c r="Q31" s="271">
        <v>25897</v>
      </c>
      <c r="R31" s="268">
        <v>1800</v>
      </c>
      <c r="S31" s="265"/>
      <c r="T31" s="265"/>
      <c r="U31" s="265"/>
      <c r="V31" s="265"/>
      <c r="W31" s="265"/>
      <c r="X31" s="268"/>
      <c r="Y31" s="271">
        <v>1800</v>
      </c>
      <c r="Z31" s="272">
        <v>24097</v>
      </c>
      <c r="AA31" s="268">
        <f t="shared" si="0"/>
        <v>1950</v>
      </c>
      <c r="AB31" s="273" t="s">
        <v>261</v>
      </c>
      <c r="AC31" s="273" t="s">
        <v>376</v>
      </c>
      <c r="AD31" s="274" t="s">
        <v>262</v>
      </c>
      <c r="AE31" s="275"/>
      <c r="AF31" s="275"/>
      <c r="AG31" s="275"/>
      <c r="AH31" s="275"/>
    </row>
    <row r="32" spans="1:34" s="276" customFormat="1" ht="75">
      <c r="A32" s="265">
        <v>10</v>
      </c>
      <c r="B32" s="265" t="s">
        <v>279</v>
      </c>
      <c r="C32" s="266" t="s">
        <v>280</v>
      </c>
      <c r="D32" s="267">
        <v>893</v>
      </c>
      <c r="E32" s="268">
        <v>27683</v>
      </c>
      <c r="F32" s="269">
        <v>26</v>
      </c>
      <c r="G32" s="270"/>
      <c r="H32" s="268">
        <v>23218</v>
      </c>
      <c r="I32" s="268"/>
      <c r="J32" s="265"/>
      <c r="K32" s="265"/>
      <c r="L32" s="265"/>
      <c r="M32" s="265"/>
      <c r="N32" s="265"/>
      <c r="O32" s="265"/>
      <c r="P32" s="265"/>
      <c r="Q32" s="271">
        <v>23218</v>
      </c>
      <c r="R32" s="268">
        <v>1800</v>
      </c>
      <c r="S32" s="265"/>
      <c r="T32" s="265"/>
      <c r="U32" s="265"/>
      <c r="V32" s="265"/>
      <c r="W32" s="265"/>
      <c r="X32" s="268"/>
      <c r="Y32" s="271">
        <v>1800</v>
      </c>
      <c r="Z32" s="272">
        <v>21418</v>
      </c>
      <c r="AA32" s="268">
        <f t="shared" si="0"/>
        <v>1950</v>
      </c>
      <c r="AB32" s="273" t="s">
        <v>261</v>
      </c>
      <c r="AC32" s="273" t="s">
        <v>376</v>
      </c>
      <c r="AD32" s="274" t="s">
        <v>262</v>
      </c>
      <c r="AE32" s="275"/>
      <c r="AF32" s="275"/>
      <c r="AG32" s="275"/>
      <c r="AH32" s="275"/>
    </row>
    <row r="33" spans="1:34" s="276" customFormat="1" ht="75">
      <c r="A33" s="265">
        <v>11</v>
      </c>
      <c r="B33" s="265" t="s">
        <v>281</v>
      </c>
      <c r="C33" s="266" t="s">
        <v>282</v>
      </c>
      <c r="D33" s="267">
        <v>981</v>
      </c>
      <c r="E33" s="268">
        <v>30411</v>
      </c>
      <c r="F33" s="269">
        <v>23</v>
      </c>
      <c r="G33" s="270">
        <v>4</v>
      </c>
      <c r="H33" s="268">
        <v>22563</v>
      </c>
      <c r="I33" s="268"/>
      <c r="J33" s="265">
        <v>981</v>
      </c>
      <c r="K33" s="265"/>
      <c r="L33" s="265"/>
      <c r="M33" s="265"/>
      <c r="N33" s="265"/>
      <c r="O33" s="265"/>
      <c r="P33" s="265"/>
      <c r="Q33" s="271">
        <v>23544</v>
      </c>
      <c r="R33" s="268">
        <v>1800</v>
      </c>
      <c r="S33" s="265"/>
      <c r="T33" s="265"/>
      <c r="U33" s="265"/>
      <c r="V33" s="265"/>
      <c r="W33" s="265"/>
      <c r="X33" s="268"/>
      <c r="Y33" s="271">
        <v>1800</v>
      </c>
      <c r="Z33" s="272">
        <v>21744</v>
      </c>
      <c r="AA33" s="268">
        <f t="shared" si="0"/>
        <v>1950</v>
      </c>
      <c r="AB33" s="273" t="s">
        <v>261</v>
      </c>
      <c r="AC33" s="273" t="s">
        <v>376</v>
      </c>
      <c r="AD33" s="274" t="s">
        <v>262</v>
      </c>
      <c r="AE33" s="275"/>
      <c r="AF33" s="275"/>
      <c r="AG33" s="275"/>
      <c r="AH33" s="275"/>
    </row>
    <row r="34" spans="1:34" s="276" customFormat="1" ht="75">
      <c r="A34" s="265">
        <v>12</v>
      </c>
      <c r="B34" s="265" t="s">
        <v>283</v>
      </c>
      <c r="C34" s="266" t="s">
        <v>284</v>
      </c>
      <c r="D34" s="267">
        <v>893</v>
      </c>
      <c r="E34" s="268">
        <v>27683</v>
      </c>
      <c r="F34" s="269">
        <v>29</v>
      </c>
      <c r="G34" s="270">
        <v>4</v>
      </c>
      <c r="H34" s="268">
        <v>25897</v>
      </c>
      <c r="I34" s="268"/>
      <c r="J34" s="265">
        <v>893</v>
      </c>
      <c r="K34" s="265"/>
      <c r="L34" s="265"/>
      <c r="M34" s="265"/>
      <c r="N34" s="265"/>
      <c r="O34" s="265"/>
      <c r="P34" s="265"/>
      <c r="Q34" s="271">
        <v>26790</v>
      </c>
      <c r="R34" s="268">
        <v>1800</v>
      </c>
      <c r="S34" s="265"/>
      <c r="T34" s="265"/>
      <c r="U34" s="265"/>
      <c r="V34" s="265"/>
      <c r="W34" s="265"/>
      <c r="X34" s="268"/>
      <c r="Y34" s="271">
        <v>1800</v>
      </c>
      <c r="Z34" s="272">
        <v>24990</v>
      </c>
      <c r="AA34" s="268">
        <f t="shared" si="0"/>
        <v>1950</v>
      </c>
      <c r="AB34" s="273" t="s">
        <v>261</v>
      </c>
      <c r="AC34" s="273" t="s">
        <v>376</v>
      </c>
      <c r="AD34" s="274" t="s">
        <v>262</v>
      </c>
      <c r="AE34" s="275"/>
      <c r="AF34" s="275"/>
      <c r="AG34" s="275"/>
      <c r="AH34" s="275"/>
    </row>
    <row r="35" spans="1:34" s="276" customFormat="1" ht="93.75">
      <c r="A35" s="265">
        <v>13</v>
      </c>
      <c r="B35" s="265" t="s">
        <v>285</v>
      </c>
      <c r="C35" s="266" t="s">
        <v>286</v>
      </c>
      <c r="D35" s="267">
        <v>893</v>
      </c>
      <c r="E35" s="268">
        <v>27683</v>
      </c>
      <c r="F35" s="269">
        <v>25</v>
      </c>
      <c r="G35" s="270"/>
      <c r="H35" s="268">
        <v>22325</v>
      </c>
      <c r="I35" s="268"/>
      <c r="J35" s="265"/>
      <c r="K35" s="265"/>
      <c r="L35" s="265"/>
      <c r="M35" s="265"/>
      <c r="N35" s="265"/>
      <c r="O35" s="265"/>
      <c r="P35" s="265"/>
      <c r="Q35" s="271">
        <v>22325</v>
      </c>
      <c r="R35" s="268">
        <v>1800</v>
      </c>
      <c r="S35" s="265"/>
      <c r="T35" s="265"/>
      <c r="U35" s="265"/>
      <c r="V35" s="265"/>
      <c r="W35" s="265"/>
      <c r="X35" s="268"/>
      <c r="Y35" s="271">
        <v>1800</v>
      </c>
      <c r="Z35" s="272">
        <v>20525</v>
      </c>
      <c r="AA35" s="268">
        <f t="shared" si="0"/>
        <v>1950</v>
      </c>
      <c r="AB35" s="273" t="s">
        <v>261</v>
      </c>
      <c r="AC35" s="273" t="s">
        <v>376</v>
      </c>
      <c r="AD35" s="274" t="s">
        <v>262</v>
      </c>
      <c r="AE35" s="275"/>
      <c r="AF35" s="275"/>
      <c r="AG35" s="275"/>
      <c r="AH35" s="275"/>
    </row>
    <row r="36" spans="1:34" s="276" customFormat="1" ht="75">
      <c r="A36" s="265">
        <v>14</v>
      </c>
      <c r="B36" s="265" t="s">
        <v>287</v>
      </c>
      <c r="C36" s="266" t="s">
        <v>288</v>
      </c>
      <c r="D36" s="267">
        <v>981</v>
      </c>
      <c r="E36" s="268">
        <v>30411</v>
      </c>
      <c r="F36" s="269">
        <v>28</v>
      </c>
      <c r="G36" s="270">
        <v>8</v>
      </c>
      <c r="H36" s="268">
        <v>27468</v>
      </c>
      <c r="I36" s="268"/>
      <c r="J36" s="265">
        <v>1962</v>
      </c>
      <c r="K36" s="265"/>
      <c r="L36" s="265"/>
      <c r="M36" s="265"/>
      <c r="N36" s="265"/>
      <c r="O36" s="265"/>
      <c r="P36" s="265"/>
      <c r="Q36" s="271">
        <v>29430</v>
      </c>
      <c r="R36" s="268">
        <v>1800</v>
      </c>
      <c r="S36" s="265"/>
      <c r="T36" s="265"/>
      <c r="U36" s="265"/>
      <c r="V36" s="265"/>
      <c r="W36" s="265"/>
      <c r="X36" s="268"/>
      <c r="Y36" s="271">
        <v>1800</v>
      </c>
      <c r="Z36" s="272">
        <v>27630</v>
      </c>
      <c r="AA36" s="268">
        <f t="shared" si="0"/>
        <v>1950</v>
      </c>
      <c r="AB36" s="273" t="s">
        <v>261</v>
      </c>
      <c r="AC36" s="273" t="s">
        <v>376</v>
      </c>
      <c r="AD36" s="274" t="s">
        <v>262</v>
      </c>
      <c r="AE36" s="275"/>
      <c r="AF36" s="275"/>
      <c r="AG36" s="275"/>
      <c r="AH36" s="275"/>
    </row>
    <row r="37" spans="1:34" s="276" customFormat="1" ht="75">
      <c r="A37" s="265">
        <v>15</v>
      </c>
      <c r="B37" s="265" t="s">
        <v>289</v>
      </c>
      <c r="C37" s="266" t="s">
        <v>290</v>
      </c>
      <c r="D37" s="267">
        <v>893</v>
      </c>
      <c r="E37" s="268">
        <v>27683</v>
      </c>
      <c r="F37" s="269">
        <v>21</v>
      </c>
      <c r="G37" s="270">
        <v>12</v>
      </c>
      <c r="H37" s="268">
        <v>18753</v>
      </c>
      <c r="I37" s="268"/>
      <c r="J37" s="265">
        <v>2679</v>
      </c>
      <c r="K37" s="265"/>
      <c r="L37" s="265"/>
      <c r="M37" s="265"/>
      <c r="N37" s="265"/>
      <c r="O37" s="265"/>
      <c r="P37" s="265"/>
      <c r="Q37" s="271">
        <v>21432</v>
      </c>
      <c r="R37" s="268">
        <v>1800</v>
      </c>
      <c r="S37" s="265"/>
      <c r="T37" s="265"/>
      <c r="U37" s="265"/>
      <c r="V37" s="265"/>
      <c r="W37" s="265"/>
      <c r="X37" s="268"/>
      <c r="Y37" s="271">
        <v>1800</v>
      </c>
      <c r="Z37" s="272">
        <v>19632</v>
      </c>
      <c r="AA37" s="268">
        <f t="shared" si="0"/>
        <v>1950</v>
      </c>
      <c r="AB37" s="273" t="s">
        <v>261</v>
      </c>
      <c r="AC37" s="273" t="s">
        <v>376</v>
      </c>
      <c r="AD37" s="274" t="s">
        <v>262</v>
      </c>
      <c r="AE37" s="275"/>
      <c r="AF37" s="275"/>
      <c r="AG37" s="275"/>
      <c r="AH37" s="275"/>
    </row>
    <row r="38" spans="1:34" s="276" customFormat="1" ht="93.75">
      <c r="A38" s="265">
        <v>16</v>
      </c>
      <c r="B38" s="265" t="s">
        <v>291</v>
      </c>
      <c r="C38" s="266" t="s">
        <v>292</v>
      </c>
      <c r="D38" s="267">
        <v>893</v>
      </c>
      <c r="E38" s="268">
        <v>27683</v>
      </c>
      <c r="F38" s="269">
        <v>26</v>
      </c>
      <c r="G38" s="270">
        <v>4</v>
      </c>
      <c r="H38" s="268">
        <v>23218</v>
      </c>
      <c r="I38" s="268"/>
      <c r="J38" s="265">
        <v>893</v>
      </c>
      <c r="K38" s="265"/>
      <c r="L38" s="265"/>
      <c r="M38" s="265"/>
      <c r="N38" s="265"/>
      <c r="O38" s="265"/>
      <c r="P38" s="265"/>
      <c r="Q38" s="271">
        <v>24111</v>
      </c>
      <c r="R38" s="268">
        <v>1800</v>
      </c>
      <c r="S38" s="265"/>
      <c r="T38" s="265"/>
      <c r="U38" s="265"/>
      <c r="V38" s="265"/>
      <c r="W38" s="265"/>
      <c r="X38" s="268"/>
      <c r="Y38" s="271">
        <v>1800</v>
      </c>
      <c r="Z38" s="272">
        <v>22311</v>
      </c>
      <c r="AA38" s="268">
        <f t="shared" si="0"/>
        <v>1950</v>
      </c>
      <c r="AB38" s="273" t="s">
        <v>261</v>
      </c>
      <c r="AC38" s="273" t="s">
        <v>376</v>
      </c>
      <c r="AD38" s="274" t="s">
        <v>262</v>
      </c>
      <c r="AE38" s="275"/>
      <c r="AF38" s="275"/>
      <c r="AG38" s="275"/>
      <c r="AH38" s="275"/>
    </row>
    <row r="39" spans="1:34" s="276" customFormat="1" ht="75">
      <c r="A39" s="265">
        <v>17</v>
      </c>
      <c r="B39" s="265" t="s">
        <v>293</v>
      </c>
      <c r="C39" s="266" t="s">
        <v>294</v>
      </c>
      <c r="D39" s="267">
        <v>893</v>
      </c>
      <c r="E39" s="268">
        <v>27683</v>
      </c>
      <c r="F39" s="269">
        <v>26</v>
      </c>
      <c r="G39" s="270"/>
      <c r="H39" s="268">
        <v>23218</v>
      </c>
      <c r="I39" s="268"/>
      <c r="J39" s="265"/>
      <c r="K39" s="265"/>
      <c r="L39" s="265"/>
      <c r="M39" s="265"/>
      <c r="N39" s="265"/>
      <c r="O39" s="265"/>
      <c r="P39" s="265"/>
      <c r="Q39" s="271">
        <v>23218</v>
      </c>
      <c r="R39" s="268">
        <v>1800</v>
      </c>
      <c r="S39" s="265"/>
      <c r="T39" s="265"/>
      <c r="U39" s="265"/>
      <c r="V39" s="265"/>
      <c r="W39" s="265"/>
      <c r="X39" s="268"/>
      <c r="Y39" s="271">
        <v>1800</v>
      </c>
      <c r="Z39" s="272">
        <v>21418</v>
      </c>
      <c r="AA39" s="268">
        <f t="shared" si="0"/>
        <v>1950</v>
      </c>
      <c r="AB39" s="273" t="s">
        <v>261</v>
      </c>
      <c r="AC39" s="273" t="s">
        <v>376</v>
      </c>
      <c r="AD39" s="274" t="s">
        <v>262</v>
      </c>
      <c r="AE39" s="275"/>
      <c r="AF39" s="275"/>
      <c r="AG39" s="275"/>
      <c r="AH39" s="275"/>
    </row>
    <row r="40" spans="1:34" s="276" customFormat="1" ht="75">
      <c r="A40" s="265">
        <v>18</v>
      </c>
      <c r="B40" s="265" t="s">
        <v>295</v>
      </c>
      <c r="C40" s="266" t="s">
        <v>296</v>
      </c>
      <c r="D40" s="267">
        <v>893</v>
      </c>
      <c r="E40" s="268">
        <v>24111</v>
      </c>
      <c r="F40" s="269">
        <v>24</v>
      </c>
      <c r="G40" s="270"/>
      <c r="H40" s="268">
        <v>21432</v>
      </c>
      <c r="I40" s="268"/>
      <c r="J40" s="265"/>
      <c r="K40" s="265"/>
      <c r="L40" s="265"/>
      <c r="M40" s="265"/>
      <c r="N40" s="265"/>
      <c r="O40" s="265"/>
      <c r="P40" s="265"/>
      <c r="Q40" s="271">
        <v>21432</v>
      </c>
      <c r="R40" s="268">
        <v>1800</v>
      </c>
      <c r="S40" s="265"/>
      <c r="T40" s="265"/>
      <c r="U40" s="265"/>
      <c r="V40" s="265"/>
      <c r="W40" s="265"/>
      <c r="X40" s="268"/>
      <c r="Y40" s="271">
        <v>1800</v>
      </c>
      <c r="Z40" s="272">
        <v>19632</v>
      </c>
      <c r="AA40" s="268">
        <f t="shared" si="0"/>
        <v>1950</v>
      </c>
      <c r="AB40" s="273" t="s">
        <v>261</v>
      </c>
      <c r="AC40" s="273" t="s">
        <v>376</v>
      </c>
      <c r="AD40" s="274" t="s">
        <v>262</v>
      </c>
      <c r="AE40" s="275"/>
      <c r="AF40" s="275"/>
      <c r="AG40" s="275"/>
      <c r="AH40" s="275"/>
    </row>
    <row r="41" spans="1:34" s="276" customFormat="1" ht="94.5" thickBot="1">
      <c r="A41" s="265">
        <v>19</v>
      </c>
      <c r="B41" s="265" t="s">
        <v>297</v>
      </c>
      <c r="C41" s="266" t="s">
        <v>298</v>
      </c>
      <c r="D41" s="267">
        <v>893</v>
      </c>
      <c r="E41" s="268">
        <v>27683</v>
      </c>
      <c r="F41" s="269">
        <v>26</v>
      </c>
      <c r="G41" s="270"/>
      <c r="H41" s="268">
        <v>23218</v>
      </c>
      <c r="I41" s="268"/>
      <c r="J41" s="265"/>
      <c r="K41" s="265"/>
      <c r="L41" s="265"/>
      <c r="M41" s="265"/>
      <c r="N41" s="265"/>
      <c r="O41" s="265"/>
      <c r="P41" s="265"/>
      <c r="Q41" s="271">
        <v>23218</v>
      </c>
      <c r="R41" s="268">
        <v>1800</v>
      </c>
      <c r="S41" s="265"/>
      <c r="T41" s="265"/>
      <c r="U41" s="265"/>
      <c r="V41" s="265"/>
      <c r="W41" s="265"/>
      <c r="X41" s="268"/>
      <c r="Y41" s="271">
        <v>1800</v>
      </c>
      <c r="Z41" s="272">
        <v>21418</v>
      </c>
      <c r="AA41" s="268">
        <f t="shared" si="0"/>
        <v>1950</v>
      </c>
      <c r="AB41" s="273" t="s">
        <v>261</v>
      </c>
      <c r="AC41" s="273" t="s">
        <v>376</v>
      </c>
      <c r="AD41" s="274" t="s">
        <v>262</v>
      </c>
      <c r="AE41" s="275"/>
      <c r="AF41" s="275"/>
      <c r="AG41" s="275"/>
      <c r="AH41" s="275"/>
    </row>
    <row r="42" spans="1:30" s="256" customFormat="1" ht="32.25" customHeight="1" thickBot="1">
      <c r="A42" s="277"/>
      <c r="B42" s="278"/>
      <c r="C42" s="279" t="s">
        <v>140</v>
      </c>
      <c r="D42" s="240">
        <f t="shared" si="1" ref="D42:AA42">SUM(D23:D41)</f>
        <v>17319</v>
      </c>
      <c r="E42" s="240">
        <f t="shared" si="1"/>
        <v>533317</v>
      </c>
      <c r="F42" s="240">
        <f>SUM(F23:F41)</f>
        <v>494</v>
      </c>
      <c r="G42" s="240">
        <f t="shared" si="1"/>
        <v>64</v>
      </c>
      <c r="H42" s="240">
        <f t="shared" si="1"/>
        <v>450294</v>
      </c>
      <c r="I42" s="240">
        <f t="shared" si="1"/>
        <v>0</v>
      </c>
      <c r="J42" s="240">
        <f t="shared" si="1"/>
        <v>14552</v>
      </c>
      <c r="K42" s="240">
        <f t="shared" si="1"/>
        <v>0</v>
      </c>
      <c r="L42" s="240">
        <f t="shared" si="1"/>
        <v>0</v>
      </c>
      <c r="M42" s="240">
        <f t="shared" si="1"/>
        <v>0</v>
      </c>
      <c r="N42" s="240">
        <f t="shared" si="1"/>
        <v>0</v>
      </c>
      <c r="O42" s="240">
        <f t="shared" si="1"/>
        <v>0</v>
      </c>
      <c r="P42" s="240">
        <f t="shared" si="1"/>
        <v>0</v>
      </c>
      <c r="Q42" s="240">
        <f t="shared" si="1"/>
        <v>464846</v>
      </c>
      <c r="R42" s="240">
        <f t="shared" si="1"/>
        <v>34200</v>
      </c>
      <c r="S42" s="240">
        <f t="shared" si="1"/>
        <v>0</v>
      </c>
      <c r="T42" s="240">
        <f t="shared" si="1"/>
        <v>0</v>
      </c>
      <c r="U42" s="240">
        <f t="shared" si="1"/>
        <v>0</v>
      </c>
      <c r="V42" s="240">
        <f t="shared" si="1"/>
        <v>0</v>
      </c>
      <c r="W42" s="240">
        <f t="shared" si="1"/>
        <v>0</v>
      </c>
      <c r="X42" s="240">
        <f t="shared" si="1"/>
        <v>0</v>
      </c>
      <c r="Y42" s="240">
        <f t="shared" si="1"/>
        <v>34200</v>
      </c>
      <c r="Z42" s="240">
        <f t="shared" si="1"/>
        <v>430646</v>
      </c>
      <c r="AA42" s="240">
        <f t="shared" si="1"/>
        <v>37050</v>
      </c>
      <c r="AB42" s="240"/>
      <c r="AC42" s="240"/>
      <c r="AD42" s="240"/>
    </row>
    <row r="43" spans="3:27" s="224" customFormat="1" ht="30" customHeight="1">
      <c r="C43" s="241"/>
      <c r="D43" s="242"/>
      <c r="E43" s="242"/>
      <c r="F43" s="243"/>
      <c r="G43" s="243"/>
      <c r="H43" s="243"/>
      <c r="I43" s="243"/>
      <c r="J43" s="243"/>
      <c r="K43" s="243"/>
      <c r="L43" s="243"/>
      <c r="M43" s="243"/>
      <c r="N43" s="243"/>
      <c r="O43" s="243"/>
      <c r="P43" s="243"/>
      <c r="Q43" s="243"/>
      <c r="R43" s="243"/>
      <c r="S43" s="243"/>
      <c r="T43" s="243"/>
      <c r="U43" s="243"/>
      <c r="V43" s="243"/>
      <c r="W43" s="243"/>
      <c r="X43" s="243"/>
      <c r="Y43" s="243"/>
      <c r="Z43" s="243"/>
      <c r="AA43" s="243"/>
    </row>
    <row r="44" spans="17:17" ht="12.75">
      <c r="Q44" s="244"/>
    </row>
    <row r="45" s="245" customFormat="1" ht="18.75"/>
  </sheetData>
  <sheetProtection/>
  <mergeCells count="54">
    <mergeCell ref="AC20:AC21"/>
    <mergeCell ref="AD20:AD21"/>
    <mergeCell ref="P20:P21"/>
    <mergeCell ref="Q20:Q21"/>
    <mergeCell ref="R20:Y20"/>
    <mergeCell ref="Z20:Z21"/>
    <mergeCell ref="AA20:AA21"/>
    <mergeCell ref="AB20:AB21"/>
    <mergeCell ref="I20:I21"/>
    <mergeCell ref="J20:J21"/>
    <mergeCell ref="K20:K21"/>
    <mergeCell ref="L20:L21"/>
    <mergeCell ref="M20:M21"/>
    <mergeCell ref="O20:O21"/>
    <mergeCell ref="N20:N21"/>
    <mergeCell ref="A18:H18"/>
    <mergeCell ref="J18:W18"/>
    <mergeCell ref="A20:A21"/>
    <mergeCell ref="B20:B21"/>
    <mergeCell ref="C20:C21"/>
    <mergeCell ref="D20:D21"/>
    <mergeCell ref="E20:E21"/>
    <mergeCell ref="F20:F21"/>
    <mergeCell ref="G20:G21"/>
    <mergeCell ref="H20:H21"/>
    <mergeCell ref="A12:H12"/>
    <mergeCell ref="J12:AD12"/>
    <mergeCell ref="A14:H14"/>
    <mergeCell ref="J14:AD14"/>
    <mergeCell ref="A16:H16"/>
    <mergeCell ref="J16:W16"/>
    <mergeCell ref="X16:Z16"/>
    <mergeCell ref="AA16:AD16"/>
    <mergeCell ref="A8:G8"/>
    <mergeCell ref="H8:L8"/>
    <mergeCell ref="M8:T8"/>
    <mergeCell ref="U8:Y8"/>
    <mergeCell ref="Z8:AD8"/>
    <mergeCell ref="A10:H10"/>
    <mergeCell ref="J10:AD10"/>
    <mergeCell ref="A6:G6"/>
    <mergeCell ref="H6:L7"/>
    <mergeCell ref="M6:T7"/>
    <mergeCell ref="U6:Y7"/>
    <mergeCell ref="Z6:AD7"/>
    <mergeCell ref="A7:G7"/>
    <mergeCell ref="A1:AD1"/>
    <mergeCell ref="A2:AD2"/>
    <mergeCell ref="A4:AD4"/>
    <mergeCell ref="A5:G5"/>
    <mergeCell ref="H5:L5"/>
    <mergeCell ref="M5:T5"/>
    <mergeCell ref="U5:Y5"/>
    <mergeCell ref="Z5:AD5"/>
  </mergeCells>
  <printOptions horizontalCentered="1"/>
  <pageMargins left="0.25" right="0.25" top="0.75" bottom="0.75" header="0.3" footer="0.3"/>
  <pageSetup fitToHeight="0" orientation="landscape" paperSize="9" scale="49" r:id="rId1"/>
  <rowBreaks count="3" manualBreakCount="3">
    <brk id="27" max="28" man="1"/>
    <brk id="32" max="28" man="1"/>
    <brk id="37" max="28" man="1"/>
  </rowBreaks>
  <colBreaks count="2" manualBreakCount="2">
    <brk id="4" max="39" man="1"/>
    <brk id="26" max="39" man="1"/>
  </col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796797DD-9431-4FEF-816D-8CE32ECAB9AB}">
  <sheetPr codeName="Sheet8"/>
  <dimension ref="A1:D18"/>
  <sheetViews>
    <sheetView workbookViewId="0" topLeftCell="A1">
      <selection pane="topLeft" activeCell="B3" sqref="B3"/>
    </sheetView>
  </sheetViews>
  <sheetFormatPr defaultRowHeight="12.75"/>
  <cols>
    <col min="1" max="1" width="30" bestFit="1" customWidth="1"/>
    <col min="2" max="2" width="25.5714285714286" bestFit="1" customWidth="1"/>
    <col min="3" max="3" width="18.2857142857143" bestFit="1" customWidth="1"/>
  </cols>
  <sheetData>
    <row r="1" spans="1:2" ht="12.75">
      <c r="A1" s="31" t="s">
        <v>352</v>
      </c>
      <c r="B1" t="str">
        <f>WgPrd</f>
        <v>01 Oct 2025 To 31 Oct 2025</v>
      </c>
    </row>
    <row r="2" spans="1:2" ht="12.75">
      <c r="A2" s="31" t="s">
        <v>21</v>
      </c>
      <c r="B2" s="31" t="s">
        <v>378</v>
      </c>
    </row>
    <row r="3" spans="1:2" ht="12.75">
      <c r="A3" t="s">
        <v>353</v>
      </c>
      <c r="B3" s="214" t="s">
        <v>375</v>
      </c>
    </row>
    <row r="4" spans="1:2" ht="12.75">
      <c r="A4" t="s">
        <v>90</v>
      </c>
      <c r="B4" s="220">
        <v>45964</v>
      </c>
    </row>
    <row r="5" spans="1:3" ht="12.75">
      <c r="A5" t="s">
        <v>354</v>
      </c>
      <c r="B5">
        <v>18</v>
      </c>
      <c r="C5" t="str">
        <f>A5&amp;B5</f>
        <v>RA BILL NO-18</v>
      </c>
    </row>
    <row r="6" spans="1:2" ht="12.75">
      <c r="A6" t="s">
        <v>22</v>
      </c>
      <c r="B6" s="215">
        <v>45964</v>
      </c>
    </row>
    <row r="7" spans="1:2" ht="12.75">
      <c r="A7" t="s">
        <v>355</v>
      </c>
      <c r="B7">
        <v>10</v>
      </c>
    </row>
    <row r="8" spans="1:2" ht="12.75">
      <c r="A8" t="s">
        <v>356</v>
      </c>
      <c r="B8">
        <v>2025</v>
      </c>
    </row>
    <row r="10" spans="2:3" ht="12.75">
      <c r="B10" s="31" t="s">
        <v>163</v>
      </c>
      <c r="C10" s="31" t="s">
        <v>164</v>
      </c>
    </row>
    <row r="11" spans="1:3" ht="12.75">
      <c r="A11" s="31" t="s">
        <v>142</v>
      </c>
      <c r="B11" s="219">
        <v>897</v>
      </c>
      <c r="C11">
        <v>816</v>
      </c>
    </row>
    <row r="12" spans="1:3" ht="12.75">
      <c r="A12" s="31" t="s">
        <v>373</v>
      </c>
      <c r="B12" s="31">
        <v>981</v>
      </c>
      <c r="C12">
        <v>893</v>
      </c>
    </row>
    <row r="14" spans="1:2" ht="12.75">
      <c r="A14" t="s">
        <v>357</v>
      </c>
      <c r="B14">
        <v>4302508003201</v>
      </c>
    </row>
    <row r="15" spans="1:2" ht="12.75">
      <c r="A15" t="s">
        <v>358</v>
      </c>
      <c r="B15" s="246">
        <v>71250</v>
      </c>
    </row>
    <row r="16" spans="1:2" ht="12.75">
      <c r="A16" s="31" t="s">
        <v>319</v>
      </c>
      <c r="B16" s="254">
        <v>45880</v>
      </c>
    </row>
    <row r="17" spans="1:1" ht="12.75">
      <c r="A17" s="31"/>
    </row>
    <row r="18" spans="1:4" ht="12.75">
      <c r="A18" s="31" t="s">
        <v>359</v>
      </c>
      <c r="B18" s="221">
        <f t="array" ref="B18:D18">'Tax Invoice'!J50:L50</f>
        <v>657384.06999999995</v>
      </c>
      <c r="C18">
        <v>0</v>
      </c>
      <c r="D18">
        <v>0</v>
      </c>
    </row>
  </sheetData>
  <sheetProtection/>
  <pageMargins left="0.7" right="0.7" top="0.75" bottom="0.75" header="0.3" footer="0.3"/>
  <pageSetup orientation="portrait" paperSize="1" r:id="rId4"/>
  <drawing r:id="rId2"/>
  <legacyDrawing r:id="rId3"/>
  <mc:AlternateContent xmlns:mc="http://schemas.openxmlformats.org/markup-compatibility/2006">
    <mc:Choice Requires="x14">
      <controls>
        <mc:AlternateContent xmlns:mc="http://schemas.openxmlformats.org/markup-compatibility/2006">
          <mc:Choice Requires="x14">
            <control shapeId="46082" r:id="rId1" name="">
              <controlPr defaultSize="0" print="0" autoLine="0" autoPict="0" macro="[0]!Button2_Click">
                <anchor moveWithCells="1" sizeWithCells="1">
                  <from>
                    <xdr:col>8</xdr:col>
                    <xdr:colOff>533400</xdr:colOff>
                    <xdr:row>1</xdr:row>
                    <xdr:rowOff>66415</xdr:rowOff>
                  </from>
                  <to>
                    <xdr:col>14</xdr:col>
                    <xdr:colOff>57150</xdr:colOff>
                    <xdr:row>8</xdr:row>
                    <xdr:rowOff>95510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E09BF012-69C9-44E4-8D66-545527E7B9AB}">
  <sheetPr codeName="Sheet9">
    <pageSetUpPr fitToPage="1"/>
  </sheetPr>
  <dimension ref="A1:L198"/>
  <sheetViews>
    <sheetView view="pageBreakPreview" zoomScaleNormal="84" zoomScaleSheetLayoutView="100" workbookViewId="0" topLeftCell="A23">
      <selection pane="topLeft" activeCell="I26" sqref="I26"/>
    </sheetView>
  </sheetViews>
  <sheetFormatPr defaultRowHeight="12.75"/>
  <cols>
    <col min="2" max="2" width="11.7142857142857" customWidth="1"/>
    <col min="3" max="3" width="8.28571428571429" customWidth="1"/>
    <col min="4" max="4" width="7.14285714285714" customWidth="1"/>
    <col min="7" max="7" width="12.4285714285714" customWidth="1"/>
    <col min="8" max="8" width="6.28571428571429" customWidth="1"/>
    <col min="9" max="9" width="10.1428571428571" bestFit="1" customWidth="1"/>
  </cols>
  <sheetData>
    <row r="1" spans="7:9" ht="15">
      <c r="G1" s="189"/>
      <c r="I1" s="189" t="s">
        <v>299</v>
      </c>
    </row>
    <row r="2" spans="7:9" ht="15">
      <c r="G2" s="189"/>
      <c r="I2" s="189" t="s">
        <v>300</v>
      </c>
    </row>
    <row r="3" spans="7:9" ht="15">
      <c r="G3" s="189"/>
      <c r="I3" s="189" t="s">
        <v>301</v>
      </c>
    </row>
    <row r="4" spans="7:9" ht="15">
      <c r="G4" s="189"/>
      <c r="I4" s="189" t="s">
        <v>302</v>
      </c>
    </row>
    <row r="5" spans="7:9" ht="15">
      <c r="G5" s="189"/>
      <c r="I5" s="189" t="s">
        <v>303</v>
      </c>
    </row>
    <row r="6" spans="7:9" ht="15">
      <c r="G6" s="189"/>
      <c r="I6" s="189" t="s">
        <v>304</v>
      </c>
    </row>
    <row r="8" spans="1:11" ht="15.75" customHeight="1">
      <c r="A8" s="579" t="s">
        <v>305</v>
      </c>
      <c r="B8" s="579"/>
      <c r="C8" s="579"/>
      <c r="D8" s="579"/>
      <c r="E8" s="579"/>
      <c r="F8" s="579"/>
      <c r="G8" s="579"/>
      <c r="H8" s="579"/>
      <c r="I8" s="579"/>
      <c r="J8" s="579"/>
      <c r="K8" s="579"/>
    </row>
    <row r="9" spans="2:11" ht="12.75">
      <c r="B9" s="190"/>
      <c r="C9" s="190"/>
      <c r="D9" s="190"/>
      <c r="E9" s="190"/>
      <c r="F9" s="190"/>
      <c r="G9" s="191"/>
      <c r="J9" s="580" t="s">
        <v>306</v>
      </c>
      <c r="K9" s="580"/>
    </row>
    <row r="10" spans="1:11" ht="21" customHeight="1">
      <c r="A10" s="581" t="str">
        <f>"Subject: Particulars of PF Contribution for the Month of "&amp;'WORKING SHEET'!B3</f>
        <v>Subject: Particulars of PF Contribution for the Month of SEPTEMBER-2025</v>
      </c>
      <c r="B10" s="581"/>
      <c r="C10" s="581"/>
      <c r="D10" s="581"/>
      <c r="E10" s="581"/>
      <c r="F10" s="581"/>
      <c r="G10" s="581"/>
      <c r="H10" s="581"/>
      <c r="I10" s="581"/>
      <c r="J10" s="581"/>
      <c r="K10" s="581"/>
    </row>
    <row r="11" spans="1:6" ht="15">
      <c r="A11" s="192" t="s">
        <v>307</v>
      </c>
      <c r="B11" s="192"/>
      <c r="C11" s="192"/>
      <c r="D11" s="192"/>
      <c r="E11" s="192"/>
      <c r="F11" s="192"/>
    </row>
    <row r="12" spans="1:5" ht="15.75">
      <c r="A12" s="193" t="s">
        <v>308</v>
      </c>
      <c r="B12" s="193"/>
      <c r="C12" s="193"/>
      <c r="D12" s="193"/>
      <c r="E12" s="193"/>
    </row>
    <row r="13" spans="1:4" ht="15.75">
      <c r="A13" s="193" t="s">
        <v>309</v>
      </c>
      <c r="B13" s="194"/>
      <c r="C13" s="194"/>
      <c r="D13" s="194"/>
    </row>
    <row r="14" spans="1:4" ht="15.75">
      <c r="A14" s="193" t="s">
        <v>310</v>
      </c>
      <c r="B14" s="194"/>
      <c r="C14" s="194"/>
      <c r="D14" s="194"/>
    </row>
    <row r="15" spans="1:4" ht="15.75">
      <c r="A15" s="193" t="s">
        <v>311</v>
      </c>
      <c r="B15" s="194"/>
      <c r="C15" s="194"/>
      <c r="D15" s="194"/>
    </row>
    <row r="16" spans="1:12" ht="15.75">
      <c r="A16" s="193" t="s">
        <v>312</v>
      </c>
      <c r="B16" s="194"/>
      <c r="C16" s="194"/>
      <c r="D16" s="194"/>
      <c r="L16" s="31"/>
    </row>
    <row r="17" spans="1:12" ht="15.75">
      <c r="A17" s="193" t="s">
        <v>313</v>
      </c>
      <c r="B17" s="194"/>
      <c r="C17" s="194"/>
      <c r="D17" s="194"/>
      <c r="L17" s="31"/>
    </row>
    <row r="18" spans="1:5" ht="15.75">
      <c r="A18" s="193" t="s">
        <v>348</v>
      </c>
      <c r="B18" s="193"/>
      <c r="C18" s="193"/>
      <c r="D18" s="193"/>
      <c r="E18" s="193"/>
    </row>
    <row r="19" spans="1:4" ht="15.75">
      <c r="A19" s="193" t="s">
        <v>349</v>
      </c>
      <c r="B19" s="194"/>
      <c r="C19" s="194"/>
      <c r="D19" s="194"/>
    </row>
    <row r="20" spans="1:4" ht="15.75">
      <c r="A20" s="195" t="s">
        <v>350</v>
      </c>
      <c r="B20" s="195"/>
      <c r="C20" s="195"/>
      <c r="D20" s="195"/>
    </row>
    <row r="21" spans="1:4" ht="15.75">
      <c r="A21" s="196" t="s">
        <v>314</v>
      </c>
      <c r="B21" s="196"/>
      <c r="C21" s="196"/>
      <c r="D21" s="196"/>
    </row>
    <row r="22" spans="1:5" ht="15.75">
      <c r="A22" s="196" t="s">
        <v>351</v>
      </c>
      <c r="B22" s="196"/>
      <c r="C22" s="196"/>
      <c r="D22" s="196"/>
      <c r="E22" s="196"/>
    </row>
    <row r="23" spans="1:1" ht="15.75">
      <c r="A23" s="31" t="s">
        <v>315</v>
      </c>
    </row>
    <row r="24" spans="1:4" ht="15.75">
      <c r="A24" s="197" t="s">
        <v>316</v>
      </c>
      <c r="B24" s="197"/>
      <c r="C24" s="197"/>
      <c r="D24" s="197"/>
    </row>
    <row r="25" spans="1:5" ht="15.75">
      <c r="A25" s="197" t="s">
        <v>317</v>
      </c>
      <c r="B25" s="197"/>
      <c r="C25" s="197"/>
      <c r="D25" s="197"/>
      <c r="E25" s="197"/>
    </row>
    <row r="26" spans="1:9" ht="15.75">
      <c r="A26" s="198" t="str">
        <f>"      (a)  EPF Challan No. "&amp;'WORKING SHEET'!B14</f>
        <v xml:space="preserve">      (a)  EPF Challan No. 4302508003201</v>
      </c>
      <c r="B26" s="198"/>
      <c r="C26" s="198"/>
      <c r="D26" s="216"/>
      <c r="E26" s="199"/>
      <c r="F26" s="198" t="s">
        <v>318</v>
      </c>
      <c r="G26" s="217">
        <f>'WORKING SHEET'!B15</f>
        <v>71250</v>
      </c>
      <c r="H26" s="198" t="s">
        <v>319</v>
      </c>
      <c r="I26" s="255">
        <f>'WORKING SHEET'!B16</f>
        <v>45880</v>
      </c>
    </row>
    <row r="27" spans="1:6" ht="15.75">
      <c r="A27" s="582" t="s">
        <v>320</v>
      </c>
      <c r="B27" s="582"/>
      <c r="C27" s="582"/>
      <c r="D27" s="582"/>
      <c r="E27" s="582"/>
      <c r="F27" s="582"/>
    </row>
    <row r="28" spans="1:9" ht="15.75">
      <c r="A28" s="198" t="str">
        <f>"      (a)  ESI Challan No. "</f>
        <v xml:space="preserve">      (a)  ESI Challan No. </v>
      </c>
      <c r="B28" s="198"/>
      <c r="C28" s="196"/>
      <c r="D28" s="218" t="s">
        <v>360</v>
      </c>
      <c r="F28" s="198" t="s">
        <v>318</v>
      </c>
      <c r="G28" s="199" t="s">
        <v>360</v>
      </c>
      <c r="H28" s="198" t="s">
        <v>319</v>
      </c>
      <c r="I28" s="200" t="s">
        <v>360</v>
      </c>
    </row>
    <row r="29" spans="1:6" ht="15.75">
      <c r="A29" s="582"/>
      <c r="B29" s="582"/>
      <c r="C29" s="582"/>
      <c r="D29" s="582"/>
      <c r="E29" s="582"/>
      <c r="F29" s="582"/>
    </row>
    <row r="31" spans="1:11" ht="15">
      <c r="A31" s="583" t="s">
        <v>321</v>
      </c>
      <c r="B31" s="584"/>
      <c r="C31" s="585"/>
      <c r="D31" s="583" t="s">
        <v>322</v>
      </c>
      <c r="E31" s="584"/>
      <c r="F31" s="584"/>
      <c r="G31" s="585"/>
      <c r="H31" s="583" t="s">
        <v>323</v>
      </c>
      <c r="I31" s="584"/>
      <c r="J31" s="584"/>
      <c r="K31" s="585"/>
    </row>
    <row r="32" spans="1:11" ht="15.75">
      <c r="A32" s="572" t="s">
        <v>324</v>
      </c>
      <c r="B32" s="572"/>
      <c r="C32" s="572"/>
      <c r="D32" s="573" t="s">
        <v>109</v>
      </c>
      <c r="E32" s="574"/>
      <c r="F32" s="574"/>
      <c r="G32" s="575"/>
      <c r="H32" s="564" t="s">
        <v>109</v>
      </c>
      <c r="I32" s="565"/>
      <c r="J32" s="565"/>
      <c r="K32" s="566"/>
    </row>
    <row r="33" spans="1:11" ht="15.75" customHeight="1">
      <c r="A33" s="576" t="s">
        <v>325</v>
      </c>
      <c r="B33" s="577"/>
      <c r="C33" s="578"/>
      <c r="D33" s="586" t="s">
        <v>109</v>
      </c>
      <c r="E33" s="587"/>
      <c r="F33" s="587"/>
      <c r="G33" s="588"/>
      <c r="H33" s="564" t="s">
        <v>109</v>
      </c>
      <c r="I33" s="565"/>
      <c r="J33" s="565"/>
      <c r="K33" s="566"/>
    </row>
    <row r="34" spans="1:11" ht="15.75">
      <c r="A34" s="589" t="s">
        <v>326</v>
      </c>
      <c r="B34" s="590"/>
      <c r="C34" s="591"/>
      <c r="D34" s="586">
        <v>15</v>
      </c>
      <c r="E34" s="587"/>
      <c r="F34" s="587"/>
      <c r="G34" s="588"/>
      <c r="H34" s="564">
        <f>'WORKING SHEET'!C12</f>
        <v>893</v>
      </c>
      <c r="I34" s="565"/>
      <c r="J34" s="565"/>
      <c r="K34" s="566"/>
    </row>
    <row r="35" spans="1:11" ht="15.75" customHeight="1">
      <c r="A35" s="589" t="s">
        <v>327</v>
      </c>
      <c r="B35" s="590"/>
      <c r="C35" s="591"/>
      <c r="D35" s="586">
        <v>4</v>
      </c>
      <c r="E35" s="587"/>
      <c r="F35" s="587"/>
      <c r="G35" s="588"/>
      <c r="H35" s="564">
        <f>'WORKING SHEET'!B12</f>
        <v>981</v>
      </c>
      <c r="I35" s="565"/>
      <c r="J35" s="565"/>
      <c r="K35" s="566"/>
    </row>
    <row r="36" spans="1:11" ht="15.75">
      <c r="A36" s="592" t="s">
        <v>328</v>
      </c>
      <c r="B36" s="592"/>
      <c r="C36" s="592"/>
      <c r="D36" s="569">
        <f>SUM(D32:E35)</f>
        <v>19</v>
      </c>
      <c r="E36" s="570"/>
      <c r="F36" s="570"/>
      <c r="G36" s="571"/>
      <c r="H36" s="569"/>
      <c r="I36" s="570"/>
      <c r="J36" s="570"/>
      <c r="K36" s="571"/>
    </row>
    <row r="38" spans="1:4" ht="15.75">
      <c r="A38" s="201"/>
      <c r="B38" s="201"/>
      <c r="C38" s="201"/>
      <c r="D38" s="30" t="s">
        <v>329</v>
      </c>
    </row>
    <row r="41" spans="1:4" ht="21" customHeight="1">
      <c r="A41" s="202" t="s">
        <v>330</v>
      </c>
      <c r="B41" s="593" t="s">
        <v>361</v>
      </c>
      <c r="C41" s="593"/>
      <c r="D41" s="190"/>
    </row>
    <row r="42" spans="1:4" s="253" customFormat="1" ht="15.75">
      <c r="A42" s="250" t="s">
        <v>331</v>
      </c>
      <c r="B42" s="251">
        <f>I26</f>
        <v>45880</v>
      </c>
      <c r="C42" s="252"/>
      <c r="D42" s="252"/>
    </row>
    <row r="43" spans="1:4" ht="15.75">
      <c r="A43" s="202"/>
      <c r="B43" s="203"/>
      <c r="C43" s="190"/>
      <c r="D43" s="190"/>
    </row>
    <row r="44" spans="1:4" ht="15.75">
      <c r="A44" s="202"/>
      <c r="B44" s="203"/>
      <c r="C44" s="190"/>
      <c r="D44" s="190"/>
    </row>
    <row r="45" spans="1:4" ht="15.75">
      <c r="A45" s="202"/>
      <c r="B45" s="203"/>
      <c r="C45" s="190"/>
      <c r="D45" s="190"/>
    </row>
    <row r="46" spans="1:4" ht="15.75">
      <c r="A46" s="202"/>
      <c r="B46" s="203"/>
      <c r="C46" s="190"/>
      <c r="D46" s="190"/>
    </row>
    <row r="47" spans="1:4" ht="15.75">
      <c r="A47" s="202"/>
      <c r="B47" s="203"/>
      <c r="C47" s="190"/>
      <c r="D47" s="190"/>
    </row>
    <row r="48" spans="1:4" ht="15.75">
      <c r="A48" s="202"/>
      <c r="B48" s="203"/>
      <c r="C48" s="190"/>
      <c r="D48" s="190"/>
    </row>
    <row r="49" spans="6:9" ht="15">
      <c r="F49" s="189"/>
      <c r="I49" s="189" t="s">
        <v>299</v>
      </c>
    </row>
    <row r="50" spans="6:9" ht="15">
      <c r="F50" s="189"/>
      <c r="I50" s="189" t="s">
        <v>300</v>
      </c>
    </row>
    <row r="51" spans="6:9" ht="15">
      <c r="F51" s="189"/>
      <c r="I51" s="189" t="s">
        <v>301</v>
      </c>
    </row>
    <row r="52" spans="6:9" ht="15">
      <c r="F52" s="189"/>
      <c r="I52" s="189" t="s">
        <v>302</v>
      </c>
    </row>
    <row r="53" spans="6:9" ht="15">
      <c r="F53" s="189"/>
      <c r="I53" s="189" t="s">
        <v>303</v>
      </c>
    </row>
    <row r="54" spans="6:9" ht="15">
      <c r="F54" s="189"/>
      <c r="I54" s="189" t="s">
        <v>304</v>
      </c>
    </row>
    <row r="55" spans="7:9" ht="15.75">
      <c r="G55" s="204"/>
      <c r="I55" s="204"/>
    </row>
    <row r="56" spans="1:11" ht="15">
      <c r="A56" s="205" t="str">
        <f>"Invoice No.: "&amp;'WORKING SHEET'!B2</f>
        <v>Invoice No.: SSI/1186</v>
      </c>
      <c r="G56" s="206"/>
      <c r="H56" s="568">
        <f>'WORKING SHEET'!B4</f>
        <v>45964</v>
      </c>
      <c r="I56" s="568"/>
      <c r="J56" s="568"/>
      <c r="K56" s="568"/>
    </row>
    <row r="57" spans="1:1" ht="15.75">
      <c r="A57" s="207"/>
    </row>
    <row r="58" spans="1:1" ht="15.75">
      <c r="A58" s="208" t="s">
        <v>332</v>
      </c>
    </row>
    <row r="59" spans="1:1" ht="15.75">
      <c r="A59" s="209" t="s">
        <v>362</v>
      </c>
    </row>
    <row r="60" spans="1:5" ht="15.75" customHeight="1">
      <c r="A60" s="209" t="s">
        <v>363</v>
      </c>
      <c r="B60" s="210"/>
      <c r="C60" s="210"/>
      <c r="D60" s="210"/>
      <c r="E60" s="210"/>
    </row>
    <row r="61" spans="1:1" ht="12.75">
      <c r="A61" s="211"/>
    </row>
    <row r="62" spans="1:11" ht="15">
      <c r="A62" s="567" t="s">
        <v>364</v>
      </c>
      <c r="B62" s="567"/>
      <c r="C62" s="567"/>
      <c r="D62" s="567"/>
      <c r="E62" s="567"/>
      <c r="F62" s="567"/>
      <c r="G62" s="567"/>
      <c r="H62" s="567"/>
      <c r="I62" s="567"/>
      <c r="J62" s="567"/>
      <c r="K62" s="567"/>
    </row>
    <row r="63" spans="1:11" ht="15">
      <c r="A63" s="567" t="str">
        <f>"Invoice for the Month of "&amp;'WORKING SHEET'!B3</f>
        <v>Invoice for the Month of SEPTEMBER-2025</v>
      </c>
      <c r="B63" s="567"/>
      <c r="C63" s="567"/>
      <c r="D63" s="567"/>
      <c r="E63" s="567"/>
      <c r="F63" s="567"/>
      <c r="G63" s="567"/>
      <c r="H63" s="567"/>
      <c r="I63" s="567"/>
      <c r="J63" s="567"/>
      <c r="K63" s="567"/>
    </row>
    <row r="64" spans="1:1" ht="15.75">
      <c r="A64" s="207"/>
    </row>
    <row r="65" spans="1:1" ht="14.25">
      <c r="A65" s="212" t="str">
        <f>"Subject: "&amp;'WORKING SHEET'!$C$5&amp;" – Invoice No. "&amp;'WORKING SHEET'!$B$2&amp;" for the Month of "&amp;'WORKING SHEET'!$B$3&amp;" for amc contract for o&amp;m of fire and safety "</f>
        <v xml:space="preserve">Subject: RA BILL NO-18 – Invoice No. SSI/1186 for the Month of SEPTEMBER-2025 for amc contract for o&amp;m of fire and safety </v>
      </c>
    </row>
    <row r="66" spans="1:1" ht="14.25">
      <c r="A66" s="212" t="s">
        <v>365</v>
      </c>
    </row>
    <row r="68" spans="1:1" ht="14.25">
      <c r="A68" s="212" t="s">
        <v>366</v>
      </c>
    </row>
    <row r="69" spans="1:9" ht="15.75">
      <c r="A69" s="207"/>
      <c r="B69" s="189"/>
      <c r="C69" s="189"/>
      <c r="D69" s="189"/>
      <c r="E69" s="189"/>
      <c r="F69" s="189"/>
      <c r="G69" s="189"/>
      <c r="H69" s="189"/>
      <c r="I69" s="189"/>
    </row>
    <row r="70" spans="1:9" ht="15">
      <c r="A70" s="212" t="s">
        <v>333</v>
      </c>
      <c r="B70" s="189"/>
      <c r="C70" s="189"/>
      <c r="D70" s="189"/>
      <c r="E70" s="189"/>
      <c r="F70" s="189"/>
      <c r="G70" s="189"/>
      <c r="H70" s="189"/>
      <c r="I70" s="189"/>
    </row>
    <row r="71" spans="1:9" ht="15">
      <c r="A71" s="212"/>
      <c r="B71" s="189"/>
      <c r="C71" s="189"/>
      <c r="D71" s="189"/>
      <c r="E71" s="189"/>
      <c r="F71" s="189"/>
      <c r="G71" s="189"/>
      <c r="H71" s="189"/>
      <c r="I71" s="189"/>
    </row>
    <row r="72" spans="1:9" ht="15">
      <c r="A72" s="212" t="str">
        <f>"We are submitting "&amp;'WORKING SHEET'!$C$5&amp;", Invoice No.- "&amp;'WORKING SHEET'!$B$2&amp;" for the period of "&amp;'WORKING SHEET'!$B$1&amp;" for amc contract for O&amp;M "</f>
        <v xml:space="preserve">We are submitting RA BILL NO-18, Invoice No.- SSI/1186 for the period of 01 Oct 2025 To 31 Oct 2025 for amc contract for O&amp;M </v>
      </c>
      <c r="B72" s="189"/>
      <c r="C72" s="189"/>
      <c r="D72" s="189"/>
      <c r="E72" s="189"/>
      <c r="F72" s="189"/>
      <c r="G72" s="189"/>
      <c r="H72" s="189"/>
      <c r="I72" s="189"/>
    </row>
    <row r="73" spans="1:9" ht="15">
      <c r="A73" s="212" t="s">
        <v>367</v>
      </c>
      <c r="B73" s="189"/>
      <c r="C73" s="189"/>
      <c r="D73" s="189"/>
      <c r="E73" s="189"/>
      <c r="F73" s="189"/>
      <c r="G73" s="189"/>
      <c r="H73" s="189"/>
      <c r="I73" s="189"/>
    </row>
    <row r="74" spans="1:9" ht="15">
      <c r="A74" s="212"/>
      <c r="B74" s="189"/>
      <c r="C74" s="189"/>
      <c r="D74" s="189"/>
      <c r="E74" s="189"/>
      <c r="F74" s="189"/>
      <c r="G74" s="189"/>
      <c r="H74" s="189"/>
      <c r="I74" s="189"/>
    </row>
    <row r="75" spans="1:5" ht="14.25">
      <c r="A75" s="212" t="str">
        <f>"The  total  bill  amount  is  INR  "&amp;'WORKING SHEET'!B18</f>
        <v>The  total  bill  amount  is  INR  657384.07</v>
      </c>
      <c r="E75" s="213" t="e">
        <f ca="1">[1]!SpellNumber('WORKING SHEET'!B18)</f>
        <v>#NAME?</v>
      </c>
    </row>
    <row r="76" spans="1:1" ht="15.75">
      <c r="A76" s="207"/>
    </row>
    <row r="77" spans="1:1" ht="14.25">
      <c r="A77" s="212" t="s">
        <v>334</v>
      </c>
    </row>
    <row r="78" spans="1:2" ht="15">
      <c r="A78" s="212" t="s">
        <v>335</v>
      </c>
      <c r="B78" s="189"/>
    </row>
    <row r="79" spans="1:2" ht="15">
      <c r="A79" s="212" t="s">
        <v>336</v>
      </c>
      <c r="B79" s="189"/>
    </row>
    <row r="80" spans="1:2" ht="15">
      <c r="A80" s="212" t="s">
        <v>337</v>
      </c>
      <c r="B80" s="189"/>
    </row>
    <row r="81" spans="1:2" ht="15">
      <c r="A81" s="212" t="s">
        <v>338</v>
      </c>
      <c r="B81" s="189"/>
    </row>
    <row r="82" spans="1:2" ht="15">
      <c r="A82" s="212" t="s">
        <v>339</v>
      </c>
      <c r="B82" s="189"/>
    </row>
    <row r="84" spans="1:1" ht="14.25">
      <c r="A84" s="212" t="s">
        <v>340</v>
      </c>
    </row>
    <row r="86" spans="1:3" ht="15">
      <c r="A86" s="212" t="s">
        <v>341</v>
      </c>
      <c r="B86" s="189"/>
      <c r="C86" s="189"/>
    </row>
    <row r="87" spans="1:3" ht="15">
      <c r="A87" s="212" t="s">
        <v>342</v>
      </c>
      <c r="B87" s="189"/>
      <c r="C87" s="189"/>
    </row>
    <row r="88" spans="1:3" ht="15">
      <c r="A88" s="212" t="s">
        <v>299</v>
      </c>
      <c r="B88" s="189"/>
      <c r="C88" s="189"/>
    </row>
    <row r="89" spans="1:3" ht="15">
      <c r="A89" s="212" t="s">
        <v>343</v>
      </c>
      <c r="B89" s="189"/>
      <c r="C89" s="189"/>
    </row>
    <row r="92" spans="1:1" ht="14.25">
      <c r="A92" s="212"/>
    </row>
    <row r="93" spans="1:1" ht="14.25">
      <c r="A93" s="212"/>
    </row>
    <row r="94" spans="1:1" ht="14.25">
      <c r="A94" s="212"/>
    </row>
    <row r="95" spans="1:1" ht="14.25">
      <c r="A95" s="212" t="s">
        <v>344</v>
      </c>
    </row>
    <row r="96" spans="1:1" ht="14.25">
      <c r="A96" s="212" t="s">
        <v>345</v>
      </c>
    </row>
    <row r="97" spans="1:1" ht="14.25">
      <c r="A97" s="212" t="s">
        <v>346</v>
      </c>
    </row>
    <row r="98" spans="1:1" ht="14.25">
      <c r="A98" s="212" t="s">
        <v>347</v>
      </c>
    </row>
    <row r="99" spans="6:9" ht="15">
      <c r="F99" s="189"/>
      <c r="I99" s="189"/>
    </row>
    <row r="100" spans="6:9" ht="15">
      <c r="F100" s="189"/>
      <c r="I100" s="189"/>
    </row>
    <row r="101" spans="6:9" ht="15">
      <c r="F101" s="189"/>
      <c r="I101" s="189"/>
    </row>
    <row r="102" spans="6:9" ht="15">
      <c r="F102" s="189"/>
      <c r="I102" s="189"/>
    </row>
    <row r="103" spans="6:9" ht="15">
      <c r="F103" s="189"/>
      <c r="I103" s="189"/>
    </row>
    <row r="104" spans="6:9" ht="15">
      <c r="F104" s="189"/>
      <c r="I104" s="189"/>
    </row>
    <row r="105" spans="7:9" ht="15.75">
      <c r="G105" s="204"/>
      <c r="I105" s="204"/>
    </row>
    <row r="106" spans="1:11" ht="15">
      <c r="A106" s="205"/>
      <c r="G106" s="206"/>
      <c r="H106" s="568"/>
      <c r="I106" s="568"/>
      <c r="J106" s="568"/>
      <c r="K106" s="568"/>
    </row>
    <row r="107" spans="1:1" ht="15.75">
      <c r="A107" s="207"/>
    </row>
    <row r="108" spans="1:1" ht="15.75">
      <c r="A108" s="208"/>
    </row>
    <row r="109" spans="1:1" ht="15.75">
      <c r="A109" s="208"/>
    </row>
    <row r="110" spans="1:5" ht="15.75">
      <c r="A110" s="209"/>
      <c r="B110" s="210"/>
      <c r="C110" s="210"/>
      <c r="D110" s="210"/>
      <c r="E110" s="210"/>
    </row>
    <row r="111" spans="1:1" ht="12.75">
      <c r="A111" s="211"/>
    </row>
    <row r="112" spans="1:11" ht="15">
      <c r="A112" s="567"/>
      <c r="B112" s="567"/>
      <c r="C112" s="567"/>
      <c r="D112" s="567"/>
      <c r="E112" s="567"/>
      <c r="F112" s="567"/>
      <c r="G112" s="567"/>
      <c r="H112" s="567"/>
      <c r="I112" s="567"/>
      <c r="J112" s="567"/>
      <c r="K112" s="567"/>
    </row>
    <row r="113" spans="1:11" ht="15">
      <c r="A113" s="567"/>
      <c r="B113" s="567"/>
      <c r="C113" s="567"/>
      <c r="D113" s="567"/>
      <c r="E113" s="567"/>
      <c r="F113" s="567"/>
      <c r="G113" s="567"/>
      <c r="H113" s="567"/>
      <c r="I113" s="567"/>
      <c r="J113" s="567"/>
      <c r="K113" s="567"/>
    </row>
    <row r="114" spans="1:1" ht="15.75">
      <c r="A114" s="207"/>
    </row>
    <row r="115" spans="1:1" ht="14.25">
      <c r="A115" s="212"/>
    </row>
    <row r="116" spans="1:1" ht="14.25">
      <c r="A116" s="212"/>
    </row>
    <row r="118" spans="1:1" ht="14.25">
      <c r="A118" s="212"/>
    </row>
    <row r="119" spans="1:9" ht="15.75">
      <c r="A119" s="207"/>
      <c r="B119" s="189"/>
      <c r="C119" s="189"/>
      <c r="D119" s="189"/>
      <c r="E119" s="189"/>
      <c r="F119" s="189"/>
      <c r="G119" s="189"/>
      <c r="H119" s="189"/>
      <c r="I119" s="189"/>
    </row>
    <row r="120" spans="1:9" ht="15">
      <c r="A120" s="212"/>
      <c r="B120" s="189"/>
      <c r="C120" s="189"/>
      <c r="D120" s="189"/>
      <c r="E120" s="189"/>
      <c r="F120" s="189"/>
      <c r="G120" s="189"/>
      <c r="H120" s="189"/>
      <c r="I120" s="189"/>
    </row>
    <row r="121" spans="1:9" ht="15">
      <c r="A121" s="212"/>
      <c r="B121" s="189"/>
      <c r="C121" s="189"/>
      <c r="D121" s="189"/>
      <c r="E121" s="189"/>
      <c r="F121" s="189"/>
      <c r="G121" s="189"/>
      <c r="H121" s="189"/>
      <c r="I121" s="189"/>
    </row>
    <row r="122" spans="1:9" ht="15">
      <c r="A122" s="212"/>
      <c r="B122" s="189"/>
      <c r="C122" s="189"/>
      <c r="D122" s="189"/>
      <c r="E122" s="189"/>
      <c r="F122" s="189"/>
      <c r="G122" s="189"/>
      <c r="H122" s="189"/>
      <c r="I122" s="189"/>
    </row>
    <row r="123" spans="1:9" ht="15">
      <c r="A123" s="212"/>
      <c r="B123" s="189"/>
      <c r="C123" s="189"/>
      <c r="D123" s="189"/>
      <c r="E123" s="189"/>
      <c r="F123" s="189"/>
      <c r="G123" s="189"/>
      <c r="H123" s="189"/>
      <c r="I123" s="189"/>
    </row>
    <row r="124" spans="1:9" ht="15">
      <c r="A124" s="212"/>
      <c r="B124" s="189"/>
      <c r="C124" s="189"/>
      <c r="D124" s="189"/>
      <c r="E124" s="189"/>
      <c r="F124" s="189"/>
      <c r="G124" s="189"/>
      <c r="H124" s="189"/>
      <c r="I124" s="189"/>
    </row>
    <row r="125" spans="1:5" ht="14.25">
      <c r="A125" s="212"/>
      <c r="E125" s="213"/>
    </row>
    <row r="126" spans="1:1" ht="15.75">
      <c r="A126" s="207"/>
    </row>
    <row r="127" spans="1:1" ht="14.25">
      <c r="A127" s="212"/>
    </row>
    <row r="128" spans="1:2" ht="15">
      <c r="A128" s="212"/>
      <c r="B128" s="189"/>
    </row>
    <row r="129" spans="1:2" ht="15">
      <c r="A129" s="212"/>
      <c r="B129" s="189"/>
    </row>
    <row r="130" spans="1:2" ht="15">
      <c r="A130" s="212"/>
      <c r="B130" s="189"/>
    </row>
    <row r="131" spans="1:2" ht="15">
      <c r="A131" s="212"/>
      <c r="B131" s="189"/>
    </row>
    <row r="132" spans="1:2" ht="15">
      <c r="A132" s="212"/>
      <c r="B132" s="189"/>
    </row>
    <row r="134" spans="1:1" ht="14.25">
      <c r="A134" s="212"/>
    </row>
    <row r="136" spans="1:3" ht="15">
      <c r="A136" s="212"/>
      <c r="B136" s="189"/>
      <c r="C136" s="189"/>
    </row>
    <row r="137" spans="1:3" ht="15">
      <c r="A137" s="212"/>
      <c r="B137" s="189"/>
      <c r="C137" s="189"/>
    </row>
    <row r="138" spans="1:3" ht="15">
      <c r="A138" s="212"/>
      <c r="B138" s="189"/>
      <c r="C138" s="189"/>
    </row>
    <row r="139" spans="1:3" ht="15">
      <c r="A139" s="212"/>
      <c r="B139" s="189"/>
      <c r="C139" s="189"/>
    </row>
    <row r="142" spans="1:1" ht="14.25">
      <c r="A142" s="212"/>
    </row>
    <row r="143" spans="1:1" ht="14.25">
      <c r="A143" s="212"/>
    </row>
    <row r="144" spans="1:1" ht="14.25">
      <c r="A144" s="212"/>
    </row>
    <row r="145" spans="1:1" ht="14.25">
      <c r="A145" s="212"/>
    </row>
    <row r="146" spans="1:1" ht="14.25">
      <c r="A146" s="212"/>
    </row>
    <row r="147" spans="1:1" ht="14.25">
      <c r="A147" s="212"/>
    </row>
    <row r="148" spans="1:1" ht="14.25">
      <c r="A148" s="212"/>
    </row>
    <row r="149" spans="6:9" ht="15">
      <c r="F149" s="189"/>
      <c r="I149" s="189"/>
    </row>
    <row r="150" spans="6:9" ht="15">
      <c r="F150" s="189"/>
      <c r="I150" s="189"/>
    </row>
    <row r="151" spans="6:9" ht="15">
      <c r="F151" s="189"/>
      <c r="I151" s="189"/>
    </row>
    <row r="152" spans="6:9" ht="15">
      <c r="F152" s="189"/>
      <c r="I152" s="189"/>
    </row>
    <row r="153" spans="6:9" ht="15">
      <c r="F153" s="189"/>
      <c r="I153" s="189"/>
    </row>
    <row r="154" spans="6:9" ht="15">
      <c r="F154" s="189"/>
      <c r="I154" s="189"/>
    </row>
    <row r="155" spans="7:9" ht="15.75">
      <c r="G155" s="204"/>
      <c r="I155" s="204"/>
    </row>
    <row r="156" spans="1:11" ht="15">
      <c r="A156" s="205"/>
      <c r="G156" s="206"/>
      <c r="H156" s="568"/>
      <c r="I156" s="568"/>
      <c r="J156" s="568"/>
      <c r="K156" s="568"/>
    </row>
    <row r="157" spans="1:1" ht="15.75">
      <c r="A157" s="207"/>
    </row>
    <row r="158" spans="1:1" ht="15.75">
      <c r="A158" s="208"/>
    </row>
    <row r="159" spans="1:1" ht="15.75">
      <c r="A159" s="208"/>
    </row>
    <row r="160" spans="1:5" ht="15.75">
      <c r="A160" s="209"/>
      <c r="B160" s="210"/>
      <c r="C160" s="210"/>
      <c r="D160" s="210"/>
      <c r="E160" s="210"/>
    </row>
    <row r="161" spans="1:1" ht="12.75">
      <c r="A161" s="211"/>
    </row>
    <row r="162" spans="1:11" ht="15">
      <c r="A162" s="567"/>
      <c r="B162" s="567"/>
      <c r="C162" s="567"/>
      <c r="D162" s="567"/>
      <c r="E162" s="567"/>
      <c r="F162" s="567"/>
      <c r="G162" s="567"/>
      <c r="H162" s="567"/>
      <c r="I162" s="567"/>
      <c r="J162" s="567"/>
      <c r="K162" s="567"/>
    </row>
    <row r="163" spans="1:11" ht="15">
      <c r="A163" s="567"/>
      <c r="B163" s="567"/>
      <c r="C163" s="567"/>
      <c r="D163" s="567"/>
      <c r="E163" s="567"/>
      <c r="F163" s="567"/>
      <c r="G163" s="567"/>
      <c r="H163" s="567"/>
      <c r="I163" s="567"/>
      <c r="J163" s="567"/>
      <c r="K163" s="567"/>
    </row>
    <row r="164" spans="1:1" ht="15.75">
      <c r="A164" s="207"/>
    </row>
    <row r="165" spans="1:1" ht="14.25">
      <c r="A165" s="212"/>
    </row>
    <row r="166" spans="1:1" ht="14.25">
      <c r="A166" s="212"/>
    </row>
    <row r="168" spans="1:1" ht="14.25">
      <c r="A168" s="212"/>
    </row>
    <row r="169" spans="1:9" ht="15.75">
      <c r="A169" s="207"/>
      <c r="B169" s="189"/>
      <c r="C169" s="189"/>
      <c r="D169" s="189"/>
      <c r="E169" s="189"/>
      <c r="F169" s="189"/>
      <c r="G169" s="189"/>
      <c r="H169" s="189"/>
      <c r="I169" s="189"/>
    </row>
    <row r="170" spans="1:9" ht="15">
      <c r="A170" s="212"/>
      <c r="B170" s="189"/>
      <c r="C170" s="189"/>
      <c r="D170" s="189"/>
      <c r="E170" s="189"/>
      <c r="F170" s="189"/>
      <c r="G170" s="189"/>
      <c r="H170" s="189"/>
      <c r="I170" s="189"/>
    </row>
    <row r="171" spans="1:9" ht="15">
      <c r="A171" s="212"/>
      <c r="B171" s="189"/>
      <c r="C171" s="189"/>
      <c r="D171" s="189"/>
      <c r="E171" s="189"/>
      <c r="F171" s="189"/>
      <c r="G171" s="189"/>
      <c r="H171" s="189"/>
      <c r="I171" s="189"/>
    </row>
    <row r="172" spans="1:9" ht="15">
      <c r="A172" s="212"/>
      <c r="B172" s="189"/>
      <c r="C172" s="189"/>
      <c r="D172" s="189"/>
      <c r="E172" s="189"/>
      <c r="F172" s="189"/>
      <c r="G172" s="189"/>
      <c r="H172" s="189"/>
      <c r="I172" s="189"/>
    </row>
    <row r="173" spans="1:9" ht="15">
      <c r="A173" s="212"/>
      <c r="B173" s="189"/>
      <c r="C173" s="189"/>
      <c r="D173" s="189"/>
      <c r="E173" s="189"/>
      <c r="F173" s="189"/>
      <c r="G173" s="189"/>
      <c r="H173" s="189"/>
      <c r="I173" s="189"/>
    </row>
    <row r="174" spans="1:9" ht="15">
      <c r="A174" s="212"/>
      <c r="B174" s="189"/>
      <c r="C174" s="189"/>
      <c r="D174" s="189"/>
      <c r="E174" s="189"/>
      <c r="F174" s="189"/>
      <c r="G174" s="189"/>
      <c r="H174" s="189"/>
      <c r="I174" s="189"/>
    </row>
    <row r="175" spans="1:5" ht="14.25">
      <c r="A175" s="212"/>
      <c r="E175" s="213"/>
    </row>
    <row r="176" spans="1:1" ht="15.75">
      <c r="A176" s="207"/>
    </row>
    <row r="177" spans="1:1" ht="14.25">
      <c r="A177" s="212"/>
    </row>
    <row r="178" spans="1:2" ht="15">
      <c r="A178" s="212"/>
      <c r="B178" s="189"/>
    </row>
    <row r="179" spans="1:2" ht="15">
      <c r="A179" s="212"/>
      <c r="B179" s="189"/>
    </row>
    <row r="180" spans="1:2" ht="15">
      <c r="A180" s="212"/>
      <c r="B180" s="189"/>
    </row>
    <row r="181" spans="1:2" ht="15">
      <c r="A181" s="212"/>
      <c r="B181" s="189"/>
    </row>
    <row r="182" spans="1:2" ht="15">
      <c r="A182" s="212"/>
      <c r="B182" s="189"/>
    </row>
    <row r="184" spans="1:1" ht="14.25">
      <c r="A184" s="212"/>
    </row>
    <row r="186" spans="1:3" ht="15">
      <c r="A186" s="212"/>
      <c r="B186" s="189"/>
      <c r="C186" s="189"/>
    </row>
    <row r="187" spans="1:3" ht="15">
      <c r="A187" s="212"/>
      <c r="B187" s="189"/>
      <c r="C187" s="189"/>
    </row>
    <row r="188" spans="1:3" ht="15">
      <c r="A188" s="212"/>
      <c r="B188" s="189"/>
      <c r="C188" s="189"/>
    </row>
    <row r="189" spans="1:3" ht="15">
      <c r="A189" s="212"/>
      <c r="B189" s="189"/>
      <c r="C189" s="189"/>
    </row>
    <row r="192" spans="1:1" ht="14.25">
      <c r="A192" s="212"/>
    </row>
    <row r="193" spans="1:1" ht="14.25">
      <c r="A193" s="212"/>
    </row>
    <row r="194" spans="1:1" ht="14.25">
      <c r="A194" s="212"/>
    </row>
    <row r="195" spans="1:1" ht="14.25">
      <c r="A195" s="212"/>
    </row>
    <row r="196" spans="1:1" ht="14.25">
      <c r="A196" s="212"/>
    </row>
    <row r="197" spans="1:1" ht="14.25">
      <c r="A197" s="212"/>
    </row>
    <row r="198" spans="1:1" ht="14.25">
      <c r="A198" s="212"/>
    </row>
  </sheetData>
  <sheetProtection/>
  <mergeCells count="33">
    <mergeCell ref="B41:C41"/>
    <mergeCell ref="A163:K163"/>
    <mergeCell ref="A63:K63"/>
    <mergeCell ref="H106:K106"/>
    <mergeCell ref="A112:K112"/>
    <mergeCell ref="A113:K113"/>
    <mergeCell ref="H156:K156"/>
    <mergeCell ref="A162:K162"/>
    <mergeCell ref="D33:G33"/>
    <mergeCell ref="A34:C34"/>
    <mergeCell ref="D34:G34"/>
    <mergeCell ref="A35:C35"/>
    <mergeCell ref="D35:G35"/>
    <mergeCell ref="A36:C36"/>
    <mergeCell ref="D36:G36"/>
    <mergeCell ref="A8:K8"/>
    <mergeCell ref="J9:K9"/>
    <mergeCell ref="A10:K10"/>
    <mergeCell ref="A27:F27"/>
    <mergeCell ref="A29:F29"/>
    <mergeCell ref="A31:C31"/>
    <mergeCell ref="D31:G31"/>
    <mergeCell ref="H31:K31"/>
    <mergeCell ref="H32:K32"/>
    <mergeCell ref="A62:K62"/>
    <mergeCell ref="H56:K56"/>
    <mergeCell ref="H36:K36"/>
    <mergeCell ref="H35:K35"/>
    <mergeCell ref="H34:K34"/>
    <mergeCell ref="H33:K33"/>
    <mergeCell ref="A32:C32"/>
    <mergeCell ref="D32:G32"/>
    <mergeCell ref="A33:C33"/>
  </mergeCells>
  <hyperlinks>
    <hyperlink ref="I53" r:id="rId1" display="E-mail: snsitech@gmail.com  "/>
    <hyperlink ref="I54" r:id="rId2" display="Website: www.snsinfotech.com"/>
    <hyperlink ref="I5" r:id="rId3" display="E-mail: snsitech@gmail.com  "/>
    <hyperlink ref="I6" r:id="rId4" display="Website: www.snsinfotech.com"/>
  </hyperlinks>
  <pageMargins left="0.7" right="0.7" top="0.75" bottom="0.75" header="0.3" footer="0.3"/>
  <pageSetup fitToHeight="0" orientation="portrait" paperSize="1" scale="90" r:id="rId6"/>
  <rowBreaks count="1" manualBreakCount="1">
    <brk id="46" max="10" man="1"/>
  </rowBreaks>
  <drawing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DB7B9CB6-BA04-4692-9DFE-6B48DABDB9AB}">
  <sheetPr codeName="Sheet10"/>
  <dimension ref="E6:S37"/>
  <sheetViews>
    <sheetView zoomScale="78" zoomScaleNormal="78" workbookViewId="0" topLeftCell="C1">
      <selection pane="topLeft" activeCell="H40" sqref="H40"/>
    </sheetView>
  </sheetViews>
  <sheetFormatPr defaultRowHeight="12.75"/>
  <cols>
    <col min="5" max="5" width="18.5714285714286" customWidth="1"/>
    <col min="6" max="11" width="10.5714285714286" customWidth="1"/>
    <col min="12" max="12" width="6.57142857142857" customWidth="1"/>
    <col min="13" max="15" width="10.5714285714286" customWidth="1"/>
    <col min="18" max="18" width="11.5714285714286" customWidth="1"/>
  </cols>
  <sheetData>
    <row r="6" spans="5:15" ht="20.1" customHeight="1">
      <c r="E6" s="594" t="s">
        <v>175</v>
      </c>
      <c r="F6" s="595"/>
      <c r="G6" s="595"/>
      <c r="H6" s="595"/>
      <c r="I6" s="595"/>
      <c r="J6" s="595"/>
      <c r="K6" s="595"/>
      <c r="L6" s="595"/>
      <c r="M6" s="595"/>
      <c r="N6" s="595"/>
      <c r="O6" s="596"/>
    </row>
    <row r="7" spans="5:15" ht="12.75">
      <c r="E7" s="149"/>
      <c r="F7" s="150"/>
      <c r="G7" s="150"/>
      <c r="H7" s="150"/>
      <c r="I7" s="150"/>
      <c r="J7" s="150"/>
      <c r="K7" s="150"/>
      <c r="L7" s="151"/>
      <c r="M7" s="151"/>
      <c r="N7" s="151"/>
      <c r="O7" s="151"/>
    </row>
    <row r="8" spans="5:19" ht="12.75">
      <c r="E8" s="149">
        <v>897</v>
      </c>
      <c r="F8" s="150">
        <v>26</v>
      </c>
      <c r="G8" s="150">
        <f>E8*F8</f>
        <v>23322</v>
      </c>
      <c r="H8" s="150">
        <f>G8*13%</f>
        <v>3031.8600000000001</v>
      </c>
      <c r="I8" s="150">
        <f>G8*3.25%</f>
        <v>757.96500000000003</v>
      </c>
      <c r="J8" s="150">
        <v>2414.11</v>
      </c>
      <c r="K8" s="152">
        <f>SUM(G8:J8)</f>
        <v>29525.935000000001</v>
      </c>
      <c r="L8" s="151">
        <v>4</v>
      </c>
      <c r="M8" s="151">
        <f>K8*L8</f>
        <v>118103.74000000001</v>
      </c>
      <c r="N8" s="151">
        <v>115698.69</v>
      </c>
      <c r="O8" s="153">
        <f>M8-N8</f>
        <v>2405.0500000000029</v>
      </c>
      <c r="P8">
        <f>M8*24</f>
        <v>2834489.7600000002</v>
      </c>
      <c r="Q8">
        <f>(P8*18%)+P8</f>
        <v>3344697.9168000002</v>
      </c>
      <c r="R8">
        <v>3276587.01</v>
      </c>
      <c r="S8">
        <f>Q8-R8</f>
        <v>68110.906800000463</v>
      </c>
    </row>
    <row r="9" spans="5:15" ht="12.75">
      <c r="E9" s="149"/>
      <c r="F9" s="150"/>
      <c r="G9" s="150"/>
      <c r="H9" s="150"/>
      <c r="I9" s="150"/>
      <c r="J9" s="150"/>
      <c r="K9" s="154"/>
      <c r="L9" s="151"/>
      <c r="M9" s="151"/>
      <c r="N9" s="151"/>
      <c r="O9" s="151"/>
    </row>
    <row r="10" spans="5:15" ht="20.1" customHeight="1">
      <c r="E10" s="594" t="s">
        <v>180</v>
      </c>
      <c r="F10" s="595"/>
      <c r="G10" s="595"/>
      <c r="H10" s="595"/>
      <c r="I10" s="595"/>
      <c r="J10" s="595"/>
      <c r="K10" s="595"/>
      <c r="L10" s="595"/>
      <c r="M10" s="595"/>
      <c r="N10" s="595"/>
      <c r="O10" s="596"/>
    </row>
    <row r="11" spans="5:15" ht="12.75">
      <c r="E11" s="149"/>
      <c r="F11" s="150"/>
      <c r="G11" s="150"/>
      <c r="H11" s="150"/>
      <c r="I11" s="150"/>
      <c r="J11" s="150"/>
      <c r="K11" s="154"/>
      <c r="L11" s="151"/>
      <c r="M11" s="151"/>
      <c r="N11" s="151"/>
      <c r="O11" s="151"/>
    </row>
    <row r="12" spans="5:19" ht="12.75">
      <c r="E12" s="149">
        <v>816</v>
      </c>
      <c r="F12" s="150">
        <v>26</v>
      </c>
      <c r="G12" s="150">
        <f>E12*F12</f>
        <v>21216</v>
      </c>
      <c r="H12" s="150">
        <f>G12*13%</f>
        <v>2758.0799999999999</v>
      </c>
      <c r="I12" s="150">
        <f>21000*3.25%</f>
        <v>682.5</v>
      </c>
      <c r="J12" s="150">
        <v>2196.11</v>
      </c>
      <c r="K12" s="152">
        <f>SUM(G12:J12)</f>
        <v>26852.690000000002</v>
      </c>
      <c r="L12" s="151">
        <v>7</v>
      </c>
      <c r="M12" s="151">
        <f>K12*L12</f>
        <v>187968.83000000002</v>
      </c>
      <c r="N12" s="151">
        <v>185547.07</v>
      </c>
      <c r="O12" s="153">
        <f>M12-N12</f>
        <v>2421.7600000000093</v>
      </c>
      <c r="P12">
        <f>M12*24</f>
        <v>4511251.9199999999</v>
      </c>
      <c r="Q12">
        <f>(P12*18%)+P12</f>
        <v>5323277.2655999996</v>
      </c>
      <c r="R12">
        <v>5254692.9400000004</v>
      </c>
      <c r="S12">
        <f>Q12-R12</f>
        <v>68584.325599999167</v>
      </c>
    </row>
    <row r="13" spans="5:15" ht="12.75">
      <c r="E13" s="151"/>
      <c r="F13" s="151"/>
      <c r="G13" s="151"/>
      <c r="H13" s="151"/>
      <c r="I13" s="151"/>
      <c r="J13" s="151"/>
      <c r="K13" s="151"/>
      <c r="L13" s="151"/>
      <c r="M13" s="151"/>
      <c r="N13" s="151"/>
      <c r="O13" s="151"/>
    </row>
    <row r="14" spans="5:15" ht="20.1" customHeight="1">
      <c r="E14" s="594" t="s">
        <v>176</v>
      </c>
      <c r="F14" s="597"/>
      <c r="G14" s="597"/>
      <c r="H14" s="597"/>
      <c r="I14" s="597"/>
      <c r="J14" s="597"/>
      <c r="K14" s="597"/>
      <c r="L14" s="597"/>
      <c r="M14" s="597"/>
      <c r="N14" s="597"/>
      <c r="O14" s="598"/>
    </row>
    <row r="15" spans="5:15" ht="12.75">
      <c r="E15" s="149"/>
      <c r="F15" s="150"/>
      <c r="G15" s="150"/>
      <c r="H15" s="150"/>
      <c r="I15" s="150"/>
      <c r="J15" s="150"/>
      <c r="K15" s="154"/>
      <c r="L15" s="151"/>
      <c r="M15" s="151"/>
      <c r="N15" s="151"/>
      <c r="O15" s="151"/>
    </row>
    <row r="16" spans="5:19" ht="12.75">
      <c r="E16" s="149">
        <v>816</v>
      </c>
      <c r="F16" s="150">
        <v>26</v>
      </c>
      <c r="G16" s="150">
        <f>E16*F16</f>
        <v>21216</v>
      </c>
      <c r="H16" s="150">
        <f>G16*13%</f>
        <v>2758.0799999999999</v>
      </c>
      <c r="I16" s="150">
        <f>G16*3.25%</f>
        <v>689.51999999999998</v>
      </c>
      <c r="J16" s="150">
        <v>2196.11</v>
      </c>
      <c r="K16" s="152">
        <f>SUM(G16:J16)</f>
        <v>26859.710000000003</v>
      </c>
      <c r="L16" s="151">
        <v>4</v>
      </c>
      <c r="M16" s="151">
        <f>K16*L16</f>
        <v>107438.84000000001</v>
      </c>
      <c r="N16" s="151">
        <v>106026.90</v>
      </c>
      <c r="O16" s="153">
        <f>M16-N16</f>
        <v>1411.9400000000169</v>
      </c>
      <c r="P16">
        <f>M16*24</f>
        <v>2578532.1600000001</v>
      </c>
      <c r="Q16">
        <f>(P16*18%)+P16</f>
        <v>3042667.9488000004</v>
      </c>
      <c r="R16">
        <v>3002681.68</v>
      </c>
      <c r="S16">
        <f>Q16-R16</f>
        <v>39986.268800000194</v>
      </c>
    </row>
    <row r="17" spans="5:15" ht="12.75">
      <c r="E17" s="151"/>
      <c r="F17" s="151"/>
      <c r="G17" s="151"/>
      <c r="H17" s="151"/>
      <c r="I17" s="151"/>
      <c r="J17" s="151"/>
      <c r="K17" s="151"/>
      <c r="L17" s="151"/>
      <c r="M17" s="151"/>
      <c r="N17" s="151"/>
      <c r="O17" s="151"/>
    </row>
    <row r="18" spans="5:15" ht="20.1" customHeight="1">
      <c r="E18" s="594" t="s">
        <v>177</v>
      </c>
      <c r="F18" s="595"/>
      <c r="G18" s="595"/>
      <c r="H18" s="595"/>
      <c r="I18" s="595"/>
      <c r="J18" s="595"/>
      <c r="K18" s="595"/>
      <c r="L18" s="595"/>
      <c r="M18" s="595"/>
      <c r="N18" s="595"/>
      <c r="O18" s="596"/>
    </row>
    <row r="19" spans="5:15" ht="12.75">
      <c r="E19" s="149"/>
      <c r="F19" s="150"/>
      <c r="G19" s="150"/>
      <c r="H19" s="150"/>
      <c r="I19" s="150"/>
      <c r="J19" s="150"/>
      <c r="K19" s="154"/>
      <c r="L19" s="151"/>
      <c r="M19" s="151"/>
      <c r="N19" s="151"/>
      <c r="O19" s="151"/>
    </row>
    <row r="20" spans="5:19" ht="12.75">
      <c r="E20" s="149">
        <v>816</v>
      </c>
      <c r="F20" s="150">
        <v>26</v>
      </c>
      <c r="G20" s="150">
        <f>E20*F20</f>
        <v>21216</v>
      </c>
      <c r="H20" s="150">
        <f>G20*13%</f>
        <v>2758.0799999999999</v>
      </c>
      <c r="I20" s="150">
        <f>G20*3.25%</f>
        <v>689.51999999999998</v>
      </c>
      <c r="J20" s="150">
        <v>2196.11</v>
      </c>
      <c r="K20" s="152">
        <f>SUM(G20:J20)</f>
        <v>26859.710000000003</v>
      </c>
      <c r="L20" s="151">
        <v>4</v>
      </c>
      <c r="M20" s="151">
        <f>K20*L20</f>
        <v>107438.84000000001</v>
      </c>
      <c r="N20" s="151">
        <v>106026.90</v>
      </c>
      <c r="O20" s="153">
        <f>M20-N20</f>
        <v>1411.9400000000169</v>
      </c>
      <c r="P20">
        <f>M20*24</f>
        <v>2578532.1600000001</v>
      </c>
      <c r="Q20">
        <f>(P20*18%)+P20</f>
        <v>3042667.9488000004</v>
      </c>
      <c r="R20">
        <v>3002681.68</v>
      </c>
      <c r="S20">
        <f>Q20-R20</f>
        <v>39986.268800000194</v>
      </c>
    </row>
    <row r="24" spans="15:18" ht="12.75">
      <c r="O24">
        <v>14536643.33</v>
      </c>
      <c r="R24">
        <f>O8+O12+O16+O20</f>
        <v>7650.690000000046</v>
      </c>
    </row>
    <row r="32" spans="9:10" ht="12.75">
      <c r="I32">
        <v>1942.72</v>
      </c>
      <c r="J32">
        <v>1767.29</v>
      </c>
    </row>
    <row r="33" spans="9:10" ht="12.75">
      <c r="I33">
        <v>1121.18</v>
      </c>
      <c r="J33">
        <v>1020.49</v>
      </c>
    </row>
    <row r="34" spans="9:10" ht="12.75">
      <c r="I34">
        <f>SUM(I32:I33)</f>
        <v>3063.9000000000001</v>
      </c>
      <c r="J34">
        <f>SUM(J32:J33)</f>
        <v>2787.7799999999997</v>
      </c>
    </row>
    <row r="36" spans="9:11" ht="12.75">
      <c r="I36">
        <f>I32*4</f>
        <v>7770.8800000000001</v>
      </c>
      <c r="J36">
        <f>J32*15</f>
        <v>26509.349999999999</v>
      </c>
      <c r="K36">
        <f>(I36+J36)*24</f>
        <v>822725.5199999999</v>
      </c>
    </row>
    <row r="37" spans="9:11" ht="12.75">
      <c r="I37">
        <f>I33*4</f>
        <v>4484.7200000000003</v>
      </c>
      <c r="J37">
        <f>J33*15</f>
        <v>15307.35</v>
      </c>
      <c r="K37">
        <f>(I37+J37)*24</f>
        <v>475009.67999999999</v>
      </c>
    </row>
  </sheetData>
  <sheetProtection/>
  <mergeCells count="4">
    <mergeCell ref="E6:O6"/>
    <mergeCell ref="E10:O10"/>
    <mergeCell ref="E14:O14"/>
    <mergeCell ref="E18:O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AppVersion>16.0000</AppVersion>
  <DocSecurity>0</DocSecurity>
  <ScaleCrop>false</ScaleCrop>
  <HeadingPairs>
    <vt:vector size="2" baseType="variant">
      <vt:variant>
        <vt:lpstr>Worksheets</vt:lpstr>
      </vt:variant>
      <vt:variant>
        <vt:i4>10</vt:i4>
      </vt:variant>
    </vt:vector>
  </HeadingPairs>
  <TitlesOfParts>
    <vt:vector size="10" baseType="lpstr">
      <vt:lpstr>Credit Note</vt:lpstr>
      <vt:lpstr>Tax Invoice</vt:lpstr>
      <vt:lpstr>MOP</vt:lpstr>
      <vt:lpstr>AOC</vt:lpstr>
      <vt:lpstr>Sheet1</vt:lpstr>
      <vt:lpstr>DIFF</vt:lpstr>
      <vt:lpstr>FORM B-(Wage Reg.)</vt:lpstr>
      <vt:lpstr>WORKING SHEET</vt:lpstr>
      <vt:lpstr>PERFORMA PFD</vt:lpstr>
      <vt:lpstr>Sheet2</vt:lpstr>
    </vt:vector>
  </TitlesOfParts>
  <Template/>
  <Manager/>
  <Company/>
  <LinksUpToDate>false</LinksUpToDate>
  <SharedDoc>false</SharedDoc>
  <HyperlinksChanged>false</HyperlinksChanged>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P-III</dc:creator>
  <cp:keywords/>
  <dc:description/>
  <cp:lastModifiedBy>Sumit</cp:lastModifiedBy>
  <cp:lastPrinted>2025-11-03T06:33:17Z</cp:lastPrinted>
  <dcterms:created xsi:type="dcterms:W3CDTF">2006-12-28T04:05:10Z</dcterms:created>
  <dcterms:modified xsi:type="dcterms:W3CDTF">2025-11-20T07:41:35Z</dcterms:modified>
  <cp:category/>
</cp:coreProperties>
</file>

<file path=docProps/custom.xml><?xml version="1.0" encoding="utf-8"?>
<Properties xmlns="http://schemas.openxmlformats.org/officeDocument/2006/custom-properties" xmlns:vt="http://schemas.openxmlformats.org/officeDocument/2006/docPropsVTypes"/>
</file>