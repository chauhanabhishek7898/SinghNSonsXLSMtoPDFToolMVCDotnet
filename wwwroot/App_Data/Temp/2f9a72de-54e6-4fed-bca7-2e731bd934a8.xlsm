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jpeg" ContentType="image/jpeg"/>
  <Default Extension="png" ContentType="image/png"/>
  <Override PartName="/xl/vbaProject.bin" ContentType="application/vnd.ms-office.vbaProject"/>
  <Override PartName="/xl/styles.xml" ContentType="application/vnd.openxmlformats-officedocument.spreadsheetml.styles+xml"/>
  <Override PartName="/xl/drawings/drawing1.xml" ContentType="application/vnd.openxmlformats-officedocument.drawing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4.xml" ContentType="application/vnd.openxmlformats-officedocument.spreadsheetml.comments+xml"/>
  <Default Extension="vml" ContentType="application/vnd.openxmlformats-officedocument.vmlDrawing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trProps/ctrProp1.xml" ContentType="application/vnd.ms-excel.controlproperties+xml"/>
  <Override PartName="/xl/drawings/drawing3.xml" ContentType="application/vnd.openxmlformats-officedocument.drawing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32760" yWindow="32760" windowWidth="20490" windowHeight="7545" tabRatio="793" activeTab="2"/>
  </bookViews>
  <sheets>
    <sheet name="Tax Invoice" sheetId="15" r:id="rId4"/>
    <sheet name="MOP" sheetId="14" r:id="rId5"/>
    <sheet name="AOC" sheetId="17" r:id="rId6"/>
    <sheet name="REIMB." sheetId="30" r:id="rId7"/>
    <sheet name="MB_COMBINED" sheetId="27" r:id="rId8"/>
    <sheet name="MB_PPU" sheetId="28" r:id="rId9"/>
    <sheet name="MB_PTD" sheetId="29" r:id="rId10"/>
    <sheet name="MB_LLDPE" sheetId="25" r:id="rId11"/>
    <sheet name="Form B" sheetId="32" state="hidden" r:id="rId12"/>
    <sheet name="Working Sheet" sheetId="33" r:id="rId13"/>
    <sheet name="Sheet1" sheetId="7" state="hidden" r:id="rId14"/>
  </sheets>
  <externalReferences>
    <externalReference r:id="rId16"/>
    <externalReference r:id="rId17"/>
  </externalReferences>
  <definedNames>
    <definedName name="_xlnm._FilterDatabase" localSheetId="3" hidden="1">REIMB.!$A$10:$AM$104</definedName>
    <definedName name="_xleta.MONTH" hidden="1">#NAME?</definedName>
    <definedName name="_xlfn.SINGLE" hidden="1">#NAME?</definedName>
    <definedName name="_xlnm.Print_Area" localSheetId="2">AOC!$A$1:$M$50</definedName>
    <definedName name="_xlnm.Print_Area" localSheetId="8">'Form B'!$A$1:$AO$103</definedName>
    <definedName name="_xlnm.Print_Area" localSheetId="7">MB_LLDPE!$A$1:$AI$37</definedName>
    <definedName name="_xlnm.Print_Area" localSheetId="5">MB_PPU!$A$1:$AI$30</definedName>
    <definedName name="_xlnm.Print_Area" localSheetId="6">MB_PTD!$A$1:$AI$30</definedName>
    <definedName name="_xlnm.Print_Area" localSheetId="1">MOP!$A$1:$K$37</definedName>
    <definedName name="_xlnm.Print_Area" localSheetId="3">REIMB.!$A$1:$AG$104</definedName>
    <definedName name="_xlnm.Print_Area" localSheetId="0">'Tax Invoice'!$A$1:$L$57</definedName>
    <definedName name="_xlnm.Print_Titles" localSheetId="2">AOC!$1:$12</definedName>
    <definedName name="_xlnm.Print_Titles" localSheetId="3">REIMB.!$1:$10</definedName>
    <definedName name="WgPrd">'[1]FORM B-(Wage Reg.)'!$Y$16</definedName>
  </definedNames>
  <calcPr fullCalcOnLoad="1"/>
</workbook>
</file>

<file path=xl/calcChain.xml><?xml version="1.0" encoding="utf-8"?>
<calcChain xmlns="http://schemas.openxmlformats.org/spreadsheetml/2006/main">
  <c r="E2" i="17" l="1"/>
</calcChain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Simanta Sharma (सीमांत शर्मा)</author>
  </authors>
  <commentList>
    <comment ref="Q29" authorId="0">
      <text>
        <r>
          <rPr>
            <b/>
            <sz val="9"/>
            <rFont val="Tahoma"/>
            <family val="0"/>
          </rPr>
          <t>Simanta Sharma (सीमांत शर्मा):</t>
        </r>
        <r>
          <rPr>
            <sz val="9"/>
            <rFont val="Tahoma"/>
            <family val="0"/>
          </rPr>
          <t xml:space="preserve">
To be adjusted by the contractor during next RA bill as salary has already been processed..</t>
        </r>
      </text>
    </comment>
    <comment ref="Q47" authorId="0">
      <text>
        <r>
          <rPr>
            <b/>
            <sz val="9"/>
            <rFont val="Tahoma"/>
            <family val="0"/>
          </rPr>
          <t>Simanta Sharma (सीमांत शर्मा):</t>
        </r>
        <r>
          <rPr>
            <sz val="9"/>
            <rFont val="Tahoma"/>
            <family val="0"/>
          </rPr>
          <t xml:space="preserve">
To be adjusted by the contractor during next RA bill as salary has already been processed..</t>
        </r>
      </text>
    </comment>
  </commentList>
</comments>
</file>

<file path=xl/sharedStrings.xml><?xml version="1.0" encoding="utf-8"?>
<sst xmlns="http://schemas.openxmlformats.org/spreadsheetml/2006/main" count="1776" uniqueCount="535">
  <si>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</si>
  <si>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</si>
  <si>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</si>
  <si>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</si>
  <si>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</si>
  <si>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</si>
  <si>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</si>
  <si>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</si>
  <si>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</si>
  <si>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</si>
  <si>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</si>
  <si>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</si>
  <si>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</si>
  <si>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</si>
  <si>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</si>
  <si>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</si>
  <si>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</si>
  <si>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</si>
  <si>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</si>
  <si>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</si>
  <si>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</si>
  <si>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</si>
  <si>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</si>
  <si>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</si>
  <si>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</si>
  <si>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</si>
  <si>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</si>
  <si>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</si>
  <si>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</si>
  <si>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</si>
  <si>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</si>
  <si>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</si>
  <si>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</si>
  <si>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</si>
  <si>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</si>
  <si>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</si>
  <si>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</si>
  <si>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</si>
  <si>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</si>
  <si>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</si>
  <si>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</si>
  <si>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</si>
  <si>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</si>
  <si>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</si>
  <si>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</si>
  <si>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</si>
  <si>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</si>
  <si>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</si>
  <si>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</si>
  <si>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</si>
  <si>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</si>
  <si>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</si>
  <si>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</si>
  <si>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</si>
  <si>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</si>
  <si>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</si>
  <si>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Value of work done</t>
  </si>
  <si>
    <t>Amount including GST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</si>
  <si>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</si>
  <si>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</si>
  <si>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</si>
  <si>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</si>
  <si>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ADD:- IGST @ 18%</t>
  </si>
  <si>
    <t>09ABDCS1757M1ZU</t>
  </si>
  <si>
    <t>21, Indra Nagar</t>
  </si>
  <si>
    <t>Near Pili Kothi, Dibiyapur</t>
  </si>
  <si>
    <t>Auraiya (U.P) -206244</t>
  </si>
  <si>
    <t>Add: IGST@18%</t>
  </si>
  <si>
    <t>PAN  No : ABDCS1757M</t>
  </si>
  <si>
    <t>Total Amount Before Tax</t>
  </si>
  <si>
    <t>Authorised Signatory</t>
  </si>
  <si>
    <t>09</t>
  </si>
  <si>
    <t>MON</t>
  </si>
  <si>
    <t>24 Months from Date of LOA</t>
  </si>
  <si>
    <t>GST Payable on Reverse Charge or Not : N.A.</t>
  </si>
  <si>
    <t>Certified that the particulars given above are true and correct.</t>
  </si>
  <si>
    <t>For Singh and Sons InfoTech Pvt. Ltd.</t>
  </si>
  <si>
    <t>Add: Others</t>
  </si>
  <si>
    <t>Shipped To</t>
  </si>
  <si>
    <t>Details of Buyer</t>
  </si>
  <si>
    <t>The Bill in this respect has not been referred before.</t>
  </si>
  <si>
    <t>100% measurement sheet has been checked.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</si>
  <si>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</si>
  <si>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</si>
  <si>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</si>
  <si>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</si>
  <si>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</si>
  <si>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</si>
  <si>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</si>
  <si>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</si>
  <si>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</si>
  <si>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</si>
  <si>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</si>
  <si>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</si>
  <si>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Item No.</t>
  </si>
  <si>
    <t>Sr. No.</t>
  </si>
  <si>
    <t>Job Description</t>
  </si>
  <si>
    <t>Total Qty./ Rate/ Amount as per SOR</t>
  </si>
  <si>
    <t>Current Month RA Bill</t>
  </si>
  <si>
    <t>UoM</t>
  </si>
  <si>
    <t>Qty.</t>
  </si>
  <si>
    <t>TOTAL (INR)</t>
  </si>
  <si>
    <t>-</t>
  </si>
  <si>
    <t>I-GST @ 18%</t>
  </si>
  <si>
    <t>GRAND TOTAL (INR)</t>
  </si>
  <si>
    <t>NAME OF CONTRACTOR :- M/s. SINGH AND SONS INFOTECH  PRIVATE LIMITED</t>
  </si>
  <si>
    <t>BCPL LEPETKATA</t>
  </si>
  <si>
    <t>Brahmaputra Cracker &amp; Polymer Limited</t>
  </si>
  <si>
    <t>18AADCB2356E1ZY</t>
  </si>
  <si>
    <t>18</t>
  </si>
  <si>
    <t>Ist Floor, Administrative Building, NH 37</t>
  </si>
  <si>
    <t>BCPL Project Site, Lepetkata</t>
  </si>
  <si>
    <t>Dist: Dibrugarh - 786006</t>
  </si>
  <si>
    <t>ASSAM</t>
  </si>
  <si>
    <t>Singh and Sons InfoTech Private Limited</t>
  </si>
  <si>
    <t>ABSTRACT OF COST</t>
  </si>
  <si>
    <t xml:space="preserve">Deduction - TDS Against IGST@ 2% </t>
  </si>
  <si>
    <t>For SINGH AND SONS INFOTECH</t>
  </si>
  <si>
    <t>LOA No.- BCPL/C&amp;P/03015/LE23W154ND/5600002114  Dated : 28.02.2024</t>
  </si>
  <si>
    <t>BCPL/C&amp;P/03015/LE23W154ND/5600002114</t>
  </si>
  <si>
    <t>From 01/03/2024 To 28/02/2026</t>
  </si>
  <si>
    <t>EA</t>
  </si>
  <si>
    <t>Supply of safety consumables</t>
  </si>
  <si>
    <t>LMP</t>
  </si>
  <si>
    <t>Contractors overhead &amp; profit</t>
  </si>
  <si>
    <t>BCPL/C&amp;P/03015/LE23W154ND/5600002114  Dated : 28.02.2024</t>
  </si>
  <si>
    <t>Rs. 7,62,02,349.15</t>
  </si>
  <si>
    <t>BCPL/C&amp;P/03015/LE23W154ND/5600002114 Dtd: 28.02.2024</t>
  </si>
  <si>
    <t>HIRING OF SERVICES FOR MECHANICAL MAINTENANCE ACTIVITIES IN PART-B : DOWNSTREAM UNITS (LLDPE, PPU &amp; PTD) FOR A PERIOD OF 02 YEARS</t>
  </si>
  <si>
    <t>NAME OF WORK: BCPL/C&amp;P/03015/LE23W154ND/5600002114 &amp; 28.02.2024 FOR HIRING OF SERVICES FOR MECHANICAL MAINTENANCE ACTIVITIES IN PART-B : DOWNSTREAM UNITS (LLDPE, PPU &amp; PTD) FOR A PERIOD OF 02 YEARS</t>
  </si>
  <si>
    <t>NAME OF WORK : HIRING OF SERVICES FOR MECHANICAL MAINTENANCE ACTIVITIES IN PART-B : DOWNSTREAM UNITS (LLDPE, PPU &amp; PTD) FOR A PERIOD OF 02 YEARS</t>
  </si>
  <si>
    <t>Lepetkata Dibrugarh</t>
  </si>
  <si>
    <t>TOTAL</t>
  </si>
  <si>
    <t>ARUP GOGOI</t>
  </si>
  <si>
    <t>DIGANTA SONOWAL</t>
  </si>
  <si>
    <t>MRIDUL BORAH</t>
  </si>
  <si>
    <t>PANKAJ DUTTA</t>
  </si>
  <si>
    <t>SHIFT</t>
  </si>
  <si>
    <t>A-Shift</t>
  </si>
  <si>
    <t>B-Shift</t>
  </si>
  <si>
    <t>C-Shift</t>
  </si>
  <si>
    <t>Total Quantity</t>
  </si>
  <si>
    <t>DESCRIPTION</t>
  </si>
  <si>
    <t>HIGHLY SKILLED</t>
  </si>
  <si>
    <t>FITTER</t>
  </si>
  <si>
    <t>RIGGER</t>
  </si>
  <si>
    <t>HELPER</t>
  </si>
  <si>
    <t>MW FITTER</t>
  </si>
  <si>
    <t>C-SHIFT</t>
  </si>
  <si>
    <t>SUPERVISOR / MWF</t>
  </si>
  <si>
    <t>S. NO.</t>
  </si>
  <si>
    <t>B-SHIFT</t>
  </si>
  <si>
    <t>G-SHIFT</t>
  </si>
  <si>
    <t>FABRICATION</t>
  </si>
  <si>
    <t>UNIT RATE</t>
  </si>
  <si>
    <t>A-SHIFT</t>
  </si>
  <si>
    <t>Cummulative</t>
  </si>
  <si>
    <t>Area:  Polypropylene Units (PP Units)</t>
  </si>
  <si>
    <t>Area:  LLDPE/HDPE Units (Downstream Units)</t>
  </si>
  <si>
    <t>Area:  PTD/Bagging Units (Downstream Units)</t>
  </si>
  <si>
    <t>Area: Fabrication Assistance for Downstream Units</t>
  </si>
  <si>
    <t>Date of Services</t>
  </si>
  <si>
    <t>REIMBURSEMENT SHEET</t>
  </si>
  <si>
    <t xml:space="preserve">NAME &amp; ADDRESS OF CONTRACTOR </t>
  </si>
  <si>
    <t>NATURE AND LOCATION OF WORK</t>
  </si>
  <si>
    <t xml:space="preserve">Work Order  NO. </t>
  </si>
  <si>
    <t xml:space="preserve">ESTABLISHMENT E.P.F.  CODE           </t>
  </si>
  <si>
    <t xml:space="preserve">E.S.I.C.  NO.          </t>
  </si>
  <si>
    <t xml:space="preserve">NAME &amp; ADDRESS OF PRINCIPAL EMPLOYER </t>
  </si>
  <si>
    <t>SR NO.</t>
  </si>
  <si>
    <t>EMP CODE</t>
  </si>
  <si>
    <t>NAME OF EMPLOYEES</t>
  </si>
  <si>
    <t>CATEGORY</t>
  </si>
  <si>
    <t>TOTAL WORKING DAY</t>
  </si>
  <si>
    <t>NORMAL EXTRA WD</t>
  </si>
  <si>
    <t>TOTAL WORKING DAY WITHOUT HOLIDAY</t>
  </si>
  <si>
    <t>HOLIDAY</t>
  </si>
  <si>
    <t>TOTAL PAYBLE DAYS</t>
  </si>
  <si>
    <t>BASIC PAY</t>
  </si>
  <si>
    <t>Remark</t>
  </si>
  <si>
    <t>SSIPLBCPL001</t>
  </si>
  <si>
    <t>ABHIJIT GOGOI</t>
  </si>
  <si>
    <t>LLDPE</t>
  </si>
  <si>
    <t>SSIPLBCPL002</t>
  </si>
  <si>
    <t>AJOY HANDIQUE</t>
  </si>
  <si>
    <t>SSIPLBCPL003</t>
  </si>
  <si>
    <t>AMIYA GOGOI</t>
  </si>
  <si>
    <t>SSIPLBCPL004</t>
  </si>
  <si>
    <t>ANKURJIT SONOWAL</t>
  </si>
  <si>
    <t>SSIPLBCPL005</t>
  </si>
  <si>
    <t>APAL SONOWAL</t>
  </si>
  <si>
    <t>SSIPLBCPL006</t>
  </si>
  <si>
    <t>SSIPLBCPL007</t>
  </si>
  <si>
    <t>AYUB ALI</t>
  </si>
  <si>
    <t>SSIPLBCPL008</t>
  </si>
  <si>
    <t>AZAD LOHAR</t>
  </si>
  <si>
    <t>PPU</t>
  </si>
  <si>
    <t>SSIPLBCPL009</t>
  </si>
  <si>
    <t>BABLU KARMAKAR</t>
  </si>
  <si>
    <t>SSIPLBCPL010</t>
  </si>
  <si>
    <t>BHATTA GOHAIN</t>
  </si>
  <si>
    <t>SSIPLBCPL011</t>
  </si>
  <si>
    <t>BIKI RABIDAS</t>
  </si>
  <si>
    <t>SSIPLBCPL012</t>
  </si>
  <si>
    <t>BINANDA CH. GOHAIN</t>
  </si>
  <si>
    <t>SSIPLBCPL013</t>
  </si>
  <si>
    <t>SSIPLBCPL014</t>
  </si>
  <si>
    <t>BIPEN KARMAKAR</t>
  </si>
  <si>
    <t>SSIPLBCPL015</t>
  </si>
  <si>
    <t>BISWAJIT BHARALI</t>
  </si>
  <si>
    <t>SSIPLBCPL016</t>
  </si>
  <si>
    <t>BISWAJIT GOGOI</t>
  </si>
  <si>
    <t>SSIPLBCPL017</t>
  </si>
  <si>
    <t>BISWAJIT SONOWAL</t>
  </si>
  <si>
    <t>SSIPLBCPL019</t>
  </si>
  <si>
    <t>SSIPLBCPL020</t>
  </si>
  <si>
    <t>CHIDANANDA KONWAR</t>
  </si>
  <si>
    <t>SSIPLBCPL021</t>
  </si>
  <si>
    <t>CHIRANJIT BHADRA</t>
  </si>
  <si>
    <t>SSIPLBCPL022</t>
  </si>
  <si>
    <t>DAMBARU GOGOI</t>
  </si>
  <si>
    <t>SSIPLBCPL023</t>
  </si>
  <si>
    <t>DAYANANDA DEHINGIA</t>
  </si>
  <si>
    <t>SSIPLBCPL024</t>
  </si>
  <si>
    <t>SSIPLBCPL025</t>
  </si>
  <si>
    <t>SSIPLBCPL026</t>
  </si>
  <si>
    <t>DIMBAKAMAL BORGOHAIN</t>
  </si>
  <si>
    <t>SSIPLBCPL027</t>
  </si>
  <si>
    <t>GIRJAMOHAN CHETIA</t>
  </si>
  <si>
    <t>SSIPLBCPL028</t>
  </si>
  <si>
    <t>GOBINDA HAZRIKA</t>
  </si>
  <si>
    <t>SSIPLBCPL029</t>
  </si>
  <si>
    <t>GOURAB GOGOI</t>
  </si>
  <si>
    <t>SSIPLBCPL030</t>
  </si>
  <si>
    <t>GOUTAM GOGOI</t>
  </si>
  <si>
    <t>SSIPLBCPL031</t>
  </si>
  <si>
    <t>HARABINDA SONOWAL</t>
  </si>
  <si>
    <t>SSIPLBCPL032</t>
  </si>
  <si>
    <t>HEMANTA DEHINGIA</t>
  </si>
  <si>
    <t>SSIPLBCPL033</t>
  </si>
  <si>
    <t>HEMONTA LAHON</t>
  </si>
  <si>
    <t>SSIPLBCPL034</t>
  </si>
  <si>
    <t>HIRADHAR GOGOI</t>
  </si>
  <si>
    <t>SSIPLBCPL035</t>
  </si>
  <si>
    <t>HIREN CHETIA</t>
  </si>
  <si>
    <t>SSIPLBCPL036</t>
  </si>
  <si>
    <t>HIREN HAZARIKA</t>
  </si>
  <si>
    <t>SSIPLBCPL037</t>
  </si>
  <si>
    <t>HOREN SAIKIA</t>
  </si>
  <si>
    <t>SSIPLBCPL038</t>
  </si>
  <si>
    <t>HUMEN BURAGOHAIN</t>
  </si>
  <si>
    <t>SSIPLBCPL039</t>
  </si>
  <si>
    <t>INDRA KANTA GOGOI</t>
  </si>
  <si>
    <t>SSIPLBCPL040</t>
  </si>
  <si>
    <t>JAMIRUDDIN AHMED</t>
  </si>
  <si>
    <t>SSIPLBCPL041</t>
  </si>
  <si>
    <t>JAYANTA GOGOI</t>
  </si>
  <si>
    <t>SSIPLBCPL042</t>
  </si>
  <si>
    <t>SSIPLBCPL043</t>
  </si>
  <si>
    <t>JAYKANTA CHETIA</t>
  </si>
  <si>
    <t>SSIPLBCPL044</t>
  </si>
  <si>
    <t>JINTU SAIKIA</t>
  </si>
  <si>
    <t>SSIPLBCPL045</t>
  </si>
  <si>
    <t>KAMALA KANTA CHETIA</t>
  </si>
  <si>
    <t>SSIPLBCPL047</t>
  </si>
  <si>
    <t>KRISHNA PON BORUAH</t>
  </si>
  <si>
    <t>SSIPLBCPL048</t>
  </si>
  <si>
    <t>KUKHA BARUAH</t>
  </si>
  <si>
    <t>SSIPLBCPL049</t>
  </si>
  <si>
    <t>LAKHENDRA SONOWAL</t>
  </si>
  <si>
    <t>SSIPLBCPL050</t>
  </si>
  <si>
    <t>LAKHI SONOWAL</t>
  </si>
  <si>
    <t>SSIPLBCPL051</t>
  </si>
  <si>
    <t>LALIT CHANGMAI</t>
  </si>
  <si>
    <t>SSIPLBCPL052</t>
  </si>
  <si>
    <t>LEKHAN SAIKIA</t>
  </si>
  <si>
    <t>SSIPLBCPL053</t>
  </si>
  <si>
    <t>LIKHESWAR HAZARIKA</t>
  </si>
  <si>
    <t>SSIPLBCPL054</t>
  </si>
  <si>
    <t>LOHIT GOGOI</t>
  </si>
  <si>
    <t>SSIPLBCPL055</t>
  </si>
  <si>
    <t>LUDO GOGOI</t>
  </si>
  <si>
    <t>SSIPLBCPL056</t>
  </si>
  <si>
    <t>MADHAB JYOTI DEHINGIA</t>
  </si>
  <si>
    <t>SSIPLBCPL057</t>
  </si>
  <si>
    <t>MANUJ KUMAR GOGOI</t>
  </si>
  <si>
    <t>SSIPLBCPL058</t>
  </si>
  <si>
    <t>MOHANANDA DOWARAH</t>
  </si>
  <si>
    <t>SSIPLBCPL059</t>
  </si>
  <si>
    <t>SSIPLBCPL060</t>
  </si>
  <si>
    <t>MRINAL BORUAH</t>
  </si>
  <si>
    <t>SSIPLBCPL061</t>
  </si>
  <si>
    <t>SSIPLBCPL062</t>
  </si>
  <si>
    <t>NAVA DHADUMIA</t>
  </si>
  <si>
    <t>SSIPLBCPL063</t>
  </si>
  <si>
    <t>NEKIB ALI</t>
  </si>
  <si>
    <t>SSIPLBCPL064</t>
  </si>
  <si>
    <t>NIHARANJAN HANDIQUE</t>
  </si>
  <si>
    <t>SSIPLBCPL065</t>
  </si>
  <si>
    <t>NILAKANTA GOGOI</t>
  </si>
  <si>
    <t>SSIPLBCPL066</t>
  </si>
  <si>
    <t>NIRANJAN KONWAR</t>
  </si>
  <si>
    <t>SSIPLBCPL067</t>
  </si>
  <si>
    <t>NITUJYOTI SONOWAL</t>
  </si>
  <si>
    <t>SSIPLBCPL068</t>
  </si>
  <si>
    <t>NITUL BORA</t>
  </si>
  <si>
    <t>SSIPLBCPL069</t>
  </si>
  <si>
    <t>PALLAB LAHON</t>
  </si>
  <si>
    <t>SSIPLBCPL070</t>
  </si>
  <si>
    <t>SSIPLBCPL071</t>
  </si>
  <si>
    <t>PANKAJ GOGOI</t>
  </si>
  <si>
    <t>SSIPLBCPL072</t>
  </si>
  <si>
    <t>PANKAJ SAIKIA</t>
  </si>
  <si>
    <t>SSIPLBCPL073</t>
  </si>
  <si>
    <t>PRASANTA SAIKIA</t>
  </si>
  <si>
    <t>SSIPLBCPL074</t>
  </si>
  <si>
    <t>PRATAP SAIKIA</t>
  </si>
  <si>
    <t>SSIPLBCPL075</t>
  </si>
  <si>
    <t>PRIYANATH PATRA</t>
  </si>
  <si>
    <t>SSIPLBCPL076</t>
  </si>
  <si>
    <t>PURNA KANTA DEHINGIA</t>
  </si>
  <si>
    <t>SSIPLBCPL077</t>
  </si>
  <si>
    <t>PUSPENDRA HAZARIKA</t>
  </si>
  <si>
    <t>SSIPLBCPL078</t>
  </si>
  <si>
    <t>PUTU SAIKIA</t>
  </si>
  <si>
    <t>SSIPLBCPL079</t>
  </si>
  <si>
    <t>RAHUL SENSUA</t>
  </si>
  <si>
    <t>SSIPLBCPL080</t>
  </si>
  <si>
    <t>RAM KR SARMA</t>
  </si>
  <si>
    <t>SSIPLBCPL081</t>
  </si>
  <si>
    <t>RANJIT PATRA</t>
  </si>
  <si>
    <t>SSIPLBCPL082</t>
  </si>
  <si>
    <t>RATNADHAR DOWARAH</t>
  </si>
  <si>
    <t>SSIPLBCPL083</t>
  </si>
  <si>
    <t>REYAJ ALI</t>
  </si>
  <si>
    <t>SSIPLBCPL084</t>
  </si>
  <si>
    <t>SSIPLBCPL085</t>
  </si>
  <si>
    <t xml:space="preserve">SAMIRON GOGOI </t>
  </si>
  <si>
    <t>SSIPLBCPL086</t>
  </si>
  <si>
    <t>SOSHI HAZARIKA</t>
  </si>
  <si>
    <t>SSIPLBCPL087</t>
  </si>
  <si>
    <t>SURAJIT CHANGMAI</t>
  </si>
  <si>
    <t>SSIPLBCPL088</t>
  </si>
  <si>
    <t>THANU RAM MILI</t>
  </si>
  <si>
    <t>SSIPLBCPL089</t>
  </si>
  <si>
    <t>THANU SILPONIA</t>
  </si>
  <si>
    <t>SSIPLBCPL090</t>
  </si>
  <si>
    <t>TINKU HANDIQUE</t>
  </si>
  <si>
    <t>SSIPLBCPL091</t>
  </si>
  <si>
    <t>TIRTHA NATH BORGOHAIN</t>
  </si>
  <si>
    <t>SSIPLBCPL092</t>
  </si>
  <si>
    <t>TOPAN PANIKA</t>
  </si>
  <si>
    <t>SSIPLBCPL093</t>
  </si>
  <si>
    <t>UMESH SONOWAL</t>
  </si>
  <si>
    <t>IBR WELDER</t>
  </si>
  <si>
    <t>WELDER</t>
  </si>
  <si>
    <t>M.W.FITTER</t>
  </si>
  <si>
    <t>SUPERVISOR</t>
  </si>
  <si>
    <t>GAS CUTTER</t>
  </si>
  <si>
    <t>GRINDER</t>
  </si>
  <si>
    <t>DEPARTMENT</t>
  </si>
  <si>
    <t>UNSKILLED</t>
  </si>
  <si>
    <t>SEMI-SKILLED</t>
  </si>
  <si>
    <t>SKILLED</t>
  </si>
  <si>
    <t>M/S. SINGH AND SONS INFOTECH PRIVATE LIMITED</t>
  </si>
  <si>
    <t>21, INDRA NAGAR, NEAR PILI KOTHI, DIBIYAPUR, AUARIYA, UTTAR PRADESH, PIN-206244</t>
  </si>
  <si>
    <t>ADDRESS</t>
  </si>
  <si>
    <t>BILLING PERIOD</t>
  </si>
  <si>
    <t>M/S. BRAHMAPUTRA CRACKER &amp; POLYMER LIMITED, LEPETKATA</t>
  </si>
  <si>
    <t>PTD</t>
  </si>
  <si>
    <t>SPECIAL LEAVE DAYS</t>
  </si>
  <si>
    <t>Qty. Consumed Upto 
Previous RA Bill</t>
  </si>
  <si>
    <t>Manpower Supply at BCPL Lepetkata</t>
  </si>
  <si>
    <t>Towards paid Annual Leave</t>
  </si>
  <si>
    <t>Towards paid Holidays</t>
  </si>
  <si>
    <t>Towards Employee Provident Fund</t>
  </si>
  <si>
    <t>Towards Bonus</t>
  </si>
  <si>
    <t>Towards Non Statutory allowance</t>
  </si>
  <si>
    <t>Towards Special allowance</t>
  </si>
  <si>
    <t>Towards Shift Allowance</t>
  </si>
  <si>
    <t>Towards ESIC &amp; WC Policy [Rs. 2,50,000/- for WC Policy per year]</t>
  </si>
  <si>
    <t>Towards Gratuity @ 4.81%</t>
  </si>
  <si>
    <t>INR</t>
  </si>
  <si>
    <t>Reimbursable Component of Annual Leave, Holiday, EPF, Bonus, Non-statutory Allowance, Special Allowance, Shift Allowance, ESIC &amp; WC Policy, increase Rs. 10/day, Gratuity, uniform &amp; PPE,worker health checkup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</si>
  <si>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</si>
  <si>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</si>
  <si>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</si>
  <si>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</si>
  <si>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</si>
  <si>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</si>
  <si>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</si>
  <si>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</si>
  <si>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</si>
  <si>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</si>
  <si>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</si>
  <si>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</si>
  <si>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NETSK3258540000</t>
  </si>
  <si>
    <t>43210624350010999</t>
  </si>
  <si>
    <t>Total Amount 
(For 2 Years)</t>
  </si>
  <si>
    <t>Payment towards Medical check up twice a year for 2 years. 
Heath check-up of contract worker twice year.</t>
  </si>
  <si>
    <t>Extra = Reimbursement of Revision of Minimum Wages</t>
  </si>
  <si>
    <t>Extra = Towards Special Leave Amount (as per MOS)</t>
  </si>
  <si>
    <t>Vendor Code</t>
  </si>
  <si>
    <t>General Shift Assistance for Mechanical Maintenance Services in Bagging Units
1 Skilled + 2 Unskilled [In case of absence/additional requirement of any worker from the above/other composition of manpower, deduction/ additional payment per head shall be made as per awarded Unit Rate as per the following weightage factor against different catagory of manpower: Highly Skilled=0.485; Skilled=0.413; Semiskilled=0.343 ; Unskilled=0.294]</t>
  </si>
  <si>
    <t xml:space="preserve">Shift Assistance on round the clock basis for Mechanical Maint. Services in Bagging Units
1 Semiskilled + 1 Unskilled [In case of absence/additional requirement of any worker from the above/other composition of manpower, deduction/ additional payment per head shall be made as per awarded Unit Rate as per the following weightage factor against different catagory of manpower: Highly Skilled=0.686; Skilled=0.585; Semiskilled=0.485; Unskilled=0.415]
</t>
  </si>
  <si>
    <t>Fabrication Services for Downstream Units
1 Highly Skilled+ 2 Skilled+ 2 Semiskilled+ 2 Unskilled [In case of absence/ additional requirement of any worker from the above/other composition of manpower, deduction/additional payment per head shall be made as per awarded Unit Rate as per the following weightage factor against different catagory of manpower: Highly Skilled= 0.188; Skilled=0.160; Semiskilled=0.133 ; Unskilled=0.114]</t>
  </si>
  <si>
    <t>SUPERVISOR/MWF/SIC</t>
  </si>
  <si>
    <t>100001048/INR 38,10,118.00/- Validity as per BCPL rules</t>
  </si>
  <si>
    <t>REIMBURSABLE COMPONENT</t>
  </si>
  <si>
    <t>FORM XVII (See rule 28 (1) (a)(i))</t>
  </si>
  <si>
    <t>DESIGNATION</t>
  </si>
  <si>
    <t>As Per Quoted SOR</t>
  </si>
  <si>
    <t>Hiring of manpower on General/Shift Duty</t>
  </si>
  <si>
    <t>General Shift Assistance for Mechanical Maintenance Services in LLDPE/HDPE Units
2 Highly skilled+ 2 Skilled+ 5 Semiskilled+ 15 Unskilled [In case of absence/ additional requirement of any worker from the above/ other composition of manpower, deduction/ additional payment per head shall be made as per awarded Unit Rate as per the following weightage factor against different catagory of manpower: Highly Skilled=0.061; Skilled=0.052; Semiskilled=0.043; Unskilled=0.037]</t>
  </si>
  <si>
    <t>Shift Assistance on round the clock basis for Mechanical Maint. Services in PP Units
1 Highly skilled+ 1 Skilled+ 3 Semiskilled+ 2 Unskilled [In case of absence/ additional requirement of any worker from the above/other composition of manpower, deduction/ additional payment per head shall be made as per awarded Unit Rate as per the following weightage factor against different catagory of manpower: Highly Skilled=0.193; Skilled=0.164; Semiskilled = 0.136 ; Unskilled=0.117]</t>
  </si>
  <si>
    <t>Reimbursable Component of Payment</t>
  </si>
  <si>
    <t>Reimbursable Component of payment incurred other than on Wages</t>
  </si>
  <si>
    <t>Payment towards Uniform, Safety Helmet, Safety Shoe and Shocks per kit: Uniform: 02 sets, Safety Helmet: 01 no., Safety Shoe: 01 pair, Socks: 02 pairs. To be supplied to the contract worker once a year.</t>
  </si>
  <si>
    <t>The work has been executed as per terms and condition of the contract and in accordance with drawings/specifications/issued/approved for construction.</t>
  </si>
  <si>
    <t xml:space="preserve">Total Amount (with GST) : </t>
  </si>
  <si>
    <t>GAS CUTTER/GRINDER</t>
  </si>
  <si>
    <t>FITTER/WELDER</t>
  </si>
  <si>
    <t>BINUD PATRA</t>
  </si>
  <si>
    <t>SSIPLBCPL018</t>
  </si>
  <si>
    <t>BITTU GUPTA</t>
  </si>
  <si>
    <t xml:space="preserve">BONGKIM CH PATRA </t>
  </si>
  <si>
    <t>DEVID GOGOI</t>
  </si>
  <si>
    <t>SSIPLBCPL046</t>
  </si>
  <si>
    <t>KITISH SONOWAL</t>
  </si>
  <si>
    <t>NAKUL DULAKAKHORIA</t>
  </si>
  <si>
    <t>ROMEN NEOG</t>
  </si>
  <si>
    <t>OVERTIME (HRS.)</t>
  </si>
  <si>
    <t>MIN. WAGES AS PER WORK ORDER</t>
  </si>
  <si>
    <t xml:space="preserve">NATURE AND ADDRESS OF ESTABLISHMENT IN/UNDER WHICH CONTRACT IS CARRIED ON   </t>
  </si>
  <si>
    <t>Shift Assistance on round the clock basis for Mechanical Maintenance Services in LLDPE/HDPE Units
1 Highly skilled+ 1 Skilled+ 4 Semiskilled+ 2 Unskilled [In case of absence/additional requirement of any worker from the above composition of manpower, deduction/ additional payment per head shall be made as per awarded Unit Rate as per the following weightage factor against different catagory of manpower: 
Highly Skilled=0.170; Skilled=0.145; Semiskilled=0.120; Unskilled=0.103]</t>
  </si>
  <si>
    <t>General Shift Assistance for Mechanical Maintenance Services in PP Units
1 Highly Skilled + 1 Skilled + 4 Semiskilled + 5 Unskilled [In case of absence/ additional requirement of any worker from the above/ other composition of manpower, deduction/ additional payment per head shall be made as per awarded Unit Rate as per the following weightage factor against different catagory of manpower: Highly Skilled=0.130; Skilled=0.111; Semiskilled=0.092 ; Unskilled=0.079]</t>
  </si>
  <si>
    <t>Bank Account No : 39075399225, IFSC: SBIN0001937, State Bank of India, Pata</t>
  </si>
  <si>
    <t>ESI Code No : 43210624350010999</t>
  </si>
  <si>
    <t>Total Qty. Consumed 
Till Closure of 
Current Month RA Bill</t>
  </si>
  <si>
    <t>MEASUREMENT BOOK (COMBINED)</t>
  </si>
  <si>
    <t>GENERAL</t>
  </si>
  <si>
    <t>HIRING OF SERVICES FOR MECHANICAL MAINTENANCE ACTIVITIES IN PART-B : DOWNSTREAM UNITS (LLDPE, PPU &amp; PTD)</t>
  </si>
  <si>
    <t xml:space="preserve">                   TAX INVOICE</t>
  </si>
  <si>
    <t>For BCPL LEPETKATA</t>
  </si>
  <si>
    <t>Supply of Monthly Kit</t>
  </si>
  <si>
    <t>Supply of Quarterly Kit</t>
  </si>
  <si>
    <t>Contractors Overhead Per Month</t>
  </si>
  <si>
    <t>BCPL/C&amp;P/03015/LE23W154ND/5600002114  DATED : 28.02.2024</t>
  </si>
  <si>
    <t>Sh. Arghya Prasun Dutta - DGM (Mechanical)</t>
  </si>
  <si>
    <t>Sh. B.K Singh - Director</t>
  </si>
  <si>
    <t>SINGH AND SONS INFOTECH PRIVATE LIMITED</t>
  </si>
  <si>
    <t>WAGE REGISTER</t>
  </si>
  <si>
    <t>HIRING OF SERVICES FOR MECHANICAL MAINTENANCE ACTIVITIES IN DOWNSTREAM UNIT (PART -B)</t>
  </si>
  <si>
    <t>EMPLOYEE DETAILS</t>
  </si>
  <si>
    <t xml:space="preserve">ATTANDANCE </t>
  </si>
  <si>
    <t xml:space="preserve">CALCULATION </t>
  </si>
  <si>
    <t xml:space="preserve">SL. NO. </t>
  </si>
  <si>
    <t xml:space="preserve">EMPLOYEE 
CODE NO </t>
  </si>
  <si>
    <t xml:space="preserve">MANE OF WORKMAN </t>
  </si>
  <si>
    <t>UNDER CONTRACT</t>
  </si>
  <si>
    <t>UAN NUMBER</t>
  </si>
  <si>
    <t>ESIC NUMBER</t>
  </si>
  <si>
    <t>BASIC RATE</t>
  </si>
  <si>
    <t>DA RATE</t>
  </si>
  <si>
    <t xml:space="preserve">BASIC + DA </t>
  </si>
  <si>
    <t>A - SHIFT</t>
  </si>
  <si>
    <t>B - SHIFT</t>
  </si>
  <si>
    <t>C - SHIFT</t>
  </si>
  <si>
    <t>G - SHIFT</t>
  </si>
  <si>
    <t>HOLIDAY DAYS</t>
  </si>
  <si>
    <t>PAID DAYS</t>
  </si>
  <si>
    <t>OVERTIME (HRS)</t>
  </si>
  <si>
    <t xml:space="preserve">BASIC </t>
  </si>
  <si>
    <t xml:space="preserve">DA </t>
  </si>
  <si>
    <t>SPECIAL LEAVE</t>
  </si>
  <si>
    <t xml:space="preserve">BASIC+DA </t>
  </si>
  <si>
    <t>OVERTIME AMOUNT</t>
  </si>
  <si>
    <t>ADVANCE AMOUNT PAID</t>
  </si>
  <si>
    <t>HOLIDAY AMOUNT</t>
  </si>
  <si>
    <t>EARNED LEAVE AMOUNT</t>
  </si>
  <si>
    <t>STATUTORY BONUS</t>
  </si>
  <si>
    <t>SHIFT ALLOWANCE</t>
  </si>
  <si>
    <t>NON STATUTORY ALLOWANCE</t>
  </si>
  <si>
    <t>SPECIAL ALLOWANCE</t>
  </si>
  <si>
    <t>SPECIAL LEAVE AMOUNT</t>
  </si>
  <si>
    <t>ANNUAL INCREMENT</t>
  </si>
  <si>
    <t xml:space="preserve">GROSS AMOUNT </t>
  </si>
  <si>
    <t>BCPL Contract Workers Welfare Trust</t>
  </si>
  <si>
    <t>EPF @12%</t>
  </si>
  <si>
    <t>ESIC @0.75%</t>
  </si>
  <si>
    <t>ADVANCE DEDUCTION</t>
  </si>
  <si>
    <t xml:space="preserve">NET AMOUNT </t>
  </si>
  <si>
    <t>ER PF SHARE</t>
  </si>
  <si>
    <t>ER ESIC SHARE</t>
  </si>
  <si>
    <t>A SHIFT</t>
  </si>
  <si>
    <t>B  SHIFT</t>
  </si>
  <si>
    <t>C SHIFT</t>
  </si>
  <si>
    <t>G SHIFT</t>
  </si>
  <si>
    <t>OT HOURS</t>
  </si>
  <si>
    <t>PAID LEAVE</t>
  </si>
  <si>
    <t>PART -B</t>
  </si>
  <si>
    <t>NEFT</t>
  </si>
  <si>
    <t>SBI</t>
  </si>
  <si>
    <t>DIMBAKAMAL BORAGOHAIN</t>
  </si>
  <si>
    <t>HARBINDA SONOWAL</t>
  </si>
  <si>
    <t>SURAJ SAHOO</t>
  </si>
  <si>
    <t>Period</t>
  </si>
  <si>
    <t>Service Month</t>
  </si>
  <si>
    <t>RA BILL NO-</t>
  </si>
  <si>
    <t>Month No.</t>
  </si>
  <si>
    <t>Year</t>
  </si>
  <si>
    <t>Date:</t>
  </si>
  <si>
    <t>EPF Challan No.</t>
  </si>
  <si>
    <t>ESIC Challan No.</t>
  </si>
  <si>
    <t>Amount:</t>
  </si>
  <si>
    <t>Invoice Amount</t>
  </si>
  <si>
    <t>Reimbursment Of Leave Wages Apr24 To Aug24</t>
  </si>
  <si>
    <t>Towards WC Policy [Rs. 2,50,000/- for WC Policy per year]</t>
  </si>
  <si>
    <t>MIN. WAGES AS OF 01.03.2025</t>
  </si>
  <si>
    <t>Annual Increment @30 on Attendance</t>
  </si>
  <si>
    <t>Incremental increase of Rs. 30/- per day per worker for all category</t>
  </si>
  <si>
    <r>
      <t xml:space="preserve">O.T. Payble </t>
    </r>
    <r>
      <rPr>
        <sz val="30"/>
        <color indexed="8"/>
        <rFont val="Calibri"/>
        <family val="2"/>
      </rPr>
      <t>(Basic Pay /8Hrs.*2)</t>
    </r>
  </si>
  <si>
    <r>
      <rPr>
        <b/>
        <sz val="30"/>
        <color indexed="8"/>
        <rFont val="Calibri"/>
        <family val="2"/>
      </rPr>
      <t>Leave Wages Salary</t>
    </r>
    <r>
      <rPr>
        <sz val="30"/>
        <color indexed="8"/>
        <rFont val="Calibri"/>
        <family val="2"/>
      </rPr>
      <t xml:space="preserve"> (Basic* 4.8%)</t>
    </r>
  </si>
  <si>
    <r>
      <t xml:space="preserve">Bonus Wages Salary </t>
    </r>
    <r>
      <rPr>
        <sz val="30"/>
        <color indexed="8"/>
        <rFont val="Calibri"/>
        <family val="2"/>
      </rPr>
      <t>(8.33% of Basic Pay</t>
    </r>
    <r>
      <rPr>
        <b/>
        <sz val="30"/>
        <color indexed="8"/>
        <rFont val="Calibri"/>
        <family val="2"/>
      </rPr>
      <t>)</t>
    </r>
  </si>
  <si>
    <r>
      <t xml:space="preserve">Non-Statutory Allowance </t>
    </r>
    <r>
      <rPr>
        <sz val="30"/>
        <color indexed="8"/>
        <rFont val="Calibri"/>
        <family val="2"/>
      </rPr>
      <t>((33.33)% of Basic Pay)</t>
    </r>
  </si>
  <si>
    <r>
      <t xml:space="preserve">Special Allowance </t>
    </r>
    <r>
      <rPr>
        <sz val="30"/>
        <color indexed="8"/>
        <rFont val="Calibri"/>
        <family val="2"/>
      </rPr>
      <t>((16)% of Basic Pay)</t>
    </r>
  </si>
  <si>
    <r>
      <t xml:space="preserve">Holiday Amount </t>
    </r>
    <r>
      <rPr>
        <sz val="30"/>
        <color indexed="8"/>
        <rFont val="Calibri"/>
        <family val="2"/>
      </rPr>
      <t>(as per Declared Holidays)</t>
    </r>
  </si>
  <si>
    <r>
      <t xml:space="preserve">Shift Allowance </t>
    </r>
    <r>
      <rPr>
        <sz val="30"/>
        <color indexed="8"/>
        <rFont val="Calibri"/>
        <family val="2"/>
      </rPr>
      <t>( Rs. 40 for A &amp; B , Rs 50 for C)</t>
    </r>
  </si>
  <si>
    <r>
      <t xml:space="preserve">Special Leave Amount </t>
    </r>
    <r>
      <rPr>
        <sz val="30"/>
        <color indexed="8"/>
        <rFont val="Calibri"/>
        <family val="2"/>
      </rPr>
      <t>(as per MOS)</t>
    </r>
  </si>
  <si>
    <r>
      <t xml:space="preserve">Minimum Wages Rev.
</t>
    </r>
    <r>
      <rPr>
        <sz val="30"/>
        <color indexed="8"/>
        <rFont val="Calibri"/>
        <family val="2"/>
      </rPr>
      <t xml:space="preserve">(Including OT) </t>
    </r>
  </si>
  <si>
    <r>
      <t xml:space="preserve">PF ER DED. </t>
    </r>
    <r>
      <rPr>
        <sz val="30"/>
        <color indexed="8"/>
        <rFont val="Calibri"/>
        <family val="2"/>
      </rPr>
      <t>(13%) of Basic Pay</t>
    </r>
  </si>
  <si>
    <r>
      <t xml:space="preserve">ESI ER DED. </t>
    </r>
    <r>
      <rPr>
        <sz val="30"/>
        <color indexed="8"/>
        <rFont val="Calibri"/>
        <family val="2"/>
      </rPr>
      <t>(3.25%) Total Pay</t>
    </r>
  </si>
  <si>
    <t>01-10-2025 TO 31-10-2025</t>
  </si>
  <si>
    <t>OCTOBER-2025</t>
  </si>
  <si>
    <t xml:space="preserve"> SSI/1207</t>
  </si>
</sst>
</file>

<file path=xl/styles.xml><?xml version="1.0" encoding="utf-8"?>
<styleSheet xmlns="http://schemas.openxmlformats.org/spreadsheetml/2006/main">
  <numFmts count="7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₹&quot;\ #,##0;&quot;₹&quot;\ \-#,##0"/>
    <numFmt numFmtId="165" formatCode="&quot;₹&quot;\ #,##0;[Red]&quot;₹&quot;\ \-#,##0"/>
    <numFmt numFmtId="166" formatCode="&quot;₹&quot;\ #,##0.00;&quot;₹&quot;\ \-#,##0.00"/>
    <numFmt numFmtId="167" formatCode="&quot;₹&quot;\ #,##0.00;[Red]&quot;₹&quot;\ \-#,##0.00"/>
    <numFmt numFmtId="168" formatCode="_ &quot;₹&quot;\ * #,##0_ ;_ &quot;₹&quot;\ * \-#,##0_ ;_ &quot;₹&quot;\ * &quot;-&quot;_ ;_ @_ "/>
    <numFmt numFmtId="169" formatCode="_ * #,##0_ ;_ * \-#,##0_ ;_ * &quot;-&quot;_ ;_ @_ "/>
    <numFmt numFmtId="170" formatCode="_ &quot;₹&quot;\ * #,##0.00_ ;_ &quot;₹&quot;\ * \-#,##0.00_ ;_ &quot;₹&quot;\ * &quot;-&quot;??_ ;_ @_ "/>
    <numFmt numFmtId="171" formatCode="_ * #,##0.00_ ;_ * \-#,##0.00_ ;_ * &quot;-&quot;??_ ;_ @_ "/>
    <numFmt numFmtId="172" formatCode="&quot;€&quot;#,##0;\-&quot;€&quot;#,##0"/>
    <numFmt numFmtId="173" formatCode="&quot;€&quot;#,##0;[Red]\-&quot;€&quot;#,##0"/>
    <numFmt numFmtId="174" formatCode="&quot;€&quot;#,##0.00;\-&quot;€&quot;#,##0.00"/>
    <numFmt numFmtId="175" formatCode="&quot;€&quot;#,##0.00;[Red]\-&quot;€&quot;#,##0.00"/>
    <numFmt numFmtId="176" formatCode="_-&quot;€&quot;* #,##0_-;\-&quot;€&quot;* #,##0_-;_-&quot;€&quot;* &quot;-&quot;_-;_-@_-"/>
    <numFmt numFmtId="177" formatCode="_-* #,##0_-;\-* #,##0_-;_-* &quot;-&quot;_-;_-@_-"/>
    <numFmt numFmtId="178" formatCode="_-&quot;€&quot;* #,##0.00_-;\-&quot;€&quot;* #,##0.00_-;_-&quot;€&quot;* &quot;-&quot;??_-;_-@_-"/>
    <numFmt numFmtId="179" formatCode="_-* #,##0.00_-;\-* #,##0.00_-;_-* &quot;-&quot;??_-;_-@_-"/>
    <numFmt numFmtId="180" formatCode="&quot;£&quot;#,##0;\-&quot;£&quot;#,##0"/>
    <numFmt numFmtId="181" formatCode="&quot;£&quot;#,##0;[Red]\-&quot;£&quot;#,##0"/>
    <numFmt numFmtId="182" formatCode="&quot;£&quot;#,##0.00;\-&quot;£&quot;#,##0.00"/>
    <numFmt numFmtId="183" formatCode="&quot;£&quot;#,##0.00;[Red]\-&quot;£&quot;#,##0.00"/>
    <numFmt numFmtId="184" formatCode="_-&quot;£&quot;* #,##0_-;\-&quot;£&quot;* #,##0_-;_-&quot;£&quot;* &quot;-&quot;_-;_-@_-"/>
    <numFmt numFmtId="185" formatCode="_-&quot;£&quot;* #,##0.00_-;\-&quot;£&quot;* #,##0.00_-;_-&quot;£&quot;* &quot;-&quot;??_-;_-@_-"/>
    <numFmt numFmtId="186" formatCode="0.00;[Red]0.00"/>
    <numFmt numFmtId="187" formatCode="&quot;Yes&quot;;&quot;Yes&quot;;&quot;No&quot;"/>
    <numFmt numFmtId="188" formatCode="&quot;True&quot;;&quot;True&quot;;&quot;False&quot;"/>
    <numFmt numFmtId="189" formatCode="&quot;On&quot;;&quot;On&quot;;&quot;Off&quot;"/>
    <numFmt numFmtId="190" formatCode="[$€-2]\ #,##0.00_);[Red]\([$€-2]\ #,##0.00\)"/>
    <numFmt numFmtId="191" formatCode="0;[Red]0"/>
    <numFmt numFmtId="192" formatCode="0.0;[Red]0.0"/>
    <numFmt numFmtId="193" formatCode="0.00000000"/>
    <numFmt numFmtId="194" formatCode="0.0000000"/>
    <numFmt numFmtId="195" formatCode="0.000000"/>
    <numFmt numFmtId="196" formatCode="0.00000"/>
    <numFmt numFmtId="197" formatCode="0.0000"/>
    <numFmt numFmtId="198" formatCode="0.000"/>
    <numFmt numFmtId="199" formatCode="0.0"/>
    <numFmt numFmtId="200" formatCode="_-* #,##0.0_-;\-* #,##0.0_-;_-* &quot;-&quot;??_-;_-@_-"/>
    <numFmt numFmtId="201" formatCode="_-* #,##0_-;\-* #,##0_-;_-* &quot;-&quot;??_-;_-@_-"/>
    <numFmt numFmtId="202" formatCode="&quot;$&quot;#,##0"/>
    <numFmt numFmtId="203" formatCode="[$-409]d\-mmm\-yy;@"/>
    <numFmt numFmtId="204" formatCode="#,##0.00;[Red]#,##0.00"/>
    <numFmt numFmtId="205" formatCode="[$-409]d\-mmm;@"/>
    <numFmt numFmtId="206" formatCode="_(* #,##0_);_(* \(#,##0\);_(* &quot;-&quot;??_);_(@_)"/>
    <numFmt numFmtId="207" formatCode="_ * #,##0_ ;_ * \-#,##0_ ;_ * &quot;-&quot;??_ ;_ @_ "/>
    <numFmt numFmtId="208" formatCode="_(* #,##0.0_);_(* \(#,##0.0\);_(* &quot;-&quot;??_);_(@_)"/>
    <numFmt numFmtId="209" formatCode="dd\-mm\-yyyy"/>
    <numFmt numFmtId="210" formatCode="&quot;0&quot;0"/>
    <numFmt numFmtId="211" formatCode="&quot;GJ/BRD/66951/&quot;0"/>
    <numFmt numFmtId="212" formatCode="&quot;0&quot;0.0"/>
    <numFmt numFmtId="213" formatCode="[$-409]dddd\,\ mmmm\ d\,\ yyyy"/>
    <numFmt numFmtId="214" formatCode="[$-409]h:mm:ss\ AM/PM"/>
    <numFmt numFmtId="215" formatCode="[$-F800]dddd\,\ mmmm\ dd\,\ yyyy"/>
    <numFmt numFmtId="216" formatCode="_(* #,##0.0_);_(* \(#,##0.0\);_(* &quot;-&quot;?_);_(@_)"/>
    <numFmt numFmtId="217" formatCode="[$-409]dddd\,\ mmmm\ dd\,\ yyyy"/>
    <numFmt numFmtId="218" formatCode="d\ mmm\ yyyy;@"/>
    <numFmt numFmtId="219" formatCode="[$-4009]dd\ mmmm\ yyyy"/>
    <numFmt numFmtId="220" formatCode="[$-14009]dddd\,\ d\ mmmm\,\ yyyy;@"/>
    <numFmt numFmtId="221" formatCode="[$-14009]dd\ mmmm\ yyyy;@"/>
    <numFmt numFmtId="222" formatCode="[$-14009]dd/mm/yyyy;@"/>
    <numFmt numFmtId="223" formatCode="mmm/yyyy"/>
    <numFmt numFmtId="224" formatCode="[$-14009]d\ mmmm\ yyyy;@"/>
    <numFmt numFmtId="225" formatCode="00000"/>
    <numFmt numFmtId="226" formatCode="[$-14009]dd\-mm\-yyyy;@"/>
    <numFmt numFmtId="227" formatCode="00"/>
  </numFmts>
  <fonts count="135">
    <font>
      <sz val="10"/>
      <name val="Arial"/>
      <family val="0"/>
    </font>
    <font>
      <b/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20"/>
      <name val="Bahnschrift"/>
      <family val="2"/>
    </font>
    <font>
      <sz val="20"/>
      <name val="Bahnschrift"/>
      <family val="2"/>
    </font>
    <font>
      <sz val="20"/>
      <name val="Cambria"/>
      <family val="1"/>
    </font>
    <font>
      <u val="double"/>
      <sz val="10"/>
      <color indexed="10"/>
      <name val="Arial"/>
      <family val="2"/>
    </font>
    <font>
      <sz val="20"/>
      <name val="Arial"/>
      <family val="2"/>
    </font>
    <font>
      <sz val="9"/>
      <name val="Tahoma"/>
      <family val="0"/>
    </font>
    <font>
      <b/>
      <sz val="9"/>
      <name val="Tahoma"/>
      <family val="0"/>
    </font>
    <font>
      <sz val="30"/>
      <color indexed="8"/>
      <name val="Calibri"/>
      <family val="2"/>
    </font>
    <font>
      <b/>
      <sz val="30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u val="single"/>
      <sz val="10"/>
      <color indexed="20"/>
      <name val="Arial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 val="single"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Calibri"/>
      <family val="2"/>
    </font>
    <font>
      <sz val="14"/>
      <color indexed="8"/>
      <name val="Calibri"/>
      <family val="2"/>
    </font>
    <font>
      <sz val="10"/>
      <name val="Calibri"/>
      <family val="2"/>
    </font>
    <font>
      <b/>
      <sz val="10"/>
      <color indexed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2"/>
      <name val="Calibri"/>
      <family val="2"/>
    </font>
    <font>
      <b/>
      <i/>
      <sz val="12"/>
      <color indexed="8"/>
      <name val="Calibri"/>
      <family val="2"/>
    </font>
    <font>
      <sz val="9"/>
      <color indexed="8"/>
      <name val="Calibri"/>
      <family val="2"/>
    </font>
    <font>
      <sz val="22"/>
      <name val="Calibri"/>
      <family val="2"/>
    </font>
    <font>
      <sz val="8"/>
      <name val="Calibri"/>
      <family val="2"/>
    </font>
    <font>
      <sz val="11"/>
      <name val="Calibri"/>
      <family val="2"/>
    </font>
    <font>
      <sz val="12"/>
      <name val="Calibri"/>
      <family val="2"/>
    </font>
    <font>
      <b/>
      <sz val="11"/>
      <name val="Calibri"/>
      <family val="2"/>
    </font>
    <font>
      <sz val="11"/>
      <color indexed="8"/>
      <name val="Bahnschrift"/>
      <family val="2"/>
    </font>
    <font>
      <sz val="20"/>
      <color indexed="8"/>
      <name val="Calibri"/>
      <family val="2"/>
    </font>
    <font>
      <b/>
      <sz val="20"/>
      <color indexed="8"/>
      <name val="Bahnschrift"/>
      <family val="2"/>
    </font>
    <font>
      <sz val="20"/>
      <color indexed="8"/>
      <name val="Bahnschrift"/>
      <family val="2"/>
    </font>
    <font>
      <b/>
      <sz val="15"/>
      <color indexed="8"/>
      <name val="Bahnschrift"/>
      <family val="2"/>
    </font>
    <font>
      <b/>
      <sz val="20"/>
      <color indexed="8"/>
      <name val="Calibri"/>
      <family val="2"/>
    </font>
    <font>
      <b/>
      <sz val="15"/>
      <color indexed="8"/>
      <name val="Calibri"/>
      <family val="2"/>
    </font>
    <font>
      <sz val="20"/>
      <color indexed="10"/>
      <name val="Bahnschrift"/>
      <family val="2"/>
    </font>
    <font>
      <sz val="20"/>
      <name val="Calibri"/>
      <family val="2"/>
    </font>
    <font>
      <sz val="24"/>
      <color indexed="8"/>
      <name val="Calibri"/>
      <family val="2"/>
    </font>
    <font>
      <b/>
      <sz val="30"/>
      <name val="Calibri"/>
      <family val="2"/>
    </font>
    <font>
      <sz val="30"/>
      <name val="Calibri"/>
      <family val="2"/>
    </font>
    <font>
      <b/>
      <u val="single"/>
      <sz val="18"/>
      <color indexed="8"/>
      <name val="Calibri"/>
      <family val="2"/>
    </font>
    <font>
      <b/>
      <sz val="9"/>
      <color indexed="8"/>
      <name val="Calibri"/>
      <family val="2"/>
    </font>
    <font>
      <b/>
      <sz val="10"/>
      <name val="Calibri"/>
      <family val="2"/>
    </font>
    <font>
      <b/>
      <u val="single"/>
      <sz val="10"/>
      <color indexed="8"/>
      <name val="Calibri"/>
      <family val="2"/>
    </font>
    <font>
      <b/>
      <sz val="24"/>
      <color indexed="8"/>
      <name val="Bahnschrift"/>
      <family val="2"/>
    </font>
    <font>
      <sz val="8"/>
      <color indexed="8"/>
      <name val="Calibri"/>
      <family val="2"/>
    </font>
    <font>
      <b/>
      <sz val="14"/>
      <color indexed="8"/>
      <name val="Calibri"/>
      <family val="2"/>
    </font>
    <font>
      <b/>
      <u val="single"/>
      <sz val="12"/>
      <name val="Calibri"/>
      <family val="2"/>
    </font>
    <font>
      <b/>
      <sz val="10"/>
      <color indexed="8"/>
      <name val="Gauge Heavy"/>
      <family val="0"/>
    </font>
    <font>
      <b/>
      <sz val="28"/>
      <color indexed="8"/>
      <name val="Calibri"/>
      <family val="0"/>
    </font>
    <font>
      <sz val="28"/>
      <color indexed="8"/>
      <name val="Calibri"/>
      <family val="0"/>
    </font>
    <font>
      <b/>
      <sz val="21"/>
      <color indexed="10"/>
      <name val="Calibri"/>
      <family val="0"/>
    </font>
    <font>
      <sz val="21"/>
      <color indexed="8"/>
      <name val="Calibri"/>
      <family val="0"/>
    </font>
    <font>
      <b/>
      <sz val="13"/>
      <color indexed="8"/>
      <name val="Calibri"/>
      <family val="0"/>
    </font>
    <font>
      <b/>
      <sz val="19"/>
      <color indexed="10"/>
      <name val="Calibri"/>
      <family val="0"/>
    </font>
    <font>
      <b/>
      <sz val="20"/>
      <color indexed="10"/>
      <name val="Calibri"/>
      <family val="0"/>
    </font>
    <font>
      <b/>
      <sz val="20"/>
      <color theme="1"/>
      <name val="Bahnschrift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 val="single"/>
      <sz val="12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3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 val="single"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u val="single"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Bahnschrift"/>
      <family val="2"/>
    </font>
    <font>
      <sz val="14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30"/>
      <name val="Calibri"/>
      <family val="2"/>
      <scheme val="minor"/>
    </font>
    <font>
      <b/>
      <sz val="30"/>
      <color rgb="FF000000"/>
      <name val="Calibri"/>
      <family val="2"/>
      <scheme val="minor"/>
    </font>
    <font>
      <sz val="30"/>
      <color indexed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Bahnschrift"/>
      <family val="2"/>
    </font>
    <font>
      <sz val="20"/>
      <name val="Calibri"/>
      <family val="2"/>
      <scheme val="minor"/>
    </font>
    <font>
      <sz val="20"/>
      <color rgb="FFFF0000"/>
      <name val="Bahnschrift"/>
      <family val="2"/>
    </font>
    <font>
      <b/>
      <sz val="2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1"/>
      <name val="Bahnschrift"/>
      <family val="2"/>
    </font>
    <font>
      <sz val="20"/>
      <color theme="1"/>
      <name val="Calibri"/>
      <family val="2"/>
      <scheme val="minor"/>
    </font>
    <font>
      <sz val="11"/>
      <color theme="1"/>
      <name val="Bahnschrift"/>
      <family val="2"/>
    </font>
    <font>
      <b/>
      <sz val="12"/>
      <color rgb="FF000000"/>
      <name val="Calibri"/>
      <family val="2"/>
      <scheme val="minor"/>
    </font>
    <font>
      <sz val="2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3"/>
      <name val="Calibri"/>
      <family val="2"/>
      <scheme val="major"/>
    </font>
    <font>
      <b/>
      <sz val="11"/>
      <color rgb="FF3F3F3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u val="single"/>
      <sz val="10"/>
      <color theme="10"/>
      <name val="Arial"/>
      <family val="2"/>
    </font>
    <font>
      <b/>
      <sz val="11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u val="single"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4" tint="0.799979984760284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7998476028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799966812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000396251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0007281303"/>
        <bgColor indexed="64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>
        <color indexed="0"/>
      </left>
      <right>
        <color indexed="0"/>
      </right>
      <top>
        <color indexed="0"/>
      </top>
      <bottom style="thick">
        <color theme="4"/>
      </bottom>
    </border>
    <border>
      <left>
        <color indexed="0"/>
      </left>
      <right>
        <color indexed="0"/>
      </right>
      <top>
        <color indexed="0"/>
      </top>
      <bottom style="thick">
        <color theme="4" tint="0.499980002641678"/>
      </bottom>
    </border>
    <border>
      <left>
        <color indexed="0"/>
      </left>
      <right>
        <color indexed="0"/>
      </right>
      <top>
        <color indexed="0"/>
      </top>
      <bottom style="medium">
        <color theme="4" tint="0.399980008602142"/>
      </bottom>
    </border>
    <border>
      <left>
        <color indexed="0"/>
      </left>
      <right>
        <color indexed="0"/>
      </right>
      <top>
        <color indexed="0"/>
      </top>
      <bottom style="double">
        <color rgb="FFFF8001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>
        <color indexed="0"/>
      </left>
      <right>
        <color indexed="0"/>
      </right>
      <top style="thin">
        <color theme="4"/>
      </top>
      <bottom style="double">
        <color theme="4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>
        <color indexed="0"/>
      </left>
      <right>
        <color indexed="0"/>
      </right>
      <top>
        <color indexed="0"/>
      </top>
      <bottom style="thin">
        <color auto="1"/>
      </bottom>
    </border>
    <border>
      <left>
        <color indexed="0"/>
      </left>
      <right style="thin">
        <color auto="1"/>
      </right>
      <top>
        <color indexed="0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>
        <color indexed="0"/>
      </bottom>
    </border>
    <border>
      <left style="thin">
        <color auto="1"/>
      </left>
      <right>
        <color indexed="0"/>
      </right>
      <top style="thin">
        <color auto="1"/>
      </top>
      <bottom>
        <color indexed="0"/>
      </bottom>
    </border>
    <border>
      <left/>
      <right/>
      <top style="thin">
        <color auto="1"/>
      </top>
      <bottom/>
    </border>
    <border>
      <left>
        <color indexed="0"/>
      </left>
      <right style="thin">
        <color auto="1"/>
      </right>
      <top style="thin">
        <color auto="1"/>
      </top>
      <bottom>
        <color indexed="0"/>
      </bottom>
    </border>
    <border>
      <left style="thin">
        <color auto="1"/>
      </left>
      <right>
        <color indexed="0"/>
      </right>
      <top>
        <color indexed="0"/>
      </top>
      <bottom>
        <color indexed="0"/>
      </bottom>
    </border>
    <border>
      <left>
        <color indexed="0"/>
      </left>
      <right style="thin">
        <color auto="1"/>
      </right>
      <top>
        <color indexed="0"/>
      </top>
      <bottom>
        <color indexed="0"/>
      </bottom>
    </border>
    <border>
      <left style="thin">
        <color auto="1"/>
      </left>
      <right>
        <color indexed="0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>
        <color indexed="0"/>
      </top>
      <bottom>
        <color indexed="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 style="thin">
        <color rgb="FF000000"/>
      </bottom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>
        <color indexed="0"/>
      </bottom>
    </border>
    <border>
      <left style="thin">
        <color rgb="FF000000"/>
      </left>
      <right style="thin">
        <color auto="1"/>
      </right>
      <top style="thin">
        <color rgb="FF000000"/>
      </top>
      <bottom>
        <color indexed="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auto="1"/>
      </right>
      <top>
        <color indexed="0"/>
      </top>
      <bottom style="thin">
        <color rgb="FF000000"/>
      </bottom>
    </border>
    <border>
      <left/>
      <right style="thin">
        <color rgb="FF000000"/>
      </right>
      <top/>
      <bottom/>
    </border>
    <border>
      <left/>
      <right style="thin">
        <color rgb="FF000000"/>
      </right>
      <top style="thin">
        <color auto="1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</border>
    <border>
      <left style="thin">
        <color rgb="FF000000"/>
      </left>
      <right style="thin">
        <color auto="1"/>
      </right>
      <top style="thin">
        <color auto="1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 style="thin">
        <color auto="1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auto="1"/>
      </bottom>
    </border>
    <border>
      <left/>
      <right/>
      <top style="thin">
        <color rgb="FF000000"/>
      </top>
      <bottom style="thin">
        <color auto="1"/>
      </bottom>
    </border>
    <border>
      <left/>
      <right style="thin">
        <color rgb="FF000000"/>
      </right>
      <top style="thin">
        <color rgb="FF000000"/>
      </top>
      <bottom style="thin">
        <color auto="1"/>
      </bottom>
    </border>
    <border>
      <left/>
      <right style="thin">
        <color auto="1"/>
      </right>
      <top style="thin">
        <color rgb="FF000000"/>
      </top>
      <bottom style="thin">
        <color auto="1"/>
      </bottom>
    </border>
    <border>
      <left style="thin">
        <color rgb="FF000000"/>
      </left>
      <right/>
      <top/>
      <bottom style="thin">
        <color rgb="FF000000"/>
      </bottom>
    </border>
    <border>
      <left/>
      <right style="thin">
        <color auto="1"/>
      </right>
      <top/>
      <bottom style="thin">
        <color rgb="FF000000"/>
      </bottom>
    </border>
    <border>
      <left/>
      <right style="thin">
        <color rgb="FF000000"/>
      </right>
      <top/>
      <bottom style="thin">
        <color auto="1"/>
      </bottom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/>
      <top/>
      <bottom/>
    </border>
    <border>
      <left style="thin">
        <color rgb="FF000000"/>
      </left>
      <right/>
      <top/>
      <bottom style="thin">
        <color auto="1"/>
      </bottom>
    </border>
  </borders>
  <cellStyleXfs count="52">
    <xf numFmtId="0" fontId="0" fillId="0" borderId="0">
      <alignment/>
      <protection/>
    </xf>
    <xf numFmtId="0" fontId="88" fillId="2" borderId="0" applyNumberFormat="0" applyBorder="0" applyAlignment="0" applyProtection="0">
      <alignment/>
    </xf>
    <xf numFmtId="0" fontId="88" fillId="3" borderId="0" applyNumberFormat="0" applyBorder="0" applyAlignment="0" applyProtection="0">
      <alignment/>
    </xf>
    <xf numFmtId="0" fontId="88" fillId="4" borderId="0" applyNumberFormat="0" applyBorder="0" applyAlignment="0" applyProtection="0">
      <alignment/>
    </xf>
    <xf numFmtId="0" fontId="88" fillId="5" borderId="0" applyNumberFormat="0" applyBorder="0" applyAlignment="0" applyProtection="0">
      <alignment/>
    </xf>
    <xf numFmtId="0" fontId="88" fillId="6" borderId="0" applyNumberFormat="0" applyBorder="0" applyAlignment="0" applyProtection="0">
      <alignment/>
    </xf>
    <xf numFmtId="0" fontId="88" fillId="7" borderId="0" applyNumberFormat="0" applyBorder="0" applyAlignment="0" applyProtection="0">
      <alignment/>
    </xf>
    <xf numFmtId="0" fontId="88" fillId="8" borderId="0" applyNumberFormat="0" applyBorder="0" applyAlignment="0" applyProtection="0">
      <alignment/>
    </xf>
    <xf numFmtId="0" fontId="88" fillId="9" borderId="0" applyNumberFormat="0" applyBorder="0" applyAlignment="0" applyProtection="0">
      <alignment/>
    </xf>
    <xf numFmtId="0" fontId="88" fillId="10" borderId="0" applyNumberFormat="0" applyBorder="0" applyAlignment="0" applyProtection="0">
      <alignment/>
    </xf>
    <xf numFmtId="0" fontId="88" fillId="11" borderId="0" applyNumberFormat="0" applyBorder="0" applyAlignment="0" applyProtection="0">
      <alignment/>
    </xf>
    <xf numFmtId="0" fontId="88" fillId="12" borderId="0" applyNumberFormat="0" applyBorder="0" applyAlignment="0" applyProtection="0">
      <alignment/>
    </xf>
    <xf numFmtId="0" fontId="88" fillId="13" borderId="0" applyNumberFormat="0" applyBorder="0" applyAlignment="0" applyProtection="0">
      <alignment/>
    </xf>
    <xf numFmtId="0" fontId="134" fillId="14" borderId="0" applyNumberFormat="0" applyBorder="0" applyAlignment="0" applyProtection="0">
      <alignment/>
    </xf>
    <xf numFmtId="0" fontId="134" fillId="15" borderId="0" applyNumberFormat="0" applyBorder="0" applyAlignment="0" applyProtection="0">
      <alignment/>
    </xf>
    <xf numFmtId="0" fontId="134" fillId="16" borderId="0" applyNumberFormat="0" applyBorder="0" applyAlignment="0" applyProtection="0">
      <alignment/>
    </xf>
    <xf numFmtId="0" fontId="134" fillId="17" borderId="0" applyNumberFormat="0" applyBorder="0" applyAlignment="0" applyProtection="0">
      <alignment/>
    </xf>
    <xf numFmtId="0" fontId="134" fillId="18" borderId="0" applyNumberFormat="0" applyBorder="0" applyAlignment="0" applyProtection="0">
      <alignment/>
    </xf>
    <xf numFmtId="0" fontId="134" fillId="19" borderId="0" applyNumberFormat="0" applyBorder="0" applyAlignment="0" applyProtection="0">
      <alignment/>
    </xf>
    <xf numFmtId="0" fontId="134" fillId="20" borderId="0" applyNumberFormat="0" applyBorder="0" applyAlignment="0" applyProtection="0">
      <alignment/>
    </xf>
    <xf numFmtId="0" fontId="134" fillId="21" borderId="0" applyNumberFormat="0" applyBorder="0" applyAlignment="0" applyProtection="0">
      <alignment/>
    </xf>
    <xf numFmtId="0" fontId="134" fillId="22" borderId="0" applyNumberFormat="0" applyBorder="0" applyAlignment="0" applyProtection="0">
      <alignment/>
    </xf>
    <xf numFmtId="0" fontId="134" fillId="23" borderId="0" applyNumberFormat="0" applyBorder="0" applyAlignment="0" applyProtection="0">
      <alignment/>
    </xf>
    <xf numFmtId="0" fontId="134" fillId="24" borderId="0" applyNumberFormat="0" applyBorder="0" applyAlignment="0" applyProtection="0">
      <alignment/>
    </xf>
    <xf numFmtId="0" fontId="134" fillId="25" borderId="0" applyNumberFormat="0" applyBorder="0" applyAlignment="0" applyProtection="0">
      <alignment/>
    </xf>
    <xf numFmtId="0" fontId="133" fillId="26" borderId="0" applyNumberFormat="0" applyBorder="0" applyAlignment="0" applyProtection="0">
      <alignment/>
    </xf>
    <xf numFmtId="0" fontId="132" fillId="27" borderId="1" applyNumberFormat="0" applyAlignment="0" applyProtection="0">
      <alignment/>
    </xf>
    <xf numFmtId="0" fontId="131" fillId="28" borderId="2" applyNumberFormat="0" applyAlignment="0" applyProtection="0">
      <alignment/>
    </xf>
    <xf numFmtId="43" fontId="0" fillId="0" borderId="0" applyFont="0" applyFill="0" applyBorder="0" applyAlignment="0" applyProtection="0">
      <alignment/>
    </xf>
    <xf numFmtId="41" fontId="0" fillId="0" borderId="0" applyFont="0" applyFill="0" applyBorder="0" applyAlignment="0" applyProtection="0">
      <alignment/>
    </xf>
    <xf numFmtId="44" fontId="0" fillId="0" borderId="0" applyFont="0" applyFill="0" applyBorder="0" applyAlignment="0" applyProtection="0">
      <alignment/>
    </xf>
    <xf numFmtId="42" fontId="0" fillId="0" borderId="0" applyFont="0" applyFill="0" applyBorder="0" applyAlignment="0" applyProtection="0">
      <alignment/>
    </xf>
    <xf numFmtId="0" fontId="130" fillId="0" borderId="0" applyNumberFormat="0" applyFill="0" applyBorder="0" applyAlignment="0" applyProtection="0">
      <alignment/>
    </xf>
    <xf numFmtId="0" fontId="129" fillId="0" borderId="0" applyNumberFormat="0" applyFill="0" applyBorder="0" applyAlignment="0" applyProtection="0">
      <alignment/>
    </xf>
    <xf numFmtId="0" fontId="128" fillId="29" borderId="0" applyNumberFormat="0" applyBorder="0" applyAlignment="0" applyProtection="0">
      <alignment/>
    </xf>
    <xf numFmtId="0" fontId="127" fillId="0" borderId="3" applyNumberFormat="0" applyFill="0" applyAlignment="0" applyProtection="0">
      <alignment/>
    </xf>
    <xf numFmtId="0" fontId="126" fillId="0" borderId="4" applyNumberFormat="0" applyFill="0" applyAlignment="0" applyProtection="0">
      <alignment/>
    </xf>
    <xf numFmtId="0" fontId="125" fillId="0" borderId="5" applyNumberFormat="0" applyFill="0" applyAlignment="0" applyProtection="0">
      <alignment/>
    </xf>
    <xf numFmtId="0" fontId="125" fillId="0" borderId="0" applyNumberFormat="0" applyFill="0" applyBorder="0" applyAlignment="0" applyProtection="0">
      <alignment/>
    </xf>
    <xf numFmtId="0" fontId="124" fillId="0" borderId="0" applyNumberFormat="0" applyFill="0" applyBorder="0" applyAlignment="0" applyProtection="0">
      <alignment/>
    </xf>
    <xf numFmtId="0" fontId="123" fillId="30" borderId="1" applyNumberFormat="0" applyAlignment="0" applyProtection="0">
      <alignment/>
    </xf>
    <xf numFmtId="0" fontId="122" fillId="0" borderId="6" applyNumberFormat="0" applyFill="0" applyAlignment="0" applyProtection="0">
      <alignment/>
    </xf>
    <xf numFmtId="0" fontId="121" fillId="31" borderId="0" applyNumberFormat="0" applyBorder="0" applyAlignment="0" applyProtection="0">
      <alignment/>
    </xf>
    <xf numFmtId="0" fontId="0" fillId="0" borderId="0">
      <alignment/>
      <protection/>
    </xf>
    <xf numFmtId="0" fontId="88" fillId="0" borderId="0">
      <alignment/>
      <protection/>
    </xf>
    <xf numFmtId="0" fontId="88" fillId="0" borderId="0">
      <alignment/>
      <protection/>
    </xf>
    <xf numFmtId="0" fontId="0" fillId="32" borderId="7" applyNumberFormat="0" applyFont="0" applyAlignment="0" applyProtection="0">
      <alignment/>
    </xf>
    <xf numFmtId="0" fontId="120" fillId="27" borderId="8" applyNumberFormat="0" applyAlignment="0" applyProtection="0">
      <alignment/>
    </xf>
    <xf numFmtId="9" fontId="0" fillId="0" borderId="0" applyFont="0" applyFill="0" applyBorder="0" applyAlignment="0" applyProtection="0">
      <alignment/>
    </xf>
    <xf numFmtId="0" fontId="119" fillId="0" borderId="0" applyNumberFormat="0" applyFill="0" applyBorder="0" applyAlignment="0" applyProtection="0">
      <alignment/>
    </xf>
    <xf numFmtId="0" fontId="87" fillId="0" borderId="9" applyNumberFormat="0" applyFill="0" applyAlignment="0" applyProtection="0">
      <alignment/>
    </xf>
    <xf numFmtId="0" fontId="104" fillId="0" borderId="0" applyNumberFormat="0" applyFill="0" applyBorder="0" applyAlignment="0" applyProtection="0">
      <alignment/>
    </xf>
  </cellStyleXfs>
  <cellXfs count="616">
    <xf numFmtId="0" fontId="0" fillId="0" borderId="0" xfId="0" applyAlignment="1">
      <alignment/>
    </xf>
    <xf numFmtId="0" fontId="1" fillId="0" borderId="0" xfId="0" applyFont="1" applyBorder="1" applyAlignment="1">
      <alignment horizontal="left"/>
    </xf>
    <xf numFmtId="0" fontId="0" fillId="0" borderId="10" xfId="0" applyBorder="1" applyAlignment="1">
      <alignment horizontal="center"/>
    </xf>
    <xf numFmtId="43" fontId="88" fillId="0" borderId="0" xfId="28" applyFont="1" applyBorder="1" applyAlignment="1">
      <alignment/>
    </xf>
    <xf numFmtId="43" fontId="88" fillId="0" borderId="0" xfId="28" applyFont="1" applyAlignment="1">
      <alignment/>
    </xf>
    <xf numFmtId="0" fontId="0" fillId="0" borderId="0" xfId="0" applyAlignment="1">
      <alignment horizontal="left"/>
    </xf>
    <xf numFmtId="0" fontId="0" fillId="0" borderId="0" xfId="0" applyFont="1" applyBorder="1" applyAlignment="1">
      <alignment vertical="center"/>
    </xf>
    <xf numFmtId="43" fontId="88" fillId="0" borderId="0" xfId="28" applyFont="1" applyBorder="1" applyAlignment="1">
      <alignment horizontal="left"/>
    </xf>
    <xf numFmtId="0" fontId="3" fillId="0" borderId="0" xfId="0" applyFont="1" applyBorder="1" applyAlignment="1">
      <alignment/>
    </xf>
    <xf numFmtId="0" fontId="3" fillId="0" borderId="0" xfId="0" applyFont="1" applyAlignment="1">
      <alignment/>
    </xf>
    <xf numFmtId="0" fontId="1" fillId="33" borderId="10" xfId="0" applyFont="1" applyFill="1" applyBorder="1" applyAlignment="1">
      <alignment horizontal="center" vertical="center" wrapText="1"/>
    </xf>
    <xf numFmtId="0" fontId="1" fillId="34" borderId="10" xfId="0" applyFont="1" applyFill="1" applyBorder="1" applyAlignment="1">
      <alignment/>
    </xf>
    <xf numFmtId="0" fontId="1" fillId="34" borderId="10" xfId="0" applyFont="1" applyFill="1" applyBorder="1" applyAlignment="1">
      <alignment horizontal="center"/>
    </xf>
    <xf numFmtId="1" fontId="0" fillId="0" borderId="10" xfId="0" applyNumberFormat="1" applyBorder="1" applyAlignment="1">
      <alignment/>
    </xf>
    <xf numFmtId="4" fontId="0" fillId="0" borderId="10" xfId="0" applyNumberFormat="1" applyBorder="1" applyAlignment="1">
      <alignment/>
    </xf>
    <xf numFmtId="203" fontId="0" fillId="0" borderId="10" xfId="28" applyNumberFormat="1" applyFont="1" applyBorder="1" applyAlignment="1">
      <alignment/>
    </xf>
    <xf numFmtId="43" fontId="0" fillId="0" borderId="10" xfId="28" applyFont="1" applyBorder="1" applyAlignment="1">
      <alignment/>
    </xf>
    <xf numFmtId="39" fontId="1" fillId="0" borderId="10" xfId="28" applyNumberFormat="1" applyFont="1" applyBorder="1" applyAlignment="1">
      <alignment/>
    </xf>
    <xf numFmtId="17" fontId="0" fillId="0" borderId="10" xfId="28" applyNumberFormat="1" applyFont="1" applyBorder="1" applyAlignment="1">
      <alignment horizontal="left" wrapText="1"/>
    </xf>
    <xf numFmtId="43" fontId="0" fillId="0" borderId="0" xfId="0" applyNumberFormat="1" applyAlignment="1">
      <alignment/>
    </xf>
    <xf numFmtId="204" fontId="0" fillId="0" borderId="10" xfId="0" applyNumberFormat="1" applyBorder="1" applyAlignment="1">
      <alignment/>
    </xf>
    <xf numFmtId="205" fontId="0" fillId="0" borderId="10" xfId="28" applyNumberFormat="1" applyFont="1" applyBorder="1" applyAlignment="1">
      <alignment horizontal="left" wrapText="1"/>
    </xf>
    <xf numFmtId="0" fontId="0" fillId="0" borderId="0" xfId="0" applyBorder="1" applyAlignment="1">
      <alignment horizontal="center"/>
    </xf>
    <xf numFmtId="203" fontId="0" fillId="0" borderId="0" xfId="0" applyNumberFormat="1" applyBorder="1" applyAlignment="1">
      <alignment/>
    </xf>
    <xf numFmtId="204" fontId="0" fillId="0" borderId="0" xfId="0" applyNumberFormat="1" applyBorder="1" applyAlignment="1">
      <alignment/>
    </xf>
    <xf numFmtId="203" fontId="0" fillId="0" borderId="0" xfId="28" applyNumberFormat="1" applyFont="1" applyBorder="1" applyAlignment="1">
      <alignment/>
    </xf>
    <xf numFmtId="43" fontId="0" fillId="0" borderId="0" xfId="28" applyFont="1" applyBorder="1" applyAlignment="1">
      <alignment/>
    </xf>
    <xf numFmtId="39" fontId="1" fillId="0" borderId="0" xfId="28" applyNumberFormat="1" applyFont="1" applyBorder="1" applyAlignment="1">
      <alignment/>
    </xf>
    <xf numFmtId="43" fontId="0" fillId="0" borderId="0" xfId="28" applyFont="1" applyBorder="1" applyAlignment="1">
      <alignment horizontal="left" wrapText="1"/>
    </xf>
    <xf numFmtId="0" fontId="87" fillId="0" borderId="0" xfId="0" applyFont="1" applyAlignment="1">
      <alignment/>
    </xf>
    <xf numFmtId="0" fontId="0" fillId="0" borderId="0" xfId="0" applyFont="1" applyAlignment="1">
      <alignment/>
    </xf>
    <xf numFmtId="0" fontId="90" fillId="0" borderId="0" xfId="0" applyFont="1" applyAlignment="1">
      <alignment/>
    </xf>
    <xf numFmtId="0" fontId="98" fillId="0" borderId="11" xfId="0" applyFont="1" applyFill="1" applyBorder="1" applyAlignment="1">
      <alignment/>
    </xf>
    <xf numFmtId="0" fontId="98" fillId="0" borderId="12" xfId="0" applyFont="1" applyFill="1" applyBorder="1" applyAlignment="1">
      <alignment/>
    </xf>
    <xf numFmtId="0" fontId="91" fillId="0" borderId="0" xfId="0" applyFont="1" applyAlignment="1">
      <alignment/>
    </xf>
    <xf numFmtId="2" fontId="0" fillId="0" borderId="0" xfId="0" applyNumberFormat="1" applyAlignment="1">
      <alignment/>
    </xf>
    <xf numFmtId="0" fontId="76" fillId="11" borderId="10" xfId="0" applyFont="1" applyFill="1" applyBorder="1" applyAlignment="1">
      <alignment horizontal="center" vertical="center"/>
    </xf>
    <xf numFmtId="17" fontId="76" fillId="11" borderId="10" xfId="0" applyNumberFormat="1" applyFont="1" applyFill="1" applyBorder="1" applyAlignment="1">
      <alignment horizontal="center" vertical="center" wrapText="1"/>
    </xf>
    <xf numFmtId="222" fontId="76" fillId="11" borderId="10" xfId="0" applyNumberFormat="1" applyFont="1" applyFill="1" applyBorder="1" applyAlignment="1">
      <alignment horizontal="center" vertical="center" textRotation="90"/>
    </xf>
    <xf numFmtId="222" fontId="76" fillId="11" borderId="10" xfId="0" applyNumberFormat="1" applyFont="1" applyFill="1" applyBorder="1" applyAlignment="1">
      <alignment horizontal="center" vertical="center" wrapText="1"/>
    </xf>
    <xf numFmtId="0" fontId="76" fillId="11" borderId="13" xfId="0" applyFont="1" applyFill="1" applyBorder="1" applyAlignment="1">
      <alignment horizontal="center" vertical="center"/>
    </xf>
    <xf numFmtId="0" fontId="76" fillId="11" borderId="14" xfId="0" applyFont="1" applyFill="1" applyBorder="1" applyAlignment="1">
      <alignment vertical="center"/>
    </xf>
    <xf numFmtId="0" fontId="76" fillId="11" borderId="15" xfId="0" applyFont="1" applyFill="1" applyBorder="1" applyAlignment="1">
      <alignment vertical="center"/>
    </xf>
    <xf numFmtId="0" fontId="90" fillId="0" borderId="10" xfId="0" applyFont="1" applyBorder="1" applyAlignment="1">
      <alignment horizontal="center" vertical="center"/>
    </xf>
    <xf numFmtId="0" fontId="76" fillId="0" borderId="10" xfId="0" applyFont="1" applyBorder="1" applyAlignment="1">
      <alignment horizontal="left" vertical="center"/>
    </xf>
    <xf numFmtId="198" fontId="76" fillId="0" borderId="10" xfId="0" applyNumberFormat="1" applyFont="1" applyBorder="1" applyAlignment="1">
      <alignment horizontal="center" vertical="center"/>
    </xf>
    <xf numFmtId="0" fontId="90" fillId="35" borderId="10" xfId="0" applyFont="1" applyFill="1" applyBorder="1" applyAlignment="1">
      <alignment horizontal="center" vertical="center"/>
    </xf>
    <xf numFmtId="0" fontId="76" fillId="0" borderId="10" xfId="0" applyFont="1" applyBorder="1" applyAlignment="1">
      <alignment horizontal="center" vertical="center"/>
    </xf>
    <xf numFmtId="0" fontId="76" fillId="35" borderId="10" xfId="0" applyFont="1" applyFill="1" applyBorder="1" applyAlignment="1">
      <alignment horizontal="center" vertical="center"/>
    </xf>
    <xf numFmtId="2" fontId="76" fillId="35" borderId="10" xfId="0" applyNumberFormat="1" applyFont="1" applyFill="1" applyBorder="1" applyAlignment="1">
      <alignment horizontal="center" vertical="center"/>
    </xf>
    <xf numFmtId="198" fontId="76" fillId="35" borderId="10" xfId="0" applyNumberFormat="1" applyFont="1" applyFill="1" applyBorder="1" applyAlignment="1">
      <alignment horizontal="center" vertical="center"/>
    </xf>
    <xf numFmtId="2" fontId="90" fillId="35" borderId="10" xfId="0" applyNumberFormat="1" applyFont="1" applyFill="1" applyBorder="1" applyAlignment="1">
      <alignment horizontal="center" vertical="center"/>
    </xf>
    <xf numFmtId="0" fontId="76" fillId="0" borderId="10" xfId="0" applyFont="1" applyBorder="1" applyAlignment="1">
      <alignment horizontal="left" vertical="center" wrapText="1"/>
    </xf>
    <xf numFmtId="0" fontId="76" fillId="0" borderId="10" xfId="0" applyFont="1" applyBorder="1" applyAlignment="1">
      <alignment vertical="center"/>
    </xf>
    <xf numFmtId="0" fontId="75" fillId="11" borderId="10" xfId="0" applyFont="1" applyFill="1" applyBorder="1" applyAlignment="1">
      <alignment horizontal="center" vertical="center"/>
    </xf>
    <xf numFmtId="17" fontId="75" fillId="11" borderId="10" xfId="0" applyNumberFormat="1" applyFont="1" applyFill="1" applyBorder="1" applyAlignment="1">
      <alignment horizontal="center" vertical="center" wrapText="1"/>
    </xf>
    <xf numFmtId="222" fontId="75" fillId="11" borderId="10" xfId="0" applyNumberFormat="1" applyFont="1" applyFill="1" applyBorder="1" applyAlignment="1">
      <alignment horizontal="center" vertical="center" textRotation="90"/>
    </xf>
    <xf numFmtId="222" fontId="75" fillId="11" borderId="10" xfId="0" applyNumberFormat="1" applyFont="1" applyFill="1" applyBorder="1" applyAlignment="1">
      <alignment horizontal="center" vertical="center" wrapText="1"/>
    </xf>
    <xf numFmtId="0" fontId="75" fillId="11" borderId="13" xfId="0" applyFont="1" applyFill="1" applyBorder="1" applyAlignment="1">
      <alignment horizontal="center" vertical="center"/>
    </xf>
    <xf numFmtId="0" fontId="75" fillId="11" borderId="14" xfId="0" applyFont="1" applyFill="1" applyBorder="1" applyAlignment="1">
      <alignment vertical="center"/>
    </xf>
    <xf numFmtId="0" fontId="75" fillId="11" borderId="15" xfId="0" applyFont="1" applyFill="1" applyBorder="1" applyAlignment="1">
      <alignment vertical="center"/>
    </xf>
    <xf numFmtId="0" fontId="85" fillId="0" borderId="10" xfId="0" applyFont="1" applyBorder="1" applyAlignment="1">
      <alignment horizontal="center" vertical="center"/>
    </xf>
    <xf numFmtId="0" fontId="75" fillId="0" borderId="10" xfId="0" applyFont="1" applyBorder="1" applyAlignment="1">
      <alignment horizontal="left" vertical="center"/>
    </xf>
    <xf numFmtId="198" fontId="75" fillId="0" borderId="10" xfId="0" applyNumberFormat="1" applyFont="1" applyBorder="1" applyAlignment="1">
      <alignment horizontal="center" vertical="center"/>
    </xf>
    <xf numFmtId="0" fontId="85" fillId="35" borderId="10" xfId="0" applyFont="1" applyFill="1" applyBorder="1" applyAlignment="1">
      <alignment horizontal="center" vertical="center"/>
    </xf>
    <xf numFmtId="0" fontId="75" fillId="0" borderId="10" xfId="0" applyFont="1" applyBorder="1" applyAlignment="1">
      <alignment horizontal="center" vertical="center"/>
    </xf>
    <xf numFmtId="0" fontId="75" fillId="0" borderId="10" xfId="0" applyFont="1" applyBorder="1" applyAlignment="1">
      <alignment vertical="center"/>
    </xf>
    <xf numFmtId="0" fontId="75" fillId="35" borderId="10" xfId="0" applyFont="1" applyFill="1" applyBorder="1" applyAlignment="1">
      <alignment horizontal="center" vertical="center"/>
    </xf>
    <xf numFmtId="2" fontId="75" fillId="35" borderId="10" xfId="0" applyNumberFormat="1" applyFont="1" applyFill="1" applyBorder="1" applyAlignment="1">
      <alignment horizontal="center" vertical="center"/>
    </xf>
    <xf numFmtId="198" fontId="75" fillId="35" borderId="10" xfId="0" applyNumberFormat="1" applyFont="1" applyFill="1" applyBorder="1" applyAlignment="1">
      <alignment horizontal="center" vertical="center"/>
    </xf>
    <xf numFmtId="2" fontId="91" fillId="0" borderId="0" xfId="0" applyNumberFormat="1" applyFont="1" applyAlignment="1">
      <alignment/>
    </xf>
    <xf numFmtId="2" fontId="85" fillId="35" borderId="10" xfId="0" applyNumberFormat="1" applyFont="1" applyFill="1" applyBorder="1" applyAlignment="1">
      <alignment horizontal="center" vertical="center"/>
    </xf>
    <xf numFmtId="0" fontId="75" fillId="0" borderId="10" xfId="0" applyFont="1" applyBorder="1" applyAlignment="1">
      <alignment horizontal="left" vertical="center" wrapText="1"/>
    </xf>
    <xf numFmtId="0" fontId="80" fillId="0" borderId="0" xfId="0" applyFont="1" applyAlignment="1">
      <alignment/>
    </xf>
    <xf numFmtId="0" fontId="118" fillId="5" borderId="15" xfId="45" applyFont="1" applyFill="1" applyBorder="1" applyAlignment="1">
      <alignment horizontal="center" vertical="center"/>
      <protection/>
    </xf>
    <xf numFmtId="0" fontId="118" fillId="5" borderId="10" xfId="45" applyFont="1" applyFill="1" applyBorder="1" applyAlignment="1">
      <alignment horizontal="center" vertical="center"/>
      <protection/>
    </xf>
    <xf numFmtId="221" fontId="85" fillId="35" borderId="16" xfId="45" applyNumberFormat="1" applyFont="1" applyFill="1" applyBorder="1" applyAlignment="1">
      <alignment horizontal="center" vertical="center"/>
      <protection/>
    </xf>
    <xf numFmtId="198" fontId="85" fillId="0" borderId="10" xfId="45" applyNumberFormat="1" applyFont="1" applyBorder="1" applyAlignment="1">
      <alignment horizontal="center"/>
      <protection/>
    </xf>
    <xf numFmtId="221" fontId="85" fillId="35" borderId="10" xfId="45" applyNumberFormat="1" applyFont="1" applyFill="1" applyBorder="1" applyAlignment="1">
      <alignment horizontal="center" vertical="center"/>
      <protection/>
    </xf>
    <xf numFmtId="221" fontId="75" fillId="0" borderId="10" xfId="45" applyNumberFormat="1" applyFont="1" applyFill="1" applyBorder="1" applyAlignment="1">
      <alignment horizontal="center" vertical="center"/>
      <protection/>
    </xf>
    <xf numFmtId="198" fontId="75" fillId="0" borderId="10" xfId="45" applyNumberFormat="1" applyFont="1" applyFill="1" applyBorder="1" applyAlignment="1">
      <alignment horizontal="center"/>
      <protection/>
    </xf>
    <xf numFmtId="0" fontId="91" fillId="0" borderId="17" xfId="0" applyFont="1" applyBorder="1" applyAlignment="1">
      <alignment vertical="center"/>
    </xf>
    <xf numFmtId="0" fontId="91" fillId="0" borderId="0" xfId="0" applyFont="1" applyBorder="1" applyAlignment="1">
      <alignment/>
    </xf>
    <xf numFmtId="0" fontId="88" fillId="0" borderId="18" xfId="0" applyFont="1" applyBorder="1" applyAlignment="1">
      <alignment/>
    </xf>
    <xf numFmtId="0" fontId="88" fillId="0" borderId="19" xfId="0" applyFont="1" applyBorder="1" applyAlignment="1">
      <alignment/>
    </xf>
    <xf numFmtId="0" fontId="88" fillId="0" borderId="20" xfId="0" applyFont="1" applyBorder="1" applyAlignment="1">
      <alignment/>
    </xf>
    <xf numFmtId="0" fontId="88" fillId="0" borderId="21" xfId="0" applyFont="1" applyBorder="1" applyAlignment="1">
      <alignment/>
    </xf>
    <xf numFmtId="0" fontId="88" fillId="0" borderId="0" xfId="0" applyFont="1" applyBorder="1" applyAlignment="1">
      <alignment/>
    </xf>
    <xf numFmtId="0" fontId="88" fillId="0" borderId="22" xfId="0" applyFont="1" applyBorder="1" applyAlignment="1">
      <alignment/>
    </xf>
    <xf numFmtId="0" fontId="88" fillId="0" borderId="23" xfId="0" applyFont="1" applyBorder="1" applyAlignment="1">
      <alignment/>
    </xf>
    <xf numFmtId="0" fontId="88" fillId="0" borderId="11" xfId="0" applyFont="1" applyBorder="1" applyAlignment="1">
      <alignment/>
    </xf>
    <xf numFmtId="0" fontId="88" fillId="0" borderId="12" xfId="0" applyFont="1" applyBorder="1" applyAlignment="1">
      <alignment/>
    </xf>
    <xf numFmtId="0" fontId="75" fillId="8" borderId="10" xfId="0" applyFont="1" applyFill="1" applyBorder="1" applyAlignment="1">
      <alignment horizontal="center" vertical="center"/>
    </xf>
    <xf numFmtId="0" fontId="88" fillId="0" borderId="10" xfId="0" applyFont="1" applyBorder="1" applyAlignment="1">
      <alignment horizontal="center" vertical="center"/>
    </xf>
    <xf numFmtId="0" fontId="86" fillId="0" borderId="21" xfId="0" applyFont="1" applyBorder="1" applyAlignment="1">
      <alignment horizontal="center" vertical="center" wrapText="1"/>
    </xf>
    <xf numFmtId="0" fontId="86" fillId="0" borderId="21" xfId="0" applyFont="1" applyBorder="1" applyAlignment="1">
      <alignment horizontal="center" vertical="center"/>
    </xf>
    <xf numFmtId="0" fontId="88" fillId="0" borderId="18" xfId="0" applyFont="1" applyBorder="1" applyAlignment="1">
      <alignment/>
    </xf>
    <xf numFmtId="0" fontId="88" fillId="0" borderId="19" xfId="0" applyFont="1" applyBorder="1" applyAlignment="1">
      <alignment/>
    </xf>
    <xf numFmtId="0" fontId="88" fillId="0" borderId="20" xfId="0" applyFont="1" applyBorder="1" applyAlignment="1">
      <alignment/>
    </xf>
    <xf numFmtId="0" fontId="88" fillId="0" borderId="23" xfId="0" applyFont="1" applyBorder="1" applyAlignment="1">
      <alignment/>
    </xf>
    <xf numFmtId="0" fontId="88" fillId="0" borderId="11" xfId="0" applyFont="1" applyBorder="1" applyAlignment="1">
      <alignment/>
    </xf>
    <xf numFmtId="0" fontId="88" fillId="0" borderId="12" xfId="0" applyFont="1" applyBorder="1" applyAlignment="1">
      <alignment/>
    </xf>
    <xf numFmtId="0" fontId="88" fillId="0" borderId="0" xfId="0" applyFont="1" applyAlignment="1">
      <alignment/>
    </xf>
    <xf numFmtId="198" fontId="88" fillId="0" borderId="0" xfId="0" applyNumberFormat="1" applyFont="1" applyAlignment="1">
      <alignment/>
    </xf>
    <xf numFmtId="0" fontId="91" fillId="0" borderId="19" xfId="0" applyFont="1" applyBorder="1" applyAlignment="1">
      <alignment/>
    </xf>
    <xf numFmtId="0" fontId="91" fillId="0" borderId="20" xfId="0" applyFont="1" applyBorder="1" applyAlignment="1">
      <alignment/>
    </xf>
    <xf numFmtId="0" fontId="91" fillId="0" borderId="21" xfId="0" applyFont="1" applyBorder="1" applyAlignment="1">
      <alignment/>
    </xf>
    <xf numFmtId="0" fontId="91" fillId="0" borderId="22" xfId="0" applyFont="1" applyBorder="1" applyAlignment="1">
      <alignment/>
    </xf>
    <xf numFmtId="0" fontId="91" fillId="0" borderId="0" xfId="0" applyFont="1" applyBorder="1" applyAlignment="1">
      <alignment wrapText="1"/>
    </xf>
    <xf numFmtId="0" fontId="91" fillId="0" borderId="22" xfId="0" applyFont="1" applyBorder="1" applyAlignment="1">
      <alignment wrapText="1"/>
    </xf>
    <xf numFmtId="0" fontId="117" fillId="0" borderId="0" xfId="0" applyFont="1" applyAlignment="1">
      <alignment/>
    </xf>
    <xf numFmtId="0" fontId="91" fillId="0" borderId="21" xfId="0" applyFont="1" applyBorder="1" applyAlignment="1">
      <alignment vertical="center"/>
    </xf>
    <xf numFmtId="0" fontId="91" fillId="0" borderId="0" xfId="0" applyFont="1" applyBorder="1" applyAlignment="1">
      <alignment vertical="center"/>
    </xf>
    <xf numFmtId="0" fontId="91" fillId="0" borderId="22" xfId="0" applyFont="1" applyBorder="1" applyAlignment="1">
      <alignment vertical="center"/>
    </xf>
    <xf numFmtId="0" fontId="93" fillId="0" borderId="21" xfId="0" applyFont="1" applyBorder="1" applyAlignment="1">
      <alignment/>
    </xf>
    <xf numFmtId="0" fontId="93" fillId="0" borderId="0" xfId="0" applyFont="1" applyBorder="1" applyAlignment="1">
      <alignment/>
    </xf>
    <xf numFmtId="0" fontId="93" fillId="0" borderId="22" xfId="0" applyFont="1" applyBorder="1" applyAlignment="1">
      <alignment/>
    </xf>
    <xf numFmtId="0" fontId="90" fillId="36" borderId="10" xfId="0" applyFont="1" applyFill="1" applyBorder="1" applyAlignment="1">
      <alignment horizontal="center" vertical="center" wrapText="1"/>
    </xf>
    <xf numFmtId="0" fontId="91" fillId="0" borderId="17" xfId="0" applyFont="1" applyBorder="1" applyAlignment="1">
      <alignment horizontal="center" vertical="center"/>
    </xf>
    <xf numFmtId="0" fontId="91" fillId="0" borderId="24" xfId="0" applyFont="1" applyBorder="1" applyAlignment="1">
      <alignment horizontal="center" vertical="center"/>
    </xf>
    <xf numFmtId="2" fontId="105" fillId="0" borderId="24" xfId="0" applyNumberFormat="1" applyFont="1" applyFill="1" applyBorder="1" applyAlignment="1" applyProtection="1">
      <alignment horizontal="center" vertical="center" wrapText="1"/>
      <protection/>
    </xf>
    <xf numFmtId="0" fontId="88" fillId="0" borderId="24" xfId="0" applyFont="1" applyBorder="1" applyAlignment="1">
      <alignment horizontal="center" vertical="center"/>
    </xf>
    <xf numFmtId="4" fontId="105" fillId="0" borderId="24" xfId="0" applyNumberFormat="1" applyFont="1" applyFill="1" applyBorder="1" applyAlignment="1" applyProtection="1">
      <alignment horizontal="center" vertical="center" wrapText="1"/>
      <protection/>
    </xf>
    <xf numFmtId="4" fontId="88" fillId="0" borderId="24" xfId="0" applyNumberFormat="1" applyFont="1" applyFill="1" applyBorder="1" applyAlignment="1">
      <alignment horizontal="center" vertical="center" wrapText="1"/>
    </xf>
    <xf numFmtId="2" fontId="91" fillId="0" borderId="24" xfId="0" applyNumberFormat="1" applyFont="1" applyFill="1" applyBorder="1" applyAlignment="1" applyProtection="1">
      <alignment horizontal="center" vertical="center" wrapText="1"/>
      <protection/>
    </xf>
    <xf numFmtId="0" fontId="90" fillId="0" borderId="24" xfId="0" applyFont="1" applyBorder="1" applyAlignment="1">
      <alignment horizontal="center" vertical="center"/>
    </xf>
    <xf numFmtId="2" fontId="90" fillId="0" borderId="24" xfId="0" applyNumberFormat="1" applyFont="1" applyFill="1" applyBorder="1" applyAlignment="1">
      <alignment horizontal="center" vertical="center" wrapText="1"/>
    </xf>
    <xf numFmtId="0" fontId="90" fillId="0" borderId="24" xfId="0" applyFont="1" applyBorder="1" applyAlignment="1">
      <alignment vertical="center"/>
    </xf>
    <xf numFmtId="4" fontId="76" fillId="36" borderId="10" xfId="0" applyNumberFormat="1" applyFont="1" applyFill="1" applyBorder="1" applyAlignment="1">
      <alignment horizontal="center" vertical="center" wrapText="1"/>
    </xf>
    <xf numFmtId="0" fontId="90" fillId="0" borderId="18" xfId="0" applyFont="1" applyFill="1" applyBorder="1" applyAlignment="1">
      <alignment vertical="center"/>
    </xf>
    <xf numFmtId="0" fontId="90" fillId="0" borderId="19" xfId="0" applyFont="1" applyFill="1" applyBorder="1" applyAlignment="1">
      <alignment vertical="center"/>
    </xf>
    <xf numFmtId="0" fontId="90" fillId="0" borderId="20" xfId="0" applyFont="1" applyFill="1" applyBorder="1" applyAlignment="1">
      <alignment vertical="center"/>
    </xf>
    <xf numFmtId="0" fontId="90" fillId="0" borderId="21" xfId="0" applyFont="1" applyFill="1" applyBorder="1" applyAlignment="1">
      <alignment vertical="center"/>
    </xf>
    <xf numFmtId="0" fontId="90" fillId="0" borderId="0" xfId="0" applyFont="1" applyFill="1" applyBorder="1" applyAlignment="1">
      <alignment vertical="center"/>
    </xf>
    <xf numFmtId="0" fontId="90" fillId="0" borderId="0" xfId="0" applyFont="1" applyFill="1" applyBorder="1" applyAlignment="1">
      <alignment vertical="center" wrapText="1"/>
    </xf>
    <xf numFmtId="0" fontId="76" fillId="0" borderId="13" xfId="0" applyFont="1" applyFill="1" applyBorder="1" applyAlignment="1">
      <alignment horizontal="left" vertical="center" wrapText="1"/>
    </xf>
    <xf numFmtId="0" fontId="76" fillId="0" borderId="14" xfId="0" applyFont="1" applyFill="1" applyBorder="1" applyAlignment="1">
      <alignment horizontal="left" vertical="center" wrapText="1"/>
    </xf>
    <xf numFmtId="0" fontId="76" fillId="0" borderId="14" xfId="0" applyFont="1" applyFill="1" applyBorder="1" applyAlignment="1">
      <alignment vertical="center" wrapText="1"/>
    </xf>
    <xf numFmtId="2" fontId="76" fillId="0" borderId="14" xfId="0" applyNumberFormat="1" applyFont="1" applyBorder="1" applyAlignment="1">
      <alignment horizontal="center" vertical="center"/>
    </xf>
    <xf numFmtId="2" fontId="76" fillId="0" borderId="15" xfId="0" applyNumberFormat="1" applyFont="1" applyBorder="1" applyAlignment="1">
      <alignment horizontal="center" vertical="center"/>
    </xf>
    <xf numFmtId="0" fontId="81" fillId="0" borderId="0" xfId="0" applyFont="1" applyBorder="1" applyAlignment="1">
      <alignment/>
    </xf>
    <xf numFmtId="0" fontId="91" fillId="0" borderId="23" xfId="0" applyFont="1" applyBorder="1" applyAlignment="1">
      <alignment/>
    </xf>
    <xf numFmtId="0" fontId="91" fillId="0" borderId="11" xfId="0" applyFont="1" applyBorder="1" applyAlignment="1">
      <alignment/>
    </xf>
    <xf numFmtId="0" fontId="83" fillId="8" borderId="25" xfId="0" applyFont="1" applyFill="1" applyBorder="1" applyAlignment="1">
      <alignment horizontal="center" vertical="center" wrapText="1"/>
    </xf>
    <xf numFmtId="0" fontId="83" fillId="8" borderId="26" xfId="0" applyFont="1" applyFill="1" applyBorder="1" applyAlignment="1">
      <alignment horizontal="center" vertical="center" wrapText="1"/>
    </xf>
    <xf numFmtId="0" fontId="83" fillId="8" borderId="10" xfId="0" applyFont="1" applyFill="1" applyBorder="1" applyAlignment="1">
      <alignment horizontal="center" vertical="center"/>
    </xf>
    <xf numFmtId="0" fontId="83" fillId="8" borderId="27" xfId="0" applyFont="1" applyFill="1" applyBorder="1" applyAlignment="1">
      <alignment horizontal="left" vertical="center" wrapText="1"/>
    </xf>
    <xf numFmtId="0" fontId="83" fillId="8" borderId="28" xfId="0" applyFont="1" applyFill="1" applyBorder="1" applyAlignment="1">
      <alignment horizontal="left" vertical="center" wrapText="1"/>
    </xf>
    <xf numFmtId="2" fontId="83" fillId="8" borderId="25" xfId="0" applyNumberFormat="1" applyFont="1" applyFill="1" applyBorder="1" applyAlignment="1">
      <alignment horizontal="center" vertical="center" wrapText="1"/>
    </xf>
    <xf numFmtId="0" fontId="105" fillId="0" borderId="10" xfId="0" applyFont="1" applyBorder="1" applyAlignment="1">
      <alignment vertical="center"/>
    </xf>
    <xf numFmtId="1" fontId="103" fillId="0" borderId="29" xfId="0" applyNumberFormat="1" applyFont="1" applyFill="1" applyBorder="1" applyAlignment="1">
      <alignment horizontal="center" vertical="center" shrinkToFit="1"/>
    </xf>
    <xf numFmtId="0" fontId="105" fillId="0" borderId="10" xfId="0" applyFont="1" applyBorder="1" applyAlignment="1">
      <alignment horizontal="left" vertical="center" wrapText="1"/>
    </xf>
    <xf numFmtId="0" fontId="83" fillId="0" borderId="30" xfId="0" applyFont="1" applyFill="1" applyBorder="1" applyAlignment="1">
      <alignment horizontal="center" vertical="center" wrapText="1"/>
    </xf>
    <xf numFmtId="4" fontId="103" fillId="0" borderId="25" xfId="0" applyNumberFormat="1" applyFont="1" applyFill="1" applyBorder="1" applyAlignment="1">
      <alignment horizontal="center" vertical="center" shrinkToFit="1"/>
    </xf>
    <xf numFmtId="4" fontId="106" fillId="0" borderId="25" xfId="0" applyNumberFormat="1" applyFont="1" applyFill="1" applyBorder="1" applyAlignment="1">
      <alignment horizontal="center" vertical="center" shrinkToFit="1"/>
    </xf>
    <xf numFmtId="198" fontId="106" fillId="0" borderId="25" xfId="0" applyNumberFormat="1" applyFont="1" applyFill="1" applyBorder="1" applyAlignment="1">
      <alignment horizontal="center" vertical="center" shrinkToFit="1"/>
    </xf>
    <xf numFmtId="198" fontId="103" fillId="37" borderId="25" xfId="0" applyNumberFormat="1" applyFont="1" applyFill="1" applyBorder="1" applyAlignment="1">
      <alignment horizontal="center" vertical="center" shrinkToFit="1"/>
    </xf>
    <xf numFmtId="4" fontId="103" fillId="37" borderId="25" xfId="0" applyNumberFormat="1" applyFont="1" applyFill="1" applyBorder="1" applyAlignment="1">
      <alignment horizontal="center" vertical="center" shrinkToFit="1"/>
    </xf>
    <xf numFmtId="4" fontId="106" fillId="0" borderId="26" xfId="0" applyNumberFormat="1" applyFont="1" applyFill="1" applyBorder="1" applyAlignment="1">
      <alignment horizontal="center" vertical="center" shrinkToFit="1"/>
    </xf>
    <xf numFmtId="0" fontId="105" fillId="0" borderId="10" xfId="0" applyFont="1" applyBorder="1" applyAlignment="1">
      <alignment vertical="top" wrapText="1"/>
    </xf>
    <xf numFmtId="0" fontId="83" fillId="8" borderId="31" xfId="0" applyFont="1" applyFill="1" applyBorder="1" applyAlignment="1">
      <alignment horizontal="left" vertical="center" wrapText="1"/>
    </xf>
    <xf numFmtId="0" fontId="83" fillId="33" borderId="10" xfId="0" applyFont="1" applyFill="1" applyBorder="1" applyAlignment="1">
      <alignment horizontal="left" vertical="center" wrapText="1"/>
    </xf>
    <xf numFmtId="0" fontId="83" fillId="8" borderId="30" xfId="0" applyFont="1" applyFill="1" applyBorder="1" applyAlignment="1">
      <alignment horizontal="center" vertical="center" wrapText="1"/>
    </xf>
    <xf numFmtId="0" fontId="105" fillId="0" borderId="17" xfId="0" applyFont="1" applyBorder="1" applyAlignment="1">
      <alignment vertical="center"/>
    </xf>
    <xf numFmtId="1" fontId="103" fillId="0" borderId="32" xfId="0" applyNumberFormat="1" applyFont="1" applyFill="1" applyBorder="1" applyAlignment="1">
      <alignment horizontal="center" vertical="center" shrinkToFit="1"/>
    </xf>
    <xf numFmtId="0" fontId="83" fillId="0" borderId="33" xfId="0" applyFont="1" applyFill="1" applyBorder="1" applyAlignment="1">
      <alignment horizontal="center" vertical="center" wrapText="1"/>
    </xf>
    <xf numFmtId="4" fontId="103" fillId="0" borderId="34" xfId="0" applyNumberFormat="1" applyFont="1" applyFill="1" applyBorder="1" applyAlignment="1">
      <alignment horizontal="center" vertical="center" shrinkToFit="1"/>
    </xf>
    <xf numFmtId="4" fontId="103" fillId="37" borderId="25" xfId="0" applyNumberFormat="1" applyFont="1" applyFill="1" applyBorder="1" applyAlignment="1">
      <alignment horizontal="center" vertical="center" shrinkToFit="1"/>
    </xf>
    <xf numFmtId="1" fontId="103" fillId="0" borderId="10" xfId="0" applyNumberFormat="1" applyFont="1" applyFill="1" applyBorder="1" applyAlignment="1">
      <alignment horizontal="center" vertical="center" shrinkToFit="1"/>
    </xf>
    <xf numFmtId="0" fontId="105" fillId="0" borderId="13" xfId="0" applyFont="1" applyBorder="1" applyAlignment="1">
      <alignment horizontal="left" vertical="center" wrapText="1"/>
    </xf>
    <xf numFmtId="0" fontId="83" fillId="0" borderId="10" xfId="0" applyFont="1" applyBorder="1" applyAlignment="1">
      <alignment horizontal="center" vertical="center" wrapText="1"/>
    </xf>
    <xf numFmtId="2" fontId="83" fillId="0" borderId="14" xfId="0" applyNumberFormat="1" applyFont="1" applyBorder="1" applyAlignment="1">
      <alignment horizontal="center" vertical="center" wrapText="1"/>
    </xf>
    <xf numFmtId="4" fontId="105" fillId="0" borderId="10" xfId="0" applyNumberFormat="1" applyFont="1" applyBorder="1" applyAlignment="1">
      <alignment horizontal="center" vertical="center"/>
    </xf>
    <xf numFmtId="4" fontId="106" fillId="38" borderId="30" xfId="0" applyNumberFormat="1" applyFont="1" applyFill="1" applyBorder="1" applyAlignment="1">
      <alignment horizontal="center" vertical="center" shrinkToFit="1"/>
    </xf>
    <xf numFmtId="4" fontId="105" fillId="0" borderId="17" xfId="0" applyNumberFormat="1" applyFont="1" applyBorder="1" applyAlignment="1">
      <alignment horizontal="center" vertical="center"/>
    </xf>
    <xf numFmtId="4" fontId="106" fillId="38" borderId="33" xfId="0" applyNumberFormat="1" applyFont="1" applyFill="1" applyBorder="1" applyAlignment="1">
      <alignment horizontal="center" vertical="center" shrinkToFit="1"/>
    </xf>
    <xf numFmtId="4" fontId="106" fillId="0" borderId="34" xfId="0" applyNumberFormat="1" applyFont="1" applyFill="1" applyBorder="1" applyAlignment="1">
      <alignment horizontal="center" vertical="center" shrinkToFit="1"/>
    </xf>
    <xf numFmtId="0" fontId="105" fillId="33" borderId="10" xfId="0" applyFont="1" applyFill="1" applyBorder="1" applyAlignment="1">
      <alignment vertical="center"/>
    </xf>
    <xf numFmtId="1" fontId="103" fillId="33" borderId="10" xfId="0" applyNumberFormat="1" applyFont="1" applyFill="1" applyBorder="1" applyAlignment="1">
      <alignment horizontal="center" vertical="center" shrinkToFit="1"/>
    </xf>
    <xf numFmtId="0" fontId="83" fillId="33" borderId="10" xfId="0" applyFont="1" applyFill="1" applyBorder="1" applyAlignment="1">
      <alignment horizontal="center" vertical="center" wrapText="1"/>
    </xf>
    <xf numFmtId="2" fontId="103" fillId="33" borderId="10" xfId="0" applyNumberFormat="1" applyFont="1" applyFill="1" applyBorder="1" applyAlignment="1">
      <alignment horizontal="center" vertical="center" shrinkToFit="1"/>
    </xf>
    <xf numFmtId="4" fontId="105" fillId="33" borderId="10" xfId="0" applyNumberFormat="1" applyFont="1" applyFill="1" applyBorder="1" applyAlignment="1">
      <alignment horizontal="center" vertical="center"/>
    </xf>
    <xf numFmtId="4" fontId="106" fillId="33" borderId="10" xfId="0" applyNumberFormat="1" applyFont="1" applyFill="1" applyBorder="1" applyAlignment="1">
      <alignment horizontal="center" vertical="center" shrinkToFit="1"/>
    </xf>
    <xf numFmtId="198" fontId="103" fillId="33" borderId="25" xfId="0" applyNumberFormat="1" applyFont="1" applyFill="1" applyBorder="1" applyAlignment="1">
      <alignment horizontal="center" vertical="center" shrinkToFit="1"/>
    </xf>
    <xf numFmtId="0" fontId="105" fillId="0" borderId="23" xfId="0" applyFont="1" applyBorder="1" applyAlignment="1">
      <alignment horizontal="left" vertical="center" wrapText="1"/>
    </xf>
    <xf numFmtId="0" fontId="83" fillId="0" borderId="16" xfId="0" applyFont="1" applyBorder="1" applyAlignment="1">
      <alignment horizontal="center" vertical="center"/>
    </xf>
    <xf numFmtId="2" fontId="83" fillId="0" borderId="23" xfId="0" applyNumberFormat="1" applyFont="1" applyBorder="1" applyAlignment="1">
      <alignment horizontal="center" vertical="center" wrapText="1"/>
    </xf>
    <xf numFmtId="4" fontId="105" fillId="0" borderId="16" xfId="0" applyNumberFormat="1" applyFont="1" applyBorder="1" applyAlignment="1">
      <alignment horizontal="center" vertical="center"/>
    </xf>
    <xf numFmtId="4" fontId="106" fillId="38" borderId="27" xfId="0" applyNumberFormat="1" applyFont="1" applyFill="1" applyBorder="1" applyAlignment="1">
      <alignment horizontal="center" vertical="center" shrinkToFit="1"/>
    </xf>
    <xf numFmtId="1" fontId="103" fillId="0" borderId="17" xfId="0" applyNumberFormat="1" applyFont="1" applyFill="1" applyBorder="1" applyAlignment="1">
      <alignment horizontal="center" vertical="center" shrinkToFit="1"/>
    </xf>
    <xf numFmtId="0" fontId="105" fillId="0" borderId="18" xfId="0" applyFont="1" applyBorder="1" applyAlignment="1">
      <alignment horizontal="left" vertical="center" wrapText="1"/>
    </xf>
    <xf numFmtId="0" fontId="83" fillId="0" borderId="17" xfId="0" applyFont="1" applyBorder="1" applyAlignment="1">
      <alignment horizontal="center" vertical="center"/>
    </xf>
    <xf numFmtId="2" fontId="83" fillId="0" borderId="18" xfId="0" applyNumberFormat="1" applyFont="1" applyBorder="1" applyAlignment="1">
      <alignment horizontal="center" vertical="center" wrapText="1"/>
    </xf>
    <xf numFmtId="4" fontId="103" fillId="37" borderId="34" xfId="0" applyNumberFormat="1" applyFont="1" applyFill="1" applyBorder="1" applyAlignment="1">
      <alignment horizontal="center" vertical="center" shrinkToFit="1"/>
    </xf>
    <xf numFmtId="4" fontId="106" fillId="0" borderId="35" xfId="0" applyNumberFormat="1" applyFont="1" applyFill="1" applyBorder="1" applyAlignment="1">
      <alignment horizontal="center" vertical="center" shrinkToFit="1"/>
    </xf>
    <xf numFmtId="0" fontId="83" fillId="0" borderId="10" xfId="0" applyFont="1" applyBorder="1" applyAlignment="1">
      <alignment horizontal="center" vertical="center"/>
    </xf>
    <xf numFmtId="2" fontId="83" fillId="0" borderId="10" xfId="0" applyNumberFormat="1" applyFont="1" applyBorder="1" applyAlignment="1">
      <alignment horizontal="center" vertical="center" wrapText="1"/>
    </xf>
    <xf numFmtId="4" fontId="106" fillId="38" borderId="10" xfId="0" applyNumberFormat="1" applyFont="1" applyFill="1" applyBorder="1" applyAlignment="1">
      <alignment horizontal="center" vertical="center" shrinkToFit="1"/>
    </xf>
    <xf numFmtId="4" fontId="106" fillId="0" borderId="10" xfId="0" applyNumberFormat="1" applyFont="1" applyFill="1" applyBorder="1" applyAlignment="1">
      <alignment horizontal="center" vertical="center" shrinkToFit="1"/>
    </xf>
    <xf numFmtId="4" fontId="103" fillId="37" borderId="10" xfId="0" applyNumberFormat="1" applyFont="1" applyFill="1" applyBorder="1" applyAlignment="1">
      <alignment horizontal="center" vertical="center" shrinkToFit="1"/>
    </xf>
    <xf numFmtId="0" fontId="83" fillId="8" borderId="16" xfId="0" applyFont="1" applyFill="1" applyBorder="1" applyAlignment="1">
      <alignment horizontal="center" vertical="center"/>
    </xf>
    <xf numFmtId="0" fontId="83" fillId="33" borderId="36" xfId="0" applyFont="1" applyFill="1" applyBorder="1" applyAlignment="1">
      <alignment horizontal="left" vertical="center" wrapText="1"/>
    </xf>
    <xf numFmtId="0" fontId="83" fillId="33" borderId="36" xfId="0" applyFont="1" applyFill="1" applyBorder="1" applyAlignment="1">
      <alignment horizontal="center" vertical="center" wrapText="1"/>
    </xf>
    <xf numFmtId="2" fontId="83" fillId="33" borderId="36" xfId="0" applyNumberFormat="1" applyFont="1" applyFill="1" applyBorder="1" applyAlignment="1">
      <alignment horizontal="center" vertical="center" wrapText="1"/>
    </xf>
    <xf numFmtId="0" fontId="83" fillId="33" borderId="37" xfId="0" applyFont="1" applyFill="1" applyBorder="1" applyAlignment="1">
      <alignment horizontal="center" vertical="center" wrapText="1"/>
    </xf>
    <xf numFmtId="1" fontId="103" fillId="0" borderId="30" xfId="0" applyNumberFormat="1" applyFont="1" applyFill="1" applyBorder="1" applyAlignment="1">
      <alignment horizontal="center" vertical="center" shrinkToFit="1"/>
    </xf>
    <xf numFmtId="0" fontId="105" fillId="0" borderId="25" xfId="0" applyFont="1" applyFill="1" applyBorder="1" applyAlignment="1">
      <alignment horizontal="left" vertical="center" wrapText="1"/>
    </xf>
    <xf numFmtId="0" fontId="83" fillId="0" borderId="25" xfId="0" applyFont="1" applyFill="1" applyBorder="1" applyAlignment="1">
      <alignment horizontal="center" vertical="center" wrapText="1"/>
    </xf>
    <xf numFmtId="0" fontId="83" fillId="8" borderId="17" xfId="0" applyFont="1" applyFill="1" applyBorder="1" applyAlignment="1">
      <alignment horizontal="center" vertical="center"/>
    </xf>
    <xf numFmtId="0" fontId="83" fillId="8" borderId="38" xfId="0" applyFont="1" applyFill="1" applyBorder="1" applyAlignment="1">
      <alignment horizontal="left" vertical="center" wrapText="1"/>
    </xf>
    <xf numFmtId="0" fontId="83" fillId="33" borderId="28" xfId="0" applyFont="1" applyFill="1" applyBorder="1" applyAlignment="1">
      <alignment horizontal="left" vertical="center" wrapText="1"/>
    </xf>
    <xf numFmtId="0" fontId="83" fillId="33" borderId="34" xfId="0" applyFont="1" applyFill="1" applyBorder="1" applyAlignment="1">
      <alignment horizontal="center" vertical="center" wrapText="1"/>
    </xf>
    <xf numFmtId="2" fontId="83" fillId="33" borderId="34" xfId="0" applyNumberFormat="1" applyFont="1" applyFill="1" applyBorder="1" applyAlignment="1">
      <alignment horizontal="center" vertical="center" wrapText="1"/>
    </xf>
    <xf numFmtId="0" fontId="83" fillId="33" borderId="35" xfId="0" applyFont="1" applyFill="1" applyBorder="1" applyAlignment="1">
      <alignment horizontal="center" vertical="center" wrapText="1"/>
    </xf>
    <xf numFmtId="1" fontId="103" fillId="0" borderId="39" xfId="0" applyNumberFormat="1" applyFont="1" applyFill="1" applyBorder="1" applyAlignment="1">
      <alignment horizontal="center" vertical="center" shrinkToFit="1"/>
    </xf>
    <xf numFmtId="0" fontId="105" fillId="0" borderId="40" xfId="0" applyFont="1" applyFill="1" applyBorder="1" applyAlignment="1">
      <alignment horizontal="left" vertical="center" wrapText="1"/>
    </xf>
    <xf numFmtId="0" fontId="83" fillId="0" borderId="40" xfId="0" applyFont="1" applyFill="1" applyBorder="1" applyAlignment="1">
      <alignment horizontal="center" vertical="center" wrapText="1"/>
    </xf>
    <xf numFmtId="4" fontId="103" fillId="0" borderId="40" xfId="0" applyNumberFormat="1" applyFont="1" applyFill="1" applyBorder="1" applyAlignment="1">
      <alignment horizontal="center" vertical="center" shrinkToFit="1"/>
    </xf>
    <xf numFmtId="4" fontId="106" fillId="0" borderId="40" xfId="0" applyNumberFormat="1" applyFont="1" applyFill="1" applyBorder="1" applyAlignment="1">
      <alignment horizontal="center" vertical="center" shrinkToFit="1"/>
    </xf>
    <xf numFmtId="4" fontId="105" fillId="0" borderId="40" xfId="0" applyNumberFormat="1" applyFont="1" applyFill="1" applyBorder="1" applyAlignment="1">
      <alignment horizontal="center" vertical="center" shrinkToFit="1"/>
    </xf>
    <xf numFmtId="4" fontId="103" fillId="37" borderId="40" xfId="0" applyNumberFormat="1" applyFont="1" applyFill="1" applyBorder="1" applyAlignment="1">
      <alignment horizontal="center" vertical="center" shrinkToFit="1"/>
    </xf>
    <xf numFmtId="4" fontId="103" fillId="37" borderId="40" xfId="0" applyNumberFormat="1" applyFont="1" applyFill="1" applyBorder="1" applyAlignment="1">
      <alignment horizontal="center" vertical="center" shrinkToFit="1"/>
    </xf>
    <xf numFmtId="4" fontId="106" fillId="0" borderId="41" xfId="0" applyNumberFormat="1" applyFont="1" applyFill="1" applyBorder="1" applyAlignment="1">
      <alignment horizontal="center" vertical="center" shrinkToFit="1"/>
    </xf>
    <xf numFmtId="0" fontId="105" fillId="0" borderId="0" xfId="0" applyFont="1" applyAlignment="1">
      <alignment/>
    </xf>
    <xf numFmtId="4" fontId="105" fillId="0" borderId="0" xfId="0" applyNumberFormat="1" applyFont="1" applyAlignment="1">
      <alignment/>
    </xf>
    <xf numFmtId="0" fontId="76" fillId="0" borderId="14" xfId="0" applyFont="1" applyBorder="1" applyAlignment="1">
      <alignment horizontal="left" vertical="center"/>
    </xf>
    <xf numFmtId="0" fontId="81" fillId="0" borderId="10" xfId="0" applyFont="1" applyFill="1" applyBorder="1" applyAlignment="1">
      <alignment horizontal="center" vertical="center" wrapText="1"/>
    </xf>
    <xf numFmtId="0" fontId="81" fillId="0" borderId="27" xfId="0" applyFont="1" applyFill="1" applyBorder="1" applyAlignment="1">
      <alignment horizontal="center" vertical="center" wrapText="1"/>
    </xf>
    <xf numFmtId="0" fontId="81" fillId="0" borderId="30" xfId="0" applyFont="1" applyFill="1" applyBorder="1" applyAlignment="1">
      <alignment horizontal="center" vertical="center" wrapText="1"/>
    </xf>
    <xf numFmtId="4" fontId="116" fillId="0" borderId="25" xfId="0" applyNumberFormat="1" applyFont="1" applyFill="1" applyBorder="1" applyAlignment="1">
      <alignment horizontal="center" vertical="center" shrinkToFit="1"/>
    </xf>
    <xf numFmtId="4" fontId="116" fillId="39" borderId="25" xfId="0" applyNumberFormat="1" applyFont="1" applyFill="1" applyBorder="1" applyAlignment="1">
      <alignment horizontal="center" vertical="center" shrinkToFit="1"/>
    </xf>
    <xf numFmtId="4" fontId="116" fillId="0" borderId="42" xfId="0" applyNumberFormat="1" applyFont="1" applyFill="1" applyBorder="1" applyAlignment="1">
      <alignment horizontal="center" vertical="center" shrinkToFit="1"/>
    </xf>
    <xf numFmtId="4" fontId="116" fillId="39" borderId="42" xfId="0" applyNumberFormat="1" applyFont="1" applyFill="1" applyBorder="1" applyAlignment="1">
      <alignment horizontal="center" vertical="center" shrinkToFit="1"/>
    </xf>
    <xf numFmtId="4" fontId="81" fillId="0" borderId="0" xfId="0" applyNumberFormat="1" applyFont="1" applyBorder="1" applyAlignment="1">
      <alignment/>
    </xf>
    <xf numFmtId="0" fontId="90" fillId="0" borderId="10" xfId="0" applyFont="1" applyFill="1" applyBorder="1" applyAlignment="1">
      <alignment horizontal="center" vertical="center"/>
    </xf>
    <xf numFmtId="0" fontId="76" fillId="11" borderId="15" xfId="0" applyFont="1" applyFill="1" applyBorder="1" applyAlignment="1">
      <alignment horizontal="center" vertical="center"/>
    </xf>
    <xf numFmtId="0" fontId="75" fillId="11" borderId="15" xfId="0" applyFont="1" applyFill="1" applyBorder="1" applyAlignment="1">
      <alignment horizontal="center" vertical="center"/>
    </xf>
    <xf numFmtId="0" fontId="85" fillId="0" borderId="10" xfId="0" applyFont="1" applyFill="1" applyBorder="1" applyAlignment="1">
      <alignment horizontal="center" vertical="center"/>
    </xf>
    <xf numFmtId="4" fontId="91" fillId="0" borderId="0" xfId="0" applyNumberFormat="1" applyFont="1" applyAlignment="1">
      <alignment/>
    </xf>
    <xf numFmtId="0" fontId="115" fillId="0" borderId="0" xfId="0" applyFont="1" applyAlignment="1">
      <alignment/>
    </xf>
    <xf numFmtId="0" fontId="114" fillId="0" borderId="0" xfId="0" applyFont="1" applyAlignment="1">
      <alignment/>
    </xf>
    <xf numFmtId="49" fontId="4" fillId="0" borderId="0" xfId="0" applyNumberFormat="1" applyFont="1" applyAlignment="1">
      <alignment/>
    </xf>
    <xf numFmtId="0" fontId="74" fillId="0" borderId="0" xfId="0" applyFont="1" applyAlignment="1">
      <alignment/>
    </xf>
    <xf numFmtId="0" fontId="108" fillId="0" borderId="16" xfId="0" applyFont="1" applyBorder="1" applyAlignment="1">
      <alignment horizontal="left"/>
    </xf>
    <xf numFmtId="0" fontId="108" fillId="0" borderId="16" xfId="0" applyFont="1" applyBorder="1" applyAlignment="1">
      <alignment/>
    </xf>
    <xf numFmtId="0" fontId="113" fillId="0" borderId="0" xfId="0" applyFont="1" applyAlignment="1">
      <alignment/>
    </xf>
    <xf numFmtId="0" fontId="111" fillId="0" borderId="0" xfId="0" applyFont="1" applyAlignment="1">
      <alignment/>
    </xf>
    <xf numFmtId="0" fontId="112" fillId="0" borderId="0" xfId="0" applyFont="1" applyAlignment="1">
      <alignment/>
    </xf>
    <xf numFmtId="0" fontId="108" fillId="0" borderId="10" xfId="0" applyFont="1" applyBorder="1" applyAlignment="1">
      <alignment horizontal="left"/>
    </xf>
    <xf numFmtId="0" fontId="108" fillId="0" borderId="10" xfId="0" applyFont="1" applyBorder="1" applyAlignment="1">
      <alignment/>
    </xf>
    <xf numFmtId="0" fontId="111" fillId="37" borderId="0" xfId="0" applyFont="1" applyFill="1" applyAlignment="1">
      <alignment horizontal="center" vertical="center"/>
    </xf>
    <xf numFmtId="0" fontId="74" fillId="37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left" vertical="center" wrapText="1"/>
    </xf>
    <xf numFmtId="0" fontId="74" fillId="0" borderId="0" xfId="0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12" fontId="108" fillId="0" borderId="10" xfId="0" applyNumberFormat="1" applyFont="1" applyBorder="1" applyAlignment="1">
      <alignment horizontal="left"/>
    </xf>
    <xf numFmtId="0" fontId="5" fillId="0" borderId="0" xfId="0" applyFont="1" applyAlignment="1">
      <alignment/>
    </xf>
    <xf numFmtId="191" fontId="6" fillId="0" borderId="0" xfId="0" applyNumberFormat="1" applyFont="1" applyAlignment="1">
      <alignment/>
    </xf>
    <xf numFmtId="191" fontId="6" fillId="0" borderId="0" xfId="0" applyNumberFormat="1" applyFont="1" applyAlignment="1">
      <alignment horizontal="left"/>
    </xf>
    <xf numFmtId="0" fontId="5" fillId="0" borderId="10" xfId="0" applyFont="1" applyBorder="1" applyAlignment="1">
      <alignment/>
    </xf>
    <xf numFmtId="0" fontId="5" fillId="0" borderId="10" xfId="0" applyFont="1" applyBorder="1" applyAlignment="1">
      <alignment horizontal="left"/>
    </xf>
    <xf numFmtId="0" fontId="110" fillId="0" borderId="0" xfId="0" applyFont="1" applyAlignment="1">
      <alignment/>
    </xf>
    <xf numFmtId="0" fontId="104" fillId="0" borderId="0" xfId="0" applyFont="1" applyAlignment="1">
      <alignment/>
    </xf>
    <xf numFmtId="0" fontId="5" fillId="0" borderId="10" xfId="0" applyFont="1" applyBorder="1" applyAlignment="1">
      <alignment horizontal="left" vertical="center"/>
    </xf>
    <xf numFmtId="0" fontId="108" fillId="0" borderId="0" xfId="0" applyFont="1" applyAlignment="1">
      <alignment/>
    </xf>
    <xf numFmtId="0" fontId="108" fillId="37" borderId="10" xfId="0" applyFont="1" applyFill="1" applyBorder="1" applyAlignment="1">
      <alignment horizontal="left"/>
    </xf>
    <xf numFmtId="12" fontId="108" fillId="37" borderId="10" xfId="0" applyNumberFormat="1" applyFont="1" applyFill="1" applyBorder="1" applyAlignment="1">
      <alignment horizontal="left"/>
    </xf>
    <xf numFmtId="0" fontId="108" fillId="37" borderId="10" xfId="0" applyFont="1" applyFill="1" applyBorder="1" applyAlignment="1">
      <alignment/>
    </xf>
    <xf numFmtId="0" fontId="5" fillId="37" borderId="10" xfId="0" applyFont="1" applyFill="1" applyBorder="1" applyAlignment="1">
      <alignment horizontal="left"/>
    </xf>
    <xf numFmtId="0" fontId="110" fillId="37" borderId="0" xfId="0" applyFont="1" applyFill="1" applyAlignment="1">
      <alignment/>
    </xf>
    <xf numFmtId="0" fontId="5" fillId="37" borderId="0" xfId="0" applyFont="1" applyFill="1" applyAlignment="1">
      <alignment/>
    </xf>
    <xf numFmtId="0" fontId="104" fillId="37" borderId="0" xfId="0" applyFont="1" applyFill="1" applyAlignment="1">
      <alignment/>
    </xf>
    <xf numFmtId="0" fontId="74" fillId="33" borderId="10" xfId="0" applyFont="1" applyFill="1" applyBorder="1" applyAlignment="1">
      <alignment horizontal="left"/>
    </xf>
    <xf numFmtId="0" fontId="74" fillId="33" borderId="10" xfId="0" applyFont="1" applyFill="1" applyBorder="1" applyAlignment="1">
      <alignment/>
    </xf>
    <xf numFmtId="191" fontId="109" fillId="40" borderId="0" xfId="0" applyNumberFormat="1" applyFont="1" applyFill="1" applyAlignment="1">
      <alignment/>
    </xf>
    <xf numFmtId="191" fontId="105" fillId="40" borderId="0" xfId="0" applyNumberFormat="1" applyFont="1" applyFill="1" applyAlignment="1">
      <alignment/>
    </xf>
    <xf numFmtId="191" fontId="0" fillId="0" borderId="0" xfId="0" applyNumberFormat="1" applyAlignment="1">
      <alignment/>
    </xf>
    <xf numFmtId="0" fontId="85" fillId="0" borderId="0" xfId="0" applyFont="1" applyAlignment="1">
      <alignment horizontal="left"/>
    </xf>
    <xf numFmtId="0" fontId="85" fillId="0" borderId="0" xfId="0" applyFont="1" applyAlignment="1">
      <alignment/>
    </xf>
    <xf numFmtId="0" fontId="108" fillId="0" borderId="0" xfId="0" applyFont="1" applyAlignment="1">
      <alignment horizontal="left"/>
    </xf>
    <xf numFmtId="0" fontId="0" fillId="0" borderId="0" xfId="0" applyAlignment="1">
      <alignment textRotation="90"/>
    </xf>
    <xf numFmtId="0" fontId="0" fillId="37" borderId="0" xfId="0" applyFill="1" applyAlignment="1">
      <alignment/>
    </xf>
    <xf numFmtId="0" fontId="107" fillId="0" borderId="0" xfId="0" applyFont="1" applyAlignment="1">
      <alignment/>
    </xf>
    <xf numFmtId="0" fontId="74" fillId="0" borderId="0" xfId="0" applyFont="1" applyAlignment="1">
      <alignment/>
    </xf>
    <xf numFmtId="49" fontId="0" fillId="0" borderId="0" xfId="0" applyNumberFormat="1" applyFont="1" applyAlignment="1">
      <alignment/>
    </xf>
    <xf numFmtId="14" fontId="0" fillId="0" borderId="0" xfId="0" applyNumberFormat="1" applyAlignment="1">
      <alignment/>
    </xf>
    <xf numFmtId="226" fontId="0" fillId="0" borderId="0" xfId="0" applyNumberFormat="1" applyAlignment="1">
      <alignment/>
    </xf>
    <xf numFmtId="0" fontId="87" fillId="0" borderId="0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/>
    </xf>
    <xf numFmtId="220" fontId="0" fillId="0" borderId="0" xfId="0" applyNumberFormat="1" applyAlignment="1">
      <alignment/>
    </xf>
    <xf numFmtId="198" fontId="106" fillId="0" borderId="25" xfId="0" applyNumberFormat="1" applyFont="1" applyBorder="1" applyAlignment="1">
      <alignment horizontal="center" vertical="center" shrinkToFit="1"/>
    </xf>
    <xf numFmtId="4" fontId="106" fillId="0" borderId="25" xfId="0" applyNumberFormat="1" applyFont="1" applyBorder="1" applyAlignment="1">
      <alignment horizontal="center" vertical="center" shrinkToFit="1"/>
    </xf>
    <xf numFmtId="4" fontId="106" fillId="0" borderId="34" xfId="0" applyNumberFormat="1" applyFont="1" applyBorder="1" applyAlignment="1">
      <alignment horizontal="center" vertical="center" shrinkToFit="1"/>
    </xf>
    <xf numFmtId="4" fontId="106" fillId="0" borderId="36" xfId="0" applyNumberFormat="1" applyFont="1" applyBorder="1" applyAlignment="1">
      <alignment horizontal="center" vertical="center" shrinkToFit="1"/>
    </xf>
    <xf numFmtId="4" fontId="106" fillId="0" borderId="10" xfId="0" applyNumberFormat="1" applyFont="1" applyBorder="1" applyAlignment="1">
      <alignment horizontal="center" vertical="center" shrinkToFit="1"/>
    </xf>
    <xf numFmtId="4" fontId="106" fillId="0" borderId="40" xfId="0" applyNumberFormat="1" applyFont="1" applyBorder="1" applyAlignment="1">
      <alignment horizontal="center" vertical="center" shrinkToFit="1"/>
    </xf>
    <xf numFmtId="198" fontId="91" fillId="0" borderId="0" xfId="0" applyNumberFormat="1" applyFont="1" applyAlignment="1">
      <alignment/>
    </xf>
    <xf numFmtId="4" fontId="0" fillId="0" borderId="0" xfId="0" applyNumberFormat="1" applyAlignment="1">
      <alignment/>
    </xf>
    <xf numFmtId="0" fontId="8" fillId="0" borderId="0" xfId="0" applyFont="1" applyAlignment="1">
      <alignment/>
    </xf>
    <xf numFmtId="0" fontId="83" fillId="0" borderId="17" xfId="0" applyFont="1" applyBorder="1" applyAlignment="1">
      <alignment horizontal="center" vertical="center" wrapText="1"/>
    </xf>
    <xf numFmtId="2" fontId="83" fillId="0" borderId="19" xfId="0" applyNumberFormat="1" applyFont="1" applyBorder="1" applyAlignment="1">
      <alignment horizontal="center" vertical="center" wrapText="1"/>
    </xf>
    <xf numFmtId="198" fontId="103" fillId="37" borderId="34" xfId="0" applyNumberFormat="1" applyFont="1" applyFill="1" applyBorder="1" applyAlignment="1">
      <alignment horizontal="center" vertical="center" shrinkToFit="1"/>
    </xf>
    <xf numFmtId="1" fontId="103" fillId="0" borderId="16" xfId="0" applyNumberFormat="1" applyFont="1" applyFill="1" applyBorder="1" applyAlignment="1">
      <alignment horizontal="center" vertical="center" shrinkToFit="1"/>
    </xf>
    <xf numFmtId="4" fontId="106" fillId="0" borderId="36" xfId="0" applyNumberFormat="1" applyFont="1" applyFill="1" applyBorder="1" applyAlignment="1">
      <alignment horizontal="center" vertical="center" shrinkToFit="1"/>
    </xf>
    <xf numFmtId="198" fontId="103" fillId="37" borderId="36" xfId="0" applyNumberFormat="1" applyFont="1" applyFill="1" applyBorder="1" applyAlignment="1">
      <alignment horizontal="center" vertical="center" shrinkToFit="1"/>
    </xf>
    <xf numFmtId="4" fontId="103" fillId="37" borderId="36" xfId="0" applyNumberFormat="1" applyFont="1" applyFill="1" applyBorder="1" applyAlignment="1">
      <alignment horizontal="center" vertical="center" shrinkToFit="1"/>
    </xf>
    <xf numFmtId="4" fontId="106" fillId="0" borderId="37" xfId="0" applyNumberFormat="1" applyFont="1" applyFill="1" applyBorder="1" applyAlignment="1">
      <alignment horizontal="center" vertical="center" shrinkToFit="1"/>
    </xf>
    <xf numFmtId="198" fontId="103" fillId="37" borderId="10" xfId="0" applyNumberFormat="1" applyFont="1" applyFill="1" applyBorder="1" applyAlignment="1">
      <alignment horizontal="center" vertical="center" shrinkToFit="1"/>
    </xf>
    <xf numFmtId="198" fontId="103" fillId="33" borderId="10" xfId="0" applyNumberFormat="1" applyFont="1" applyFill="1" applyBorder="1" applyAlignment="1">
      <alignment horizontal="center" vertical="center" shrinkToFit="1"/>
    </xf>
    <xf numFmtId="4" fontId="103" fillId="33" borderId="10" xfId="0" applyNumberFormat="1" applyFont="1" applyFill="1" applyBorder="1" applyAlignment="1">
      <alignment horizontal="center" vertical="center" shrinkToFit="1"/>
    </xf>
    <xf numFmtId="0" fontId="5" fillId="33" borderId="10" xfId="0" applyFont="1" applyFill="1" applyBorder="1" applyAlignment="1">
      <alignment/>
    </xf>
    <xf numFmtId="0" fontId="74" fillId="33" borderId="10" xfId="0" applyFont="1" applyFill="1" applyBorder="1" applyAlignment="1">
      <alignment horizontal="left" vertical="top" wrapText="1"/>
    </xf>
    <xf numFmtId="0" fontId="83" fillId="0" borderId="13" xfId="0" applyFont="1" applyBorder="1" applyAlignment="1">
      <alignment horizontal="left" vertical="center" wrapText="1"/>
    </xf>
    <xf numFmtId="0" fontId="105" fillId="0" borderId="10" xfId="0" applyFont="1" applyFill="1" applyBorder="1" applyAlignment="1">
      <alignment horizontal="left" vertical="center" wrapText="1"/>
    </xf>
    <xf numFmtId="0" fontId="83" fillId="0" borderId="10" xfId="0" applyFont="1" applyFill="1" applyBorder="1" applyAlignment="1">
      <alignment horizontal="center" vertical="center" wrapText="1"/>
    </xf>
    <xf numFmtId="2" fontId="83" fillId="0" borderId="10" xfId="0" applyNumberFormat="1" applyFont="1" applyFill="1" applyBorder="1" applyAlignment="1">
      <alignment horizontal="center" vertical="center" wrapText="1"/>
    </xf>
    <xf numFmtId="4" fontId="105" fillId="0" borderId="10" xfId="0" applyNumberFormat="1" applyFont="1" applyFill="1" applyBorder="1" applyAlignment="1">
      <alignment horizontal="center" vertical="center"/>
    </xf>
    <xf numFmtId="4" fontId="104" fillId="0" borderId="0" xfId="0" applyNumberFormat="1" applyFont="1" applyAlignment="1">
      <alignment/>
    </xf>
    <xf numFmtId="198" fontId="103" fillId="37" borderId="10" xfId="0" applyNumberFormat="1" applyFont="1" applyFill="1" applyBorder="1" applyAlignment="1">
      <alignment horizontal="center" vertical="center" shrinkToFit="1"/>
    </xf>
    <xf numFmtId="0" fontId="102" fillId="41" borderId="10" xfId="0" applyFont="1" applyFill="1" applyBorder="1" applyAlignment="1">
      <alignment horizontal="center" vertical="top" textRotation="90" wrapText="1"/>
    </xf>
    <xf numFmtId="0" fontId="78" fillId="41" borderId="10" xfId="0" applyFont="1" applyFill="1" applyBorder="1" applyAlignment="1">
      <alignment horizontal="center" vertical="top" textRotation="90" wrapText="1"/>
    </xf>
    <xf numFmtId="0" fontId="78" fillId="37" borderId="10" xfId="0" applyFont="1" applyFill="1" applyBorder="1" applyAlignment="1">
      <alignment horizontal="center" vertical="top" textRotation="90" wrapText="1"/>
    </xf>
    <xf numFmtId="0" fontId="100" fillId="0" borderId="10" xfId="0" applyFont="1" applyBorder="1" applyAlignment="1">
      <alignment horizontal="left" vertical="center"/>
    </xf>
    <xf numFmtId="0" fontId="101" fillId="0" borderId="13" xfId="0" applyFont="1" applyBorder="1" applyAlignment="1">
      <alignment horizontal="left" vertical="center"/>
    </xf>
    <xf numFmtId="0" fontId="101" fillId="42" borderId="10" xfId="0" applyFont="1" applyFill="1" applyBorder="1" applyAlignment="1">
      <alignment vertical="center"/>
    </xf>
    <xf numFmtId="0" fontId="100" fillId="35" borderId="15" xfId="0" applyFont="1" applyFill="1" applyBorder="1" applyAlignment="1">
      <alignment horizontal="left" vertical="center"/>
    </xf>
    <xf numFmtId="0" fontId="100" fillId="35" borderId="10" xfId="0" applyFont="1" applyFill="1" applyBorder="1" applyAlignment="1">
      <alignment horizontal="left" vertical="center"/>
    </xf>
    <xf numFmtId="0" fontId="101" fillId="0" borderId="10" xfId="0" applyFont="1" applyBorder="1" applyAlignment="1">
      <alignment horizontal="left" vertical="center" wrapText="1"/>
    </xf>
    <xf numFmtId="4" fontId="99" fillId="43" borderId="10" xfId="0" applyNumberFormat="1" applyFont="1" applyFill="1" applyBorder="1" applyAlignment="1">
      <alignment horizontal="center" vertical="center"/>
    </xf>
    <xf numFmtId="4" fontId="99" fillId="0" borderId="10" xfId="0" applyNumberFormat="1" applyFont="1" applyBorder="1" applyAlignment="1">
      <alignment horizontal="center" vertical="center"/>
    </xf>
    <xf numFmtId="1" fontId="99" fillId="0" borderId="10" xfId="0" applyNumberFormat="1" applyFont="1" applyBorder="1" applyAlignment="1">
      <alignment horizontal="center" vertical="center"/>
    </xf>
    <xf numFmtId="1" fontId="99" fillId="0" borderId="10" xfId="0" applyNumberFormat="1" applyFont="1" applyFill="1" applyBorder="1" applyAlignment="1">
      <alignment horizontal="center" vertical="center"/>
    </xf>
    <xf numFmtId="1" fontId="99" fillId="38" borderId="10" xfId="0" applyNumberFormat="1" applyFont="1" applyFill="1" applyBorder="1" applyAlignment="1">
      <alignment horizontal="center" vertical="center"/>
    </xf>
    <xf numFmtId="225" fontId="79" fillId="0" borderId="10" xfId="0" applyNumberFormat="1" applyFont="1" applyBorder="1" applyAlignment="1">
      <alignment horizontal="center" vertical="center" wrapText="1"/>
    </xf>
    <xf numFmtId="0" fontId="101" fillId="0" borderId="10" xfId="0" applyFont="1" applyBorder="1" applyAlignment="1">
      <alignment vertical="center" wrapText="1"/>
    </xf>
    <xf numFmtId="0" fontId="100" fillId="0" borderId="15" xfId="0" applyFont="1" applyBorder="1" applyAlignment="1">
      <alignment horizontal="left" vertical="center"/>
    </xf>
    <xf numFmtId="0" fontId="100" fillId="0" borderId="10" xfId="0" applyFont="1" applyBorder="1" applyAlignment="1">
      <alignment vertical="center"/>
    </xf>
    <xf numFmtId="0" fontId="101" fillId="0" borderId="10" xfId="0" applyFont="1" applyBorder="1" applyAlignment="1">
      <alignment vertical="center"/>
    </xf>
    <xf numFmtId="0" fontId="101" fillId="42" borderId="10" xfId="0" applyFont="1" applyFill="1" applyBorder="1" applyAlignment="1">
      <alignment vertical="center" wrapText="1"/>
    </xf>
    <xf numFmtId="4" fontId="99" fillId="35" borderId="10" xfId="0" applyNumberFormat="1" applyFont="1" applyFill="1" applyBorder="1" applyAlignment="1">
      <alignment horizontal="center" vertical="center"/>
    </xf>
    <xf numFmtId="0" fontId="100" fillId="0" borderId="16" xfId="0" applyFont="1" applyBorder="1" applyAlignment="1">
      <alignment vertical="center"/>
    </xf>
    <xf numFmtId="0" fontId="79" fillId="33" borderId="10" xfId="0" applyFont="1" applyFill="1" applyBorder="1" applyAlignment="1">
      <alignment vertical="center"/>
    </xf>
    <xf numFmtId="0" fontId="78" fillId="33" borderId="16" xfId="0" applyFont="1" applyFill="1" applyBorder="1" applyAlignment="1">
      <alignment vertical="center"/>
    </xf>
    <xf numFmtId="0" fontId="78" fillId="33" borderId="10" xfId="0" applyFont="1" applyFill="1" applyBorder="1" applyAlignment="1">
      <alignment vertical="center"/>
    </xf>
    <xf numFmtId="0" fontId="78" fillId="33" borderId="10" xfId="0" applyFont="1" applyFill="1" applyBorder="1" applyAlignment="1">
      <alignment horizontal="center" vertical="center"/>
    </xf>
    <xf numFmtId="4" fontId="78" fillId="33" borderId="10" xfId="0" applyNumberFormat="1" applyFont="1" applyFill="1" applyBorder="1" applyAlignment="1">
      <alignment horizontal="center" vertical="center"/>
    </xf>
    <xf numFmtId="4" fontId="100" fillId="37" borderId="10" xfId="0" applyNumberFormat="1" applyFont="1" applyFill="1" applyBorder="1" applyAlignment="1">
      <alignment horizontal="center" vertical="center"/>
    </xf>
    <xf numFmtId="4" fontId="99" fillId="0" borderId="10" xfId="0" applyNumberFormat="1" applyFont="1" applyFill="1" applyBorder="1" applyAlignment="1">
      <alignment horizontal="center" vertical="center"/>
    </xf>
    <xf numFmtId="0" fontId="91" fillId="0" borderId="10" xfId="0" applyFont="1" applyBorder="1" applyAlignment="1">
      <alignment/>
    </xf>
    <xf numFmtId="0" fontId="91" fillId="0" borderId="10" xfId="0" applyFont="1" applyBorder="1" applyAlignment="1">
      <alignment wrapText="1"/>
    </xf>
    <xf numFmtId="0" fontId="98" fillId="0" borderId="10" xfId="0" applyFont="1" applyFill="1" applyBorder="1" applyAlignment="1">
      <alignment/>
    </xf>
    <xf numFmtId="0" fontId="97" fillId="0" borderId="18" xfId="0" applyFont="1" applyBorder="1" applyAlignment="1">
      <alignment horizontal="center" vertical="center"/>
    </xf>
    <xf numFmtId="0" fontId="97" fillId="0" borderId="19" xfId="0" applyFont="1" applyBorder="1" applyAlignment="1">
      <alignment horizontal="center" vertical="center"/>
    </xf>
    <xf numFmtId="0" fontId="97" fillId="0" borderId="20" xfId="0" applyFont="1" applyBorder="1" applyAlignment="1">
      <alignment horizontal="center" vertical="center"/>
    </xf>
    <xf numFmtId="0" fontId="97" fillId="0" borderId="21" xfId="0" applyFont="1" applyBorder="1" applyAlignment="1">
      <alignment horizontal="center" vertical="center"/>
    </xf>
    <xf numFmtId="0" fontId="97" fillId="0" borderId="0" xfId="0" applyFont="1" applyBorder="1" applyAlignment="1">
      <alignment horizontal="center" vertical="center"/>
    </xf>
    <xf numFmtId="0" fontId="97" fillId="0" borderId="22" xfId="0" applyFont="1" applyBorder="1" applyAlignment="1">
      <alignment horizontal="center" vertical="center"/>
    </xf>
    <xf numFmtId="0" fontId="97" fillId="0" borderId="23" xfId="0" applyFont="1" applyBorder="1" applyAlignment="1">
      <alignment horizontal="center" vertical="center"/>
    </xf>
    <xf numFmtId="0" fontId="97" fillId="0" borderId="11" xfId="0" applyFont="1" applyBorder="1" applyAlignment="1">
      <alignment horizontal="center" vertical="center"/>
    </xf>
    <xf numFmtId="0" fontId="97" fillId="0" borderId="12" xfId="0" applyFont="1" applyBorder="1" applyAlignment="1">
      <alignment horizontal="center" vertical="center"/>
    </xf>
    <xf numFmtId="0" fontId="96" fillId="0" borderId="10" xfId="0" applyFont="1" applyBorder="1" applyAlignment="1">
      <alignment horizontal="left" indent="1"/>
    </xf>
    <xf numFmtId="0" fontId="96" fillId="0" borderId="17" xfId="0" applyFont="1" applyBorder="1" applyAlignment="1">
      <alignment horizontal="left" indent="1"/>
    </xf>
    <xf numFmtId="0" fontId="90" fillId="0" borderId="18" xfId="0" applyFont="1" applyBorder="1" applyAlignment="1">
      <alignment horizontal="left" vertical="center"/>
    </xf>
    <xf numFmtId="0" fontId="90" fillId="0" borderId="20" xfId="0" applyFont="1" applyBorder="1" applyAlignment="1">
      <alignment horizontal="left" vertical="center"/>
    </xf>
    <xf numFmtId="220" fontId="76" fillId="0" borderId="19" xfId="0" applyNumberFormat="1" applyFont="1" applyFill="1" applyBorder="1" applyAlignment="1">
      <alignment horizontal="left" vertical="center"/>
    </xf>
    <xf numFmtId="220" fontId="76" fillId="0" borderId="20" xfId="0" applyNumberFormat="1" applyFont="1" applyFill="1" applyBorder="1" applyAlignment="1">
      <alignment horizontal="left" vertical="center"/>
    </xf>
    <xf numFmtId="0" fontId="90" fillId="0" borderId="21" xfId="0" applyFont="1" applyBorder="1" applyAlignment="1">
      <alignment horizontal="left" vertical="center"/>
    </xf>
    <xf numFmtId="0" fontId="90" fillId="0" borderId="22" xfId="0" applyFont="1" applyBorder="1" applyAlignment="1">
      <alignment horizontal="left" vertical="center"/>
    </xf>
    <xf numFmtId="49" fontId="90" fillId="0" borderId="0" xfId="0" applyNumberFormat="1" applyFont="1" applyFill="1" applyBorder="1" applyAlignment="1">
      <alignment horizontal="left" vertical="center"/>
    </xf>
    <xf numFmtId="49" fontId="90" fillId="0" borderId="22" xfId="0" applyNumberFormat="1" applyFont="1" applyFill="1" applyBorder="1" applyAlignment="1">
      <alignment horizontal="left" vertical="center"/>
    </xf>
    <xf numFmtId="0" fontId="90" fillId="0" borderId="19" xfId="0" applyFont="1" applyBorder="1" applyAlignment="1">
      <alignment horizontal="left" vertical="center"/>
    </xf>
    <xf numFmtId="0" fontId="90" fillId="0" borderId="0" xfId="0" applyFont="1" applyBorder="1" applyAlignment="1">
      <alignment horizontal="left" vertical="center"/>
    </xf>
    <xf numFmtId="0" fontId="76" fillId="0" borderId="18" xfId="0" applyFont="1" applyFill="1" applyBorder="1" applyAlignment="1">
      <alignment horizontal="left" vertical="center"/>
    </xf>
    <xf numFmtId="0" fontId="76" fillId="0" borderId="19" xfId="0" applyFont="1" applyFill="1" applyBorder="1" applyAlignment="1">
      <alignment horizontal="left" vertical="center"/>
    </xf>
    <xf numFmtId="0" fontId="76" fillId="0" borderId="20" xfId="0" applyFont="1" applyFill="1" applyBorder="1" applyAlignment="1">
      <alignment horizontal="left" vertical="center"/>
    </xf>
    <xf numFmtId="0" fontId="90" fillId="0" borderId="21" xfId="0" applyFont="1" applyFill="1" applyBorder="1" applyAlignment="1">
      <alignment horizontal="left" vertical="center"/>
    </xf>
    <xf numFmtId="0" fontId="90" fillId="0" borderId="0" xfId="0" applyFont="1" applyFill="1" applyBorder="1" applyAlignment="1">
      <alignment horizontal="left" vertical="center"/>
    </xf>
    <xf numFmtId="0" fontId="90" fillId="0" borderId="22" xfId="0" applyFont="1" applyFill="1" applyBorder="1" applyAlignment="1">
      <alignment horizontal="left" vertical="center"/>
    </xf>
    <xf numFmtId="0" fontId="90" fillId="0" borderId="23" xfId="0" applyFont="1" applyBorder="1" applyAlignment="1">
      <alignment horizontal="left" vertical="center"/>
    </xf>
    <xf numFmtId="0" fontId="90" fillId="0" borderId="12" xfId="0" applyFont="1" applyBorder="1" applyAlignment="1">
      <alignment horizontal="left" vertical="center"/>
    </xf>
    <xf numFmtId="0" fontId="76" fillId="0" borderId="11" xfId="0" applyFont="1" applyFill="1" applyBorder="1" applyAlignment="1">
      <alignment horizontal="left" vertical="center"/>
    </xf>
    <xf numFmtId="0" fontId="76" fillId="0" borderId="12" xfId="0" applyFont="1" applyFill="1" applyBorder="1" applyAlignment="1">
      <alignment horizontal="left" vertical="center"/>
    </xf>
    <xf numFmtId="0" fontId="90" fillId="0" borderId="11" xfId="0" applyFont="1" applyBorder="1" applyAlignment="1">
      <alignment horizontal="left" vertical="center"/>
    </xf>
    <xf numFmtId="0" fontId="76" fillId="0" borderId="21" xfId="0" applyFont="1" applyFill="1" applyBorder="1" applyAlignment="1">
      <alignment horizontal="left" vertical="center"/>
    </xf>
    <xf numFmtId="0" fontId="76" fillId="0" borderId="0" xfId="0" applyFont="1" applyFill="1" applyBorder="1" applyAlignment="1">
      <alignment horizontal="left" vertical="center"/>
    </xf>
    <xf numFmtId="0" fontId="76" fillId="0" borderId="22" xfId="0" applyFont="1" applyFill="1" applyBorder="1" applyAlignment="1">
      <alignment horizontal="left" vertical="center"/>
    </xf>
    <xf numFmtId="0" fontId="90" fillId="0" borderId="23" xfId="0" applyFont="1" applyFill="1" applyBorder="1" applyAlignment="1">
      <alignment horizontal="left" vertical="center"/>
    </xf>
    <xf numFmtId="0" fontId="90" fillId="0" borderId="11" xfId="0" applyFont="1" applyFill="1" applyBorder="1" applyAlignment="1">
      <alignment horizontal="left" vertical="center"/>
    </xf>
    <xf numFmtId="0" fontId="90" fillId="0" borderId="12" xfId="0" applyFont="1" applyFill="1" applyBorder="1" applyAlignment="1">
      <alignment horizontal="left" vertical="center"/>
    </xf>
    <xf numFmtId="0" fontId="95" fillId="0" borderId="13" xfId="0" applyFont="1" applyBorder="1" applyAlignment="1">
      <alignment horizontal="left" vertical="center"/>
    </xf>
    <xf numFmtId="0" fontId="76" fillId="0" borderId="14" xfId="0" applyFont="1" applyBorder="1" applyAlignment="1">
      <alignment horizontal="left" vertical="center"/>
    </xf>
    <xf numFmtId="0" fontId="95" fillId="0" borderId="14" xfId="0" applyFont="1" applyBorder="1" applyAlignment="1">
      <alignment horizontal="left" vertical="center"/>
    </xf>
    <xf numFmtId="0" fontId="76" fillId="0" borderId="15" xfId="0" applyFont="1" applyBorder="1" applyAlignment="1">
      <alignment horizontal="left" vertical="center"/>
    </xf>
    <xf numFmtId="0" fontId="76" fillId="0" borderId="18" xfId="0" applyFont="1" applyBorder="1" applyAlignment="1">
      <alignment horizontal="left" vertical="center"/>
    </xf>
    <xf numFmtId="0" fontId="76" fillId="0" borderId="19" xfId="0" applyFont="1" applyBorder="1" applyAlignment="1">
      <alignment horizontal="left" vertical="center"/>
    </xf>
    <xf numFmtId="0" fontId="76" fillId="0" borderId="20" xfId="0" applyFont="1" applyBorder="1" applyAlignment="1">
      <alignment horizontal="left" vertical="center"/>
    </xf>
    <xf numFmtId="0" fontId="91" fillId="0" borderId="21" xfId="0" applyFont="1" applyBorder="1" applyAlignment="1">
      <alignment horizontal="left" vertical="center"/>
    </xf>
    <xf numFmtId="0" fontId="91" fillId="0" borderId="0" xfId="0" applyFont="1" applyBorder="1" applyAlignment="1">
      <alignment horizontal="left" vertical="center"/>
    </xf>
    <xf numFmtId="0" fontId="91" fillId="0" borderId="22" xfId="0" applyFont="1" applyBorder="1" applyAlignment="1">
      <alignment horizontal="left" vertical="center"/>
    </xf>
    <xf numFmtId="0" fontId="76" fillId="0" borderId="21" xfId="0" applyFont="1" applyBorder="1" applyAlignment="1">
      <alignment horizontal="left" vertical="center"/>
    </xf>
    <xf numFmtId="0" fontId="76" fillId="0" borderId="0" xfId="0" applyFont="1" applyBorder="1" applyAlignment="1">
      <alignment horizontal="left" vertical="center"/>
    </xf>
    <xf numFmtId="0" fontId="76" fillId="0" borderId="22" xfId="0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4" fillId="0" borderId="0" xfId="0" applyFont="1" applyBorder="1" applyAlignment="1">
      <alignment horizontal="left" vertical="center"/>
    </xf>
    <xf numFmtId="0" fontId="94" fillId="0" borderId="22" xfId="0" applyFont="1" applyBorder="1" applyAlignment="1">
      <alignment horizontal="left" vertical="center"/>
    </xf>
    <xf numFmtId="0" fontId="91" fillId="0" borderId="23" xfId="0" applyFont="1" applyBorder="1" applyAlignment="1" quotePrefix="1">
      <alignment horizontal="left" vertical="center"/>
    </xf>
    <xf numFmtId="0" fontId="91" fillId="0" borderId="11" xfId="0" applyFont="1" applyBorder="1" applyAlignment="1">
      <alignment horizontal="left" vertical="center"/>
    </xf>
    <xf numFmtId="0" fontId="91" fillId="0" borderId="12" xfId="0" applyFont="1" applyBorder="1" applyAlignment="1">
      <alignment horizontal="left" vertical="center"/>
    </xf>
    <xf numFmtId="49" fontId="91" fillId="0" borderId="23" xfId="0" applyNumberFormat="1" applyFont="1" applyBorder="1" applyAlignment="1">
      <alignment horizontal="left" vertical="center"/>
    </xf>
    <xf numFmtId="49" fontId="91" fillId="0" borderId="11" xfId="0" applyNumberFormat="1" applyFont="1" applyBorder="1" applyAlignment="1">
      <alignment horizontal="left" vertical="center"/>
    </xf>
    <xf numFmtId="49" fontId="91" fillId="0" borderId="12" xfId="0" applyNumberFormat="1" applyFont="1" applyBorder="1" applyAlignment="1">
      <alignment horizontal="left" vertical="center"/>
    </xf>
    <xf numFmtId="0" fontId="90" fillId="0" borderId="21" xfId="0" applyFont="1" applyFill="1" applyBorder="1" applyAlignment="1">
      <alignment horizontal="left" vertical="center" wrapText="1"/>
    </xf>
    <xf numFmtId="0" fontId="90" fillId="0" borderId="0" xfId="0" applyFont="1" applyFill="1" applyBorder="1" applyAlignment="1">
      <alignment horizontal="left" vertical="center" wrapText="1"/>
    </xf>
    <xf numFmtId="0" fontId="90" fillId="0" borderId="22" xfId="0" applyFont="1" applyFill="1" applyBorder="1" applyAlignment="1">
      <alignment horizontal="left" vertical="center" wrapText="1"/>
    </xf>
    <xf numFmtId="0" fontId="76" fillId="36" borderId="13" xfId="0" applyFont="1" applyFill="1" applyBorder="1" applyAlignment="1">
      <alignment horizontal="left" vertical="center" wrapText="1"/>
    </xf>
    <xf numFmtId="0" fontId="76" fillId="36" borderId="14" xfId="0" applyFont="1" applyFill="1" applyBorder="1" applyAlignment="1">
      <alignment horizontal="left" vertical="center" wrapText="1"/>
    </xf>
    <xf numFmtId="0" fontId="76" fillId="36" borderId="15" xfId="0" applyFont="1" applyFill="1" applyBorder="1" applyAlignment="1">
      <alignment horizontal="left" vertical="center" wrapText="1"/>
    </xf>
    <xf numFmtId="0" fontId="90" fillId="0" borderId="13" xfId="0" applyFont="1" applyFill="1" applyBorder="1" applyAlignment="1">
      <alignment horizontal="center" vertical="center" wrapText="1"/>
    </xf>
    <xf numFmtId="0" fontId="90" fillId="0" borderId="14" xfId="0" applyFont="1" applyFill="1" applyBorder="1" applyAlignment="1">
      <alignment horizontal="center" vertical="center" wrapText="1"/>
    </xf>
    <xf numFmtId="0" fontId="90" fillId="0" borderId="15" xfId="0" applyFont="1" applyFill="1" applyBorder="1" applyAlignment="1">
      <alignment horizontal="center" vertical="center" wrapText="1"/>
    </xf>
    <xf numFmtId="0" fontId="76" fillId="0" borderId="10" xfId="0" applyFont="1" applyBorder="1" applyAlignment="1">
      <alignment horizontal="left" vertical="center"/>
    </xf>
    <xf numFmtId="4" fontId="76" fillId="0" borderId="10" xfId="0" applyNumberFormat="1" applyFont="1" applyBorder="1" applyAlignment="1">
      <alignment horizontal="center" vertical="center"/>
    </xf>
    <xf numFmtId="0" fontId="76" fillId="0" borderId="13" xfId="0" applyFont="1" applyBorder="1" applyAlignment="1">
      <alignment horizontal="left" vertical="center"/>
    </xf>
    <xf numFmtId="4" fontId="76" fillId="0" borderId="13" xfId="0" applyNumberFormat="1" applyFont="1" applyBorder="1" applyAlignment="1">
      <alignment horizontal="center" vertical="center"/>
    </xf>
    <xf numFmtId="4" fontId="76" fillId="0" borderId="14" xfId="0" applyNumberFormat="1" applyFont="1" applyBorder="1" applyAlignment="1">
      <alignment horizontal="center" vertical="center"/>
    </xf>
    <xf numFmtId="4" fontId="76" fillId="0" borderId="15" xfId="0" applyNumberFormat="1" applyFont="1" applyBorder="1" applyAlignment="1">
      <alignment horizontal="center" vertical="center"/>
    </xf>
    <xf numFmtId="0" fontId="91" fillId="0" borderId="0" xfId="0" applyFont="1" applyBorder="1" applyAlignment="1">
      <alignment horizontal="center" vertical="center"/>
    </xf>
    <xf numFmtId="0" fontId="91" fillId="0" borderId="22" xfId="0" applyFont="1" applyBorder="1" applyAlignment="1">
      <alignment horizontal="center" vertical="center"/>
    </xf>
    <xf numFmtId="0" fontId="91" fillId="0" borderId="11" xfId="0" applyFont="1" applyBorder="1" applyAlignment="1">
      <alignment horizontal="center" vertical="center"/>
    </xf>
    <xf numFmtId="0" fontId="91" fillId="0" borderId="12" xfId="0" applyFont="1" applyBorder="1" applyAlignment="1">
      <alignment horizontal="center" vertical="center"/>
    </xf>
    <xf numFmtId="0" fontId="93" fillId="0" borderId="21" xfId="0" applyFont="1" applyBorder="1" applyAlignment="1">
      <alignment horizontal="center"/>
    </xf>
    <xf numFmtId="0" fontId="93" fillId="0" borderId="0" xfId="0" applyFont="1" applyBorder="1" applyAlignment="1">
      <alignment horizontal="center"/>
    </xf>
    <xf numFmtId="0" fontId="93" fillId="0" borderId="22" xfId="0" applyFont="1" applyBorder="1" applyAlignment="1">
      <alignment horizontal="center"/>
    </xf>
    <xf numFmtId="0" fontId="93" fillId="0" borderId="23" xfId="0" applyFont="1" applyBorder="1" applyAlignment="1">
      <alignment horizontal="center"/>
    </xf>
    <xf numFmtId="0" fontId="93" fillId="0" borderId="11" xfId="0" applyFont="1" applyBorder="1" applyAlignment="1">
      <alignment horizontal="center"/>
    </xf>
    <xf numFmtId="0" fontId="93" fillId="0" borderId="12" xfId="0" applyFont="1" applyBorder="1" applyAlignment="1">
      <alignment horizontal="center"/>
    </xf>
    <xf numFmtId="0" fontId="92" fillId="0" borderId="0" xfId="0" applyFont="1" applyFill="1" applyBorder="1" applyAlignment="1">
      <alignment horizontal="left" vertical="center"/>
    </xf>
    <xf numFmtId="2" fontId="87" fillId="0" borderId="0" xfId="0" applyNumberFormat="1" applyFont="1" applyBorder="1" applyAlignment="1">
      <alignment horizontal="center" vertical="center"/>
    </xf>
    <xf numFmtId="0" fontId="88" fillId="0" borderId="21" xfId="0" applyFont="1" applyFill="1" applyBorder="1" applyAlignment="1">
      <alignment horizontal="left" vertical="center" wrapText="1"/>
    </xf>
    <xf numFmtId="0" fontId="88" fillId="0" borderId="0" xfId="0" applyFont="1" applyFill="1" applyBorder="1" applyAlignment="1">
      <alignment horizontal="left" vertical="center" wrapText="1"/>
    </xf>
    <xf numFmtId="0" fontId="88" fillId="0" borderId="22" xfId="0" applyFont="1" applyFill="1" applyBorder="1" applyAlignment="1">
      <alignment horizontal="left" vertical="center" wrapText="1"/>
    </xf>
    <xf numFmtId="0" fontId="91" fillId="0" borderId="18" xfId="0" applyFont="1" applyBorder="1" applyAlignment="1">
      <alignment horizontal="left" vertical="center"/>
    </xf>
    <xf numFmtId="0" fontId="91" fillId="0" borderId="19" xfId="0" applyFont="1" applyBorder="1" applyAlignment="1">
      <alignment horizontal="left" vertical="center"/>
    </xf>
    <xf numFmtId="0" fontId="91" fillId="0" borderId="20" xfId="0" applyFont="1" applyBorder="1" applyAlignment="1">
      <alignment horizontal="left" vertical="center"/>
    </xf>
    <xf numFmtId="4" fontId="76" fillId="0" borderId="17" xfId="0" applyNumberFormat="1" applyFont="1" applyBorder="1" applyAlignment="1">
      <alignment horizontal="center" vertical="center"/>
    </xf>
    <xf numFmtId="0" fontId="76" fillId="0" borderId="13" xfId="0" applyFont="1" applyBorder="1" applyAlignment="1">
      <alignment horizontal="center" vertical="center" wrapText="1"/>
    </xf>
    <xf numFmtId="0" fontId="76" fillId="0" borderId="14" xfId="0" applyFont="1" applyBorder="1" applyAlignment="1">
      <alignment horizontal="center" vertical="center" wrapText="1"/>
    </xf>
    <xf numFmtId="0" fontId="76" fillId="0" borderId="15" xfId="0" applyFont="1" applyBorder="1" applyAlignment="1">
      <alignment horizontal="center" vertical="center" wrapText="1"/>
    </xf>
    <xf numFmtId="0" fontId="85" fillId="0" borderId="13" xfId="0" applyFont="1" applyFill="1" applyBorder="1" applyAlignment="1">
      <alignment horizontal="left" vertical="center" wrapText="1"/>
    </xf>
    <xf numFmtId="0" fontId="85" fillId="0" borderId="14" xfId="0" applyFont="1" applyFill="1" applyBorder="1" applyAlignment="1">
      <alignment horizontal="left" vertical="center" wrapText="1"/>
    </xf>
    <xf numFmtId="0" fontId="85" fillId="0" borderId="15" xfId="0" applyFont="1" applyFill="1" applyBorder="1" applyAlignment="1">
      <alignment horizontal="left" vertical="center" wrapText="1"/>
    </xf>
    <xf numFmtId="0" fontId="90" fillId="36" borderId="13" xfId="0" applyFont="1" applyFill="1" applyBorder="1" applyAlignment="1">
      <alignment horizontal="center" vertical="center" wrapText="1"/>
    </xf>
    <xf numFmtId="0" fontId="90" fillId="36" borderId="14" xfId="0" applyFont="1" applyFill="1" applyBorder="1" applyAlignment="1">
      <alignment horizontal="center" vertical="center" wrapText="1"/>
    </xf>
    <xf numFmtId="0" fontId="90" fillId="36" borderId="15" xfId="0" applyFont="1" applyFill="1" applyBorder="1" applyAlignment="1">
      <alignment horizontal="center" vertical="center" wrapText="1"/>
    </xf>
    <xf numFmtId="0" fontId="89" fillId="0" borderId="18" xfId="0" applyFont="1" applyFill="1" applyBorder="1" applyAlignment="1">
      <alignment horizontal="left" vertical="center" wrapText="1"/>
    </xf>
    <xf numFmtId="0" fontId="89" fillId="0" borderId="19" xfId="0" applyFont="1" applyFill="1" applyBorder="1" applyAlignment="1">
      <alignment horizontal="left" vertical="center" wrapText="1"/>
    </xf>
    <xf numFmtId="0" fontId="89" fillId="0" borderId="20" xfId="0" applyFont="1" applyFill="1" applyBorder="1" applyAlignment="1">
      <alignment horizontal="left" vertical="center" wrapText="1"/>
    </xf>
    <xf numFmtId="0" fontId="85" fillId="0" borderId="10" xfId="0" applyFont="1" applyBorder="1" applyAlignment="1">
      <alignment horizontal="left" vertical="center"/>
    </xf>
    <xf numFmtId="14" fontId="88" fillId="0" borderId="13" xfId="0" applyNumberFormat="1" applyFont="1" applyBorder="1" applyAlignment="1">
      <alignment horizontal="center" vertical="center"/>
    </xf>
    <xf numFmtId="0" fontId="88" fillId="0" borderId="14" xfId="0" applyFont="1" applyBorder="1" applyAlignment="1">
      <alignment horizontal="center" vertical="center"/>
    </xf>
    <xf numFmtId="0" fontId="88" fillId="0" borderId="15" xfId="0" applyFont="1" applyBorder="1" applyAlignment="1">
      <alignment horizontal="center" vertical="center"/>
    </xf>
    <xf numFmtId="0" fontId="88" fillId="0" borderId="13" xfId="0" applyFont="1" applyBorder="1" applyAlignment="1">
      <alignment horizontal="center" vertical="center"/>
    </xf>
    <xf numFmtId="0" fontId="87" fillId="0" borderId="13" xfId="0" applyFont="1" applyBorder="1" applyAlignment="1">
      <alignment horizontal="center" vertical="center"/>
    </xf>
    <xf numFmtId="0" fontId="87" fillId="0" borderId="14" xfId="0" applyFont="1" applyBorder="1" applyAlignment="1">
      <alignment horizontal="center" vertical="center"/>
    </xf>
    <xf numFmtId="0" fontId="87" fillId="0" borderId="15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1" fillId="0" borderId="10" xfId="0" applyFont="1" applyBorder="1" applyAlignment="1">
      <alignment horizontal="left" vertical="center"/>
    </xf>
    <xf numFmtId="0" fontId="75" fillId="8" borderId="13" xfId="0" applyFont="1" applyFill="1" applyBorder="1" applyAlignment="1">
      <alignment horizontal="left" vertical="center"/>
    </xf>
    <xf numFmtId="0" fontId="75" fillId="8" borderId="14" xfId="0" applyFont="1" applyFill="1" applyBorder="1" applyAlignment="1">
      <alignment horizontal="left" vertical="center"/>
    </xf>
    <xf numFmtId="0" fontId="75" fillId="8" borderId="15" xfId="0" applyFont="1" applyFill="1" applyBorder="1" applyAlignment="1">
      <alignment horizontal="left" vertical="center"/>
    </xf>
    <xf numFmtId="0" fontId="85" fillId="0" borderId="10" xfId="0" applyFont="1" applyBorder="1" applyAlignment="1">
      <alignment horizontal="left" vertical="center" wrapText="1"/>
    </xf>
    <xf numFmtId="0" fontId="84" fillId="0" borderId="13" xfId="0" applyFont="1" applyBorder="1" applyAlignment="1">
      <alignment horizontal="left" vertical="center"/>
    </xf>
    <xf numFmtId="0" fontId="84" fillId="0" borderId="14" xfId="0" applyFont="1" applyBorder="1" applyAlignment="1">
      <alignment horizontal="left" vertical="center"/>
    </xf>
    <xf numFmtId="0" fontId="84" fillId="0" borderId="15" xfId="0" applyFont="1" applyBorder="1" applyAlignment="1">
      <alignment horizontal="left" vertical="center"/>
    </xf>
    <xf numFmtId="0" fontId="75" fillId="8" borderId="13" xfId="0" applyFont="1" applyFill="1" applyBorder="1" applyAlignment="1">
      <alignment horizontal="right" vertical="center" wrapText="1"/>
    </xf>
    <xf numFmtId="0" fontId="75" fillId="8" borderId="15" xfId="0" applyFont="1" applyFill="1" applyBorder="1" applyAlignment="1">
      <alignment horizontal="right" vertical="center" wrapText="1"/>
    </xf>
    <xf numFmtId="0" fontId="75" fillId="8" borderId="13" xfId="0" applyFont="1" applyFill="1" applyBorder="1" applyAlignment="1">
      <alignment horizontal="right" vertical="center"/>
    </xf>
    <xf numFmtId="0" fontId="75" fillId="8" borderId="15" xfId="0" applyFont="1" applyFill="1" applyBorder="1" applyAlignment="1">
      <alignment horizontal="right" vertical="center"/>
    </xf>
    <xf numFmtId="0" fontId="75" fillId="0" borderId="10" xfId="0" applyFont="1" applyBorder="1" applyAlignment="1">
      <alignment horizontal="left" vertical="center"/>
    </xf>
    <xf numFmtId="0" fontId="81" fillId="0" borderId="10" xfId="0" applyFont="1" applyFill="1" applyBorder="1" applyAlignment="1">
      <alignment horizontal="left" vertical="center"/>
    </xf>
    <xf numFmtId="0" fontId="85" fillId="0" borderId="13" xfId="0" applyFont="1" applyBorder="1" applyAlignment="1">
      <alignment horizontal="left" vertical="center"/>
    </xf>
    <xf numFmtId="0" fontId="85" fillId="0" borderId="14" xfId="0" applyFont="1" applyBorder="1" applyAlignment="1">
      <alignment horizontal="left" vertical="center"/>
    </xf>
    <xf numFmtId="0" fontId="85" fillId="0" borderId="15" xfId="0" applyFont="1" applyBorder="1" applyAlignment="1">
      <alignment horizontal="left" vertical="center"/>
    </xf>
    <xf numFmtId="4" fontId="85" fillId="0" borderId="13" xfId="28" applyNumberFormat="1" applyFont="1" applyBorder="1" applyAlignment="1">
      <alignment horizontal="right"/>
    </xf>
    <xf numFmtId="4" fontId="85" fillId="0" borderId="15" xfId="28" applyNumberFormat="1" applyFont="1" applyBorder="1" applyAlignment="1">
      <alignment horizontal="right"/>
    </xf>
    <xf numFmtId="4" fontId="84" fillId="0" borderId="13" xfId="28" applyNumberFormat="1" applyFont="1" applyFill="1" applyBorder="1" applyAlignment="1">
      <alignment horizontal="right"/>
    </xf>
    <xf numFmtId="4" fontId="84" fillId="0" borderId="15" xfId="28" applyNumberFormat="1" applyFont="1" applyFill="1" applyBorder="1" applyAlignment="1">
      <alignment horizontal="right"/>
    </xf>
    <xf numFmtId="4" fontId="85" fillId="0" borderId="10" xfId="28" applyNumberFormat="1" applyFont="1" applyBorder="1" applyAlignment="1">
      <alignment horizontal="right"/>
    </xf>
    <xf numFmtId="0" fontId="85" fillId="0" borderId="13" xfId="0" applyFont="1" applyBorder="1" applyAlignment="1">
      <alignment horizontal="left" vertical="center" wrapText="1"/>
    </xf>
    <xf numFmtId="0" fontId="85" fillId="0" borderId="14" xfId="0" applyFont="1" applyBorder="1" applyAlignment="1">
      <alignment horizontal="left" vertical="center" wrapText="1"/>
    </xf>
    <xf numFmtId="0" fontId="85" fillId="0" borderId="15" xfId="0" applyFont="1" applyBorder="1" applyAlignment="1">
      <alignment horizontal="left" vertical="center" wrapText="1"/>
    </xf>
    <xf numFmtId="4" fontId="84" fillId="0" borderId="13" xfId="28" applyNumberFormat="1" applyFont="1" applyBorder="1" applyAlignment="1">
      <alignment horizontal="right"/>
    </xf>
    <xf numFmtId="4" fontId="84" fillId="0" borderId="15" xfId="28" applyNumberFormat="1" applyFont="1" applyBorder="1" applyAlignment="1">
      <alignment horizontal="right"/>
    </xf>
    <xf numFmtId="4" fontId="85" fillId="0" borderId="13" xfId="28" applyNumberFormat="1" applyFont="1" applyFill="1" applyBorder="1" applyAlignment="1">
      <alignment horizontal="right"/>
    </xf>
    <xf numFmtId="4" fontId="85" fillId="0" borderId="15" xfId="28" applyNumberFormat="1" applyFont="1" applyFill="1" applyBorder="1" applyAlignment="1">
      <alignment horizontal="right"/>
    </xf>
    <xf numFmtId="0" fontId="87" fillId="8" borderId="18" xfId="0" applyFont="1" applyFill="1" applyBorder="1" applyAlignment="1">
      <alignment horizontal="center" vertical="center" wrapText="1"/>
    </xf>
    <xf numFmtId="0" fontId="87" fillId="8" borderId="19" xfId="0" applyFont="1" applyFill="1" applyBorder="1" applyAlignment="1">
      <alignment horizontal="center" vertical="center" wrapText="1"/>
    </xf>
    <xf numFmtId="0" fontId="87" fillId="8" borderId="20" xfId="0" applyFont="1" applyFill="1" applyBorder="1" applyAlignment="1">
      <alignment horizontal="center" vertical="center" wrapText="1"/>
    </xf>
    <xf numFmtId="0" fontId="86" fillId="0" borderId="0" xfId="0" applyFont="1" applyBorder="1" applyAlignment="1">
      <alignment horizontal="left" vertical="center" wrapText="1"/>
    </xf>
    <xf numFmtId="0" fontId="86" fillId="0" borderId="22" xfId="0" applyFont="1" applyBorder="1" applyAlignment="1">
      <alignment horizontal="left" vertical="center" wrapText="1"/>
    </xf>
    <xf numFmtId="0" fontId="86" fillId="0" borderId="0" xfId="0" applyFont="1" applyBorder="1" applyAlignment="1">
      <alignment horizontal="left" vertical="center"/>
    </xf>
    <xf numFmtId="0" fontId="86" fillId="0" borderId="22" xfId="0" applyFont="1" applyBorder="1" applyAlignment="1">
      <alignment horizontal="left" vertical="center"/>
    </xf>
    <xf numFmtId="4" fontId="85" fillId="0" borderId="13" xfId="0" applyNumberFormat="1" applyFont="1" applyBorder="1" applyAlignment="1">
      <alignment horizontal="right"/>
    </xf>
    <xf numFmtId="4" fontId="85" fillId="0" borderId="15" xfId="0" applyNumberFormat="1" applyFont="1" applyBorder="1" applyAlignment="1">
      <alignment horizontal="right"/>
    </xf>
    <xf numFmtId="4" fontId="84" fillId="0" borderId="13" xfId="0" applyNumberFormat="1" applyFont="1" applyBorder="1" applyAlignment="1">
      <alignment horizontal="right"/>
    </xf>
    <xf numFmtId="4" fontId="84" fillId="0" borderId="15" xfId="0" applyNumberFormat="1" applyFont="1" applyBorder="1" applyAlignment="1">
      <alignment horizontal="right"/>
    </xf>
    <xf numFmtId="0" fontId="81" fillId="0" borderId="43" xfId="0" applyFont="1" applyFill="1" applyBorder="1" applyAlignment="1">
      <alignment horizontal="center" vertical="center" wrapText="1"/>
    </xf>
    <xf numFmtId="0" fontId="81" fillId="0" borderId="44" xfId="0" applyFont="1" applyFill="1" applyBorder="1" applyAlignment="1">
      <alignment horizontal="center" vertical="center" wrapText="1"/>
    </xf>
    <xf numFmtId="0" fontId="80" fillId="0" borderId="45" xfId="0" applyFont="1" applyFill="1" applyBorder="1" applyAlignment="1">
      <alignment horizontal="center" vertical="center" wrapText="1"/>
    </xf>
    <xf numFmtId="0" fontId="80" fillId="0" borderId="46" xfId="0" applyFont="1" applyFill="1" applyBorder="1" applyAlignment="1">
      <alignment horizontal="center" vertical="center" wrapText="1"/>
    </xf>
    <xf numFmtId="0" fontId="80" fillId="0" borderId="47" xfId="0" applyFont="1" applyFill="1" applyBorder="1" applyAlignment="1">
      <alignment horizontal="center" vertical="center" wrapText="1"/>
    </xf>
    <xf numFmtId="0" fontId="81" fillId="0" borderId="45" xfId="0" applyFont="1" applyFill="1" applyBorder="1" applyAlignment="1">
      <alignment horizontal="center" vertical="center" wrapText="1"/>
    </xf>
    <xf numFmtId="0" fontId="81" fillId="0" borderId="48" xfId="0" applyFont="1" applyFill="1" applyBorder="1" applyAlignment="1">
      <alignment horizontal="center" vertical="center" wrapText="1"/>
    </xf>
    <xf numFmtId="0" fontId="83" fillId="8" borderId="49" xfId="0" applyFont="1" applyFill="1" applyBorder="1" applyAlignment="1">
      <alignment horizontal="center" vertical="center" wrapText="1"/>
    </xf>
    <xf numFmtId="0" fontId="83" fillId="8" borderId="31" xfId="0" applyFont="1" applyFill="1" applyBorder="1" applyAlignment="1">
      <alignment horizontal="center" vertical="center" wrapText="1"/>
    </xf>
    <xf numFmtId="0" fontId="83" fillId="8" borderId="27" xfId="0" applyFont="1" applyFill="1" applyBorder="1" applyAlignment="1">
      <alignment horizontal="center" vertical="center" wrapText="1"/>
    </xf>
    <xf numFmtId="0" fontId="83" fillId="8" borderId="50" xfId="0" applyFont="1" applyFill="1" applyBorder="1" applyAlignment="1">
      <alignment horizontal="center" vertical="center" wrapText="1"/>
    </xf>
    <xf numFmtId="0" fontId="83" fillId="8" borderId="38" xfId="0" applyFont="1" applyFill="1" applyBorder="1" applyAlignment="1">
      <alignment horizontal="center" vertical="center" wrapText="1"/>
    </xf>
    <xf numFmtId="0" fontId="83" fillId="8" borderId="28" xfId="0" applyFont="1" applyFill="1" applyBorder="1" applyAlignment="1">
      <alignment horizontal="center" vertical="center" wrapText="1"/>
    </xf>
    <xf numFmtId="0" fontId="83" fillId="8" borderId="36" xfId="0" applyFont="1" applyFill="1" applyBorder="1" applyAlignment="1">
      <alignment horizontal="center" vertical="center" wrapText="1"/>
    </xf>
    <xf numFmtId="0" fontId="81" fillId="0" borderId="23" xfId="0" applyFont="1" applyFill="1" applyBorder="1" applyAlignment="1">
      <alignment horizontal="left" vertical="center" wrapText="1"/>
    </xf>
    <xf numFmtId="0" fontId="81" fillId="0" borderId="11" xfId="0" applyFont="1" applyFill="1" applyBorder="1" applyAlignment="1">
      <alignment horizontal="left" vertical="center" wrapText="1"/>
    </xf>
    <xf numFmtId="0" fontId="81" fillId="0" borderId="12" xfId="0" applyFont="1" applyFill="1" applyBorder="1" applyAlignment="1">
      <alignment horizontal="left" vertical="center" wrapText="1"/>
    </xf>
    <xf numFmtId="0" fontId="80" fillId="0" borderId="33" xfId="0" applyFont="1" applyFill="1" applyBorder="1" applyAlignment="1">
      <alignment horizontal="center" vertical="center" wrapText="1"/>
    </xf>
    <xf numFmtId="0" fontId="80" fillId="0" borderId="38" xfId="0" applyFont="1" applyFill="1" applyBorder="1" applyAlignment="1">
      <alignment horizontal="center" vertical="center" wrapText="1"/>
    </xf>
    <xf numFmtId="0" fontId="80" fillId="0" borderId="51" xfId="0" applyFont="1" applyFill="1" applyBorder="1" applyAlignment="1">
      <alignment horizontal="center" vertical="center" wrapText="1"/>
    </xf>
    <xf numFmtId="0" fontId="80" fillId="0" borderId="43" xfId="0" applyFont="1" applyFill="1" applyBorder="1" applyAlignment="1">
      <alignment horizontal="center" vertical="center" wrapText="1"/>
    </xf>
    <xf numFmtId="0" fontId="80" fillId="0" borderId="29" xfId="0" applyFont="1" applyFill="1" applyBorder="1" applyAlignment="1">
      <alignment horizontal="center" vertical="center" wrapText="1"/>
    </xf>
    <xf numFmtId="0" fontId="80" fillId="0" borderId="30" xfId="0" applyFont="1" applyFill="1" applyBorder="1" applyAlignment="1">
      <alignment horizontal="center" vertical="center" wrapText="1"/>
    </xf>
    <xf numFmtId="0" fontId="80" fillId="39" borderId="52" xfId="0" applyFont="1" applyFill="1" applyBorder="1" applyAlignment="1">
      <alignment horizontal="center" vertical="center" wrapText="1"/>
    </xf>
    <xf numFmtId="0" fontId="80" fillId="39" borderId="32" xfId="0" applyFont="1" applyFill="1" applyBorder="1" applyAlignment="1">
      <alignment horizontal="center" vertical="center" wrapText="1"/>
    </xf>
    <xf numFmtId="0" fontId="80" fillId="39" borderId="33" xfId="0" applyFont="1" applyFill="1" applyBorder="1" applyAlignment="1">
      <alignment horizontal="center" vertical="center" wrapText="1"/>
    </xf>
    <xf numFmtId="0" fontId="80" fillId="39" borderId="53" xfId="0" applyFont="1" applyFill="1" applyBorder="1" applyAlignment="1">
      <alignment horizontal="center" vertical="center" wrapText="1"/>
    </xf>
    <xf numFmtId="0" fontId="80" fillId="39" borderId="0" xfId="0" applyFont="1" applyFill="1" applyBorder="1" applyAlignment="1">
      <alignment horizontal="center" vertical="center" wrapText="1"/>
    </xf>
    <xf numFmtId="0" fontId="80" fillId="39" borderId="38" xfId="0" applyFont="1" applyFill="1" applyBorder="1" applyAlignment="1">
      <alignment horizontal="center" vertical="center" wrapText="1"/>
    </xf>
    <xf numFmtId="0" fontId="80" fillId="39" borderId="54" xfId="0" applyFont="1" applyFill="1" applyBorder="1" applyAlignment="1">
      <alignment horizontal="center" vertical="center" wrapText="1"/>
    </xf>
    <xf numFmtId="0" fontId="80" fillId="39" borderId="11" xfId="0" applyFont="1" applyFill="1" applyBorder="1" applyAlignment="1">
      <alignment horizontal="center" vertical="center" wrapText="1"/>
    </xf>
    <xf numFmtId="0" fontId="80" fillId="39" borderId="51" xfId="0" applyFont="1" applyFill="1" applyBorder="1" applyAlignment="1">
      <alignment horizontal="center" vertical="center" wrapText="1"/>
    </xf>
    <xf numFmtId="0" fontId="83" fillId="8" borderId="24" xfId="0" applyFont="1" applyFill="1" applyBorder="1" applyAlignment="1">
      <alignment horizontal="center" vertical="center" wrapText="1"/>
    </xf>
    <xf numFmtId="0" fontId="83" fillId="8" borderId="16" xfId="0" applyFont="1" applyFill="1" applyBorder="1" applyAlignment="1">
      <alignment horizontal="center" vertical="center" wrapText="1"/>
    </xf>
    <xf numFmtId="0" fontId="81" fillId="0" borderId="17" xfId="0" applyFont="1" applyBorder="1" applyAlignment="1">
      <alignment horizontal="center" vertical="center"/>
    </xf>
    <xf numFmtId="0" fontId="81" fillId="0" borderId="24" xfId="0" applyFont="1" applyBorder="1" applyAlignment="1">
      <alignment horizontal="center" vertical="center"/>
    </xf>
    <xf numFmtId="0" fontId="81" fillId="0" borderId="16" xfId="0" applyFont="1" applyBorder="1" applyAlignment="1">
      <alignment horizontal="center" vertical="center"/>
    </xf>
    <xf numFmtId="220" fontId="82" fillId="0" borderId="49" xfId="0" applyNumberFormat="1" applyFont="1" applyFill="1" applyBorder="1" applyAlignment="1">
      <alignment horizontal="left" vertical="center" shrinkToFit="1"/>
    </xf>
    <xf numFmtId="220" fontId="82" fillId="0" borderId="31" xfId="0" applyNumberFormat="1" applyFont="1" applyFill="1" applyBorder="1" applyAlignment="1">
      <alignment horizontal="left" vertical="center" shrinkToFit="1"/>
    </xf>
    <xf numFmtId="220" fontId="82" fillId="0" borderId="50" xfId="0" applyNumberFormat="1" applyFont="1" applyFill="1" applyBorder="1" applyAlignment="1">
      <alignment horizontal="left" vertical="center" shrinkToFit="1"/>
    </xf>
    <xf numFmtId="0" fontId="81" fillId="0" borderId="43" xfId="0" applyFont="1" applyFill="1" applyBorder="1" applyAlignment="1">
      <alignment horizontal="left" vertical="center" wrapText="1"/>
    </xf>
    <xf numFmtId="0" fontId="81" fillId="0" borderId="29" xfId="0" applyFont="1" applyFill="1" applyBorder="1" applyAlignment="1">
      <alignment horizontal="left" vertical="center" wrapText="1"/>
    </xf>
    <xf numFmtId="0" fontId="81" fillId="0" borderId="44" xfId="0" applyFont="1" applyFill="1" applyBorder="1" applyAlignment="1">
      <alignment horizontal="left" vertical="center" wrapText="1"/>
    </xf>
    <xf numFmtId="218" fontId="82" fillId="0" borderId="43" xfId="0" applyNumberFormat="1" applyFont="1" applyFill="1" applyBorder="1" applyAlignment="1">
      <alignment horizontal="left" vertical="center" shrinkToFit="1"/>
    </xf>
    <xf numFmtId="218" fontId="82" fillId="0" borderId="29" xfId="0" applyNumberFormat="1" applyFont="1" applyFill="1" applyBorder="1" applyAlignment="1">
      <alignment horizontal="left" vertical="center" shrinkToFit="1"/>
    </xf>
    <xf numFmtId="218" fontId="82" fillId="0" borderId="44" xfId="0" applyNumberFormat="1" applyFont="1" applyFill="1" applyBorder="1" applyAlignment="1">
      <alignment horizontal="left" vertical="center" shrinkToFit="1"/>
    </xf>
    <xf numFmtId="1" fontId="82" fillId="0" borderId="43" xfId="0" applyNumberFormat="1" applyFont="1" applyFill="1" applyBorder="1" applyAlignment="1">
      <alignment horizontal="left" vertical="center" shrinkToFit="1"/>
    </xf>
    <xf numFmtId="1" fontId="82" fillId="0" borderId="29" xfId="0" applyNumberFormat="1" applyFont="1" applyFill="1" applyBorder="1" applyAlignment="1">
      <alignment horizontal="left" vertical="center" shrinkToFit="1"/>
    </xf>
    <xf numFmtId="1" fontId="82" fillId="0" borderId="44" xfId="0" applyNumberFormat="1" applyFont="1" applyFill="1" applyBorder="1" applyAlignment="1">
      <alignment horizontal="left" vertical="center" shrinkToFit="1"/>
    </xf>
    <xf numFmtId="0" fontId="81" fillId="0" borderId="10" xfId="0" applyFont="1" applyFill="1" applyBorder="1" applyAlignment="1">
      <alignment horizontal="left" vertical="center" wrapText="1"/>
    </xf>
    <xf numFmtId="0" fontId="80" fillId="33" borderId="10" xfId="0" applyFont="1" applyFill="1" applyBorder="1" applyAlignment="1">
      <alignment horizontal="center"/>
    </xf>
    <xf numFmtId="0" fontId="77" fillId="0" borderId="13" xfId="0" applyFont="1" applyFill="1" applyBorder="1" applyAlignment="1">
      <alignment horizontal="center" vertical="top" wrapText="1"/>
    </xf>
    <xf numFmtId="0" fontId="77" fillId="0" borderId="14" xfId="0" applyFont="1" applyFill="1" applyBorder="1" applyAlignment="1">
      <alignment horizontal="center" vertical="top" wrapText="1"/>
    </xf>
    <xf numFmtId="0" fontId="77" fillId="0" borderId="15" xfId="0" applyFont="1" applyFill="1" applyBorder="1" applyAlignment="1">
      <alignment horizontal="center" vertical="top" wrapText="1"/>
    </xf>
    <xf numFmtId="0" fontId="78" fillId="41" borderId="13" xfId="0" applyFont="1" applyFill="1" applyBorder="1" applyAlignment="1">
      <alignment horizontal="center" vertical="center" wrapText="1"/>
    </xf>
    <xf numFmtId="0" fontId="78" fillId="41" borderId="14" xfId="0" applyFont="1" applyFill="1" applyBorder="1" applyAlignment="1">
      <alignment horizontal="center" vertical="center" wrapText="1"/>
    </xf>
    <xf numFmtId="0" fontId="78" fillId="41" borderId="15" xfId="0" applyFont="1" applyFill="1" applyBorder="1" applyAlignment="1">
      <alignment horizontal="center" vertical="center" wrapText="1"/>
    </xf>
    <xf numFmtId="0" fontId="78" fillId="41" borderId="17" xfId="0" applyFont="1" applyFill="1" applyBorder="1" applyAlignment="1">
      <alignment horizontal="center" vertical="center" wrapText="1"/>
    </xf>
    <xf numFmtId="0" fontId="78" fillId="41" borderId="16" xfId="0" applyFont="1" applyFill="1" applyBorder="1" applyAlignment="1">
      <alignment horizontal="center" vertical="center" wrapText="1"/>
    </xf>
    <xf numFmtId="0" fontId="78" fillId="41" borderId="17" xfId="0" applyFont="1" applyFill="1" applyBorder="1" applyAlignment="1">
      <alignment horizontal="center" vertical="top" textRotation="90" wrapText="1"/>
    </xf>
    <xf numFmtId="0" fontId="78" fillId="41" borderId="16" xfId="0" applyFont="1" applyFill="1" applyBorder="1" applyAlignment="1">
      <alignment horizontal="center" vertical="top" textRotation="90" wrapText="1"/>
    </xf>
    <xf numFmtId="0" fontId="78" fillId="41" borderId="10" xfId="0" applyFont="1" applyFill="1" applyBorder="1" applyAlignment="1">
      <alignment horizontal="left"/>
    </xf>
    <xf numFmtId="0" fontId="78" fillId="41" borderId="13" xfId="0" applyFont="1" applyFill="1" applyBorder="1" applyAlignment="1">
      <alignment horizontal="left" vertical="center" wrapText="1"/>
    </xf>
    <xf numFmtId="0" fontId="78" fillId="41" borderId="14" xfId="0" applyFont="1" applyFill="1" applyBorder="1" applyAlignment="1">
      <alignment horizontal="left" vertical="center" wrapText="1"/>
    </xf>
    <xf numFmtId="0" fontId="78" fillId="41" borderId="15" xfId="0" applyFont="1" applyFill="1" applyBorder="1" applyAlignment="1">
      <alignment horizontal="left" vertical="center" wrapText="1"/>
    </xf>
    <xf numFmtId="0" fontId="78" fillId="41" borderId="13" xfId="0" applyFont="1" applyFill="1" applyBorder="1" applyAlignment="1">
      <alignment horizontal="left"/>
    </xf>
    <xf numFmtId="0" fontId="78" fillId="41" borderId="14" xfId="0" applyFont="1" applyFill="1" applyBorder="1" applyAlignment="1">
      <alignment horizontal="left"/>
    </xf>
    <xf numFmtId="0" fontId="78" fillId="41" borderId="15" xfId="0" applyFont="1" applyFill="1" applyBorder="1" applyAlignment="1">
      <alignment horizontal="left"/>
    </xf>
    <xf numFmtId="0" fontId="78" fillId="41" borderId="13" xfId="0" applyFont="1" applyFill="1" applyBorder="1" applyAlignment="1">
      <alignment horizontal="left" wrapText="1"/>
    </xf>
    <xf numFmtId="0" fontId="78" fillId="41" borderId="14" xfId="0" applyFont="1" applyFill="1" applyBorder="1" applyAlignment="1">
      <alignment horizontal="left" wrapText="1"/>
    </xf>
    <xf numFmtId="0" fontId="78" fillId="41" borderId="15" xfId="0" applyFont="1" applyFill="1" applyBorder="1" applyAlignment="1">
      <alignment horizontal="left" wrapText="1"/>
    </xf>
    <xf numFmtId="49" fontId="78" fillId="41" borderId="10" xfId="0" applyNumberFormat="1" applyFont="1" applyFill="1" applyBorder="1" applyAlignment="1" quotePrefix="1">
      <alignment horizontal="left"/>
    </xf>
    <xf numFmtId="49" fontId="78" fillId="41" borderId="10" xfId="0" applyNumberFormat="1" applyFont="1" applyFill="1" applyBorder="1" applyAlignment="1">
      <alignment horizontal="left"/>
    </xf>
    <xf numFmtId="0" fontId="79" fillId="0" borderId="13" xfId="0" applyFont="1" applyBorder="1" applyAlignment="1">
      <alignment horizontal="center"/>
    </xf>
    <xf numFmtId="0" fontId="79" fillId="0" borderId="14" xfId="0" applyFont="1" applyBorder="1" applyAlignment="1">
      <alignment horizontal="center"/>
    </xf>
    <xf numFmtId="0" fontId="79" fillId="0" borderId="15" xfId="0" applyFont="1" applyBorder="1" applyAlignment="1">
      <alignment horizontal="center"/>
    </xf>
    <xf numFmtId="0" fontId="78" fillId="41" borderId="24" xfId="0" applyFont="1" applyFill="1" applyBorder="1" applyAlignment="1">
      <alignment horizontal="center" vertical="top" textRotation="90" wrapText="1"/>
    </xf>
    <xf numFmtId="0" fontId="78" fillId="37" borderId="17" xfId="0" applyFont="1" applyFill="1" applyBorder="1" applyAlignment="1">
      <alignment horizontal="center" vertical="top" textRotation="90" wrapText="1"/>
    </xf>
    <xf numFmtId="0" fontId="78" fillId="37" borderId="16" xfId="0" applyFont="1" applyFill="1" applyBorder="1" applyAlignment="1">
      <alignment horizontal="center" vertical="top" textRotation="90" wrapText="1"/>
    </xf>
    <xf numFmtId="0" fontId="78" fillId="41" borderId="10" xfId="0" applyFont="1" applyFill="1" applyBorder="1" applyAlignment="1">
      <alignment horizontal="left" wrapText="1"/>
    </xf>
    <xf numFmtId="0" fontId="78" fillId="0" borderId="13" xfId="0" applyFont="1" applyBorder="1" applyAlignment="1">
      <alignment horizontal="center" vertical="center"/>
    </xf>
    <xf numFmtId="0" fontId="78" fillId="0" borderId="14" xfId="0" applyFont="1" applyBorder="1" applyAlignment="1">
      <alignment horizontal="center" vertical="center"/>
    </xf>
    <xf numFmtId="0" fontId="78" fillId="0" borderId="15" xfId="0" applyFont="1" applyBorder="1" applyAlignment="1">
      <alignment horizontal="center" vertical="center"/>
    </xf>
    <xf numFmtId="0" fontId="78" fillId="0" borderId="13" xfId="0" applyFont="1" applyBorder="1" applyAlignment="1">
      <alignment horizontal="center"/>
    </xf>
    <xf numFmtId="0" fontId="78" fillId="0" borderId="14" xfId="0" applyFont="1" applyBorder="1" applyAlignment="1">
      <alignment horizontal="center"/>
    </xf>
    <xf numFmtId="0" fontId="78" fillId="0" borderId="15" xfId="0" applyFont="1" applyBorder="1" applyAlignment="1">
      <alignment horizontal="center"/>
    </xf>
    <xf numFmtId="0" fontId="75" fillId="5" borderId="17" xfId="45" applyFont="1" applyFill="1" applyBorder="1" applyAlignment="1">
      <alignment horizontal="center" vertical="center"/>
      <protection/>
    </xf>
    <xf numFmtId="0" fontId="75" fillId="5" borderId="16" xfId="45" applyFont="1" applyFill="1" applyBorder="1" applyAlignment="1">
      <alignment horizontal="center" vertical="center"/>
      <protection/>
    </xf>
    <xf numFmtId="0" fontId="75" fillId="5" borderId="13" xfId="45" applyFont="1" applyFill="1" applyBorder="1" applyAlignment="1">
      <alignment horizontal="center" vertical="center"/>
      <protection/>
    </xf>
    <xf numFmtId="0" fontId="75" fillId="5" borderId="14" xfId="45" applyFont="1" applyFill="1" applyBorder="1" applyAlignment="1">
      <alignment horizontal="center" vertical="center"/>
      <protection/>
    </xf>
    <xf numFmtId="0" fontId="75" fillId="5" borderId="15" xfId="45" applyFont="1" applyFill="1" applyBorder="1" applyAlignment="1">
      <alignment horizontal="center" vertical="center"/>
      <protection/>
    </xf>
    <xf numFmtId="0" fontId="75" fillId="5" borderId="17" xfId="45" applyFont="1" applyFill="1" applyBorder="1" applyAlignment="1">
      <alignment horizontal="center" vertical="center" wrapText="1"/>
      <protection/>
    </xf>
    <xf numFmtId="0" fontId="75" fillId="5" borderId="24" xfId="45" applyFont="1" applyFill="1" applyBorder="1" applyAlignment="1">
      <alignment horizontal="center" vertical="center" wrapText="1"/>
      <protection/>
    </xf>
    <xf numFmtId="0" fontId="75" fillId="5" borderId="16" xfId="45" applyFont="1" applyFill="1" applyBorder="1" applyAlignment="1">
      <alignment horizontal="center" vertical="center" wrapText="1"/>
      <protection/>
    </xf>
    <xf numFmtId="0" fontId="77" fillId="0" borderId="0" xfId="0" applyFont="1" applyAlignment="1">
      <alignment horizontal="center" vertical="center" wrapText="1"/>
    </xf>
    <xf numFmtId="0" fontId="77" fillId="0" borderId="0" xfId="0" applyFont="1" applyAlignment="1">
      <alignment horizontal="center" vertical="center"/>
    </xf>
    <xf numFmtId="198" fontId="75" fillId="0" borderId="13" xfId="45" applyNumberFormat="1" applyFont="1" applyFill="1" applyBorder="1" applyAlignment="1">
      <alignment horizontal="center"/>
      <protection/>
    </xf>
    <xf numFmtId="198" fontId="75" fillId="0" borderId="14" xfId="45" applyNumberFormat="1" applyFont="1" applyFill="1" applyBorder="1" applyAlignment="1">
      <alignment horizontal="center"/>
      <protection/>
    </xf>
    <xf numFmtId="198" fontId="75" fillId="0" borderId="15" xfId="45" applyNumberFormat="1" applyFont="1" applyFill="1" applyBorder="1" applyAlignment="1">
      <alignment horizontal="center"/>
      <protection/>
    </xf>
    <xf numFmtId="0" fontId="77" fillId="0" borderId="0" xfId="0" applyFont="1" applyAlignment="1">
      <alignment horizontal="center"/>
    </xf>
    <xf numFmtId="0" fontId="76" fillId="0" borderId="13" xfId="0" applyFont="1" applyBorder="1" applyAlignment="1">
      <alignment horizontal="center"/>
    </xf>
    <xf numFmtId="0" fontId="76" fillId="0" borderId="14" xfId="0" applyFont="1" applyBorder="1" applyAlignment="1">
      <alignment horizontal="center"/>
    </xf>
    <xf numFmtId="0" fontId="76" fillId="0" borderId="15" xfId="0" applyFont="1" applyBorder="1" applyAlignment="1">
      <alignment horizontal="center"/>
    </xf>
    <xf numFmtId="0" fontId="75" fillId="0" borderId="13" xfId="0" applyFont="1" applyBorder="1" applyAlignment="1">
      <alignment horizontal="center"/>
    </xf>
    <xf numFmtId="0" fontId="75" fillId="0" borderId="14" xfId="0" applyFont="1" applyBorder="1" applyAlignment="1">
      <alignment horizontal="center"/>
    </xf>
    <xf numFmtId="0" fontId="75" fillId="0" borderId="15" xfId="0" applyFont="1" applyBorder="1" applyAlignment="1">
      <alignment horizontal="center"/>
    </xf>
    <xf numFmtId="0" fontId="74" fillId="0" borderId="0" xfId="0" applyFont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10" xfId="0" applyFont="1" applyBorder="1" applyAlignment="1">
      <alignment horizontal="center"/>
    </xf>
    <xf numFmtId="43" fontId="1" fillId="33" borderId="10" xfId="28" applyFont="1" applyFill="1" applyBorder="1" applyAlignment="1">
      <alignment horizontal="center" vertical="center" wrapText="1"/>
    </xf>
  </cellXfs>
  <cellStyles count="52">
    <cellStyle name="Normal" xfId="0" builtinId="0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Comma" xfId="28" builtinId="3"/>
    <cellStyle name="Comma [0]" xfId="29" builtinId="6"/>
    <cellStyle name="Currency" xfId="30" builtinId="4"/>
    <cellStyle name="Currency [0]" xfId="31" builtinId="7"/>
    <cellStyle name="Explanatory Text" xfId="32"/>
    <cellStyle name="Followed Hyperlink" xfId="33" builtinId="9"/>
    <cellStyle name="Good" xfId="34"/>
    <cellStyle name="Heading 1" xfId="35"/>
    <cellStyle name="Heading 2" xfId="36"/>
    <cellStyle name="Heading 3" xfId="37"/>
    <cellStyle name="Heading 4" xfId="38"/>
    <cellStyle name="Hyperlink" xfId="39" builtinId="8"/>
    <cellStyle name="Input" xfId="40"/>
    <cellStyle name="Linked Cell" xfId="41"/>
    <cellStyle name="Neutral" xfId="42"/>
    <cellStyle name="Normal 135" xfId="43"/>
    <cellStyle name="Normal 2" xfId="44"/>
    <cellStyle name="Normal 2 2" xfId="45"/>
    <cellStyle name="Note" xfId="46"/>
    <cellStyle name="Output" xfId="47"/>
    <cellStyle name="Percent" xfId="48" builtinId="5"/>
    <cellStyle name="Title" xfId="49"/>
    <cellStyle name="Total" xfId="50"/>
    <cellStyle name="Warning Text" xfId="51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6" Type="http://schemas.openxmlformats.org/officeDocument/2006/relationships/externalLink" Target="externalLinks/externalLink1.xml" /><Relationship Id="rId6" Type="http://schemas.openxmlformats.org/officeDocument/2006/relationships/worksheet" Target="worksheets/sheet3.xml" /><Relationship Id="rId7" Type="http://schemas.openxmlformats.org/officeDocument/2006/relationships/worksheet" Target="worksheets/sheet4.xml" /><Relationship Id="rId5" Type="http://schemas.openxmlformats.org/officeDocument/2006/relationships/worksheet" Target="worksheets/sheet2.xml" /><Relationship Id="rId1" Type="http://schemas.openxmlformats.org/officeDocument/2006/relationships/theme" Target="theme/theme1.xml" /><Relationship Id="rId12" Type="http://schemas.openxmlformats.org/officeDocument/2006/relationships/worksheet" Target="worksheets/sheet9.xml" /><Relationship Id="rId2" Type="http://schemas.microsoft.com/office/2006/relationships/vbaProject" Target="vbaProject.bin" /><Relationship Id="rId4" Type="http://schemas.openxmlformats.org/officeDocument/2006/relationships/worksheet" Target="worksheets/sheet1.xml" /><Relationship Id="rId3" Type="http://schemas.openxmlformats.org/officeDocument/2006/relationships/styles" Target="styles.xml" /><Relationship Id="rId10" Type="http://schemas.openxmlformats.org/officeDocument/2006/relationships/worksheet" Target="worksheets/sheet7.xml" /><Relationship Id="rId13" Type="http://schemas.openxmlformats.org/officeDocument/2006/relationships/worksheet" Target="worksheets/sheet10.xml" /><Relationship Id="rId8" Type="http://schemas.openxmlformats.org/officeDocument/2006/relationships/worksheet" Target="worksheets/sheet5.xml" /><Relationship Id="rId14" Type="http://schemas.openxmlformats.org/officeDocument/2006/relationships/worksheet" Target="worksheets/sheet11.xml" /><Relationship Id="rId15" Type="http://schemas.openxmlformats.org/officeDocument/2006/relationships/sharedStrings" Target="sharedStrings.xml" /><Relationship Id="rId9" Type="http://schemas.openxmlformats.org/officeDocument/2006/relationships/worksheet" Target="worksheets/sheet6.xml" /><Relationship Id="rId11" Type="http://schemas.openxmlformats.org/officeDocument/2006/relationships/worksheet" Target="worksheets/sheet8.xml" /><Relationship Id="rId17" Type="http://schemas.openxmlformats.org/officeDocument/2006/relationships/externalLink" Target="externalLinks/externalLink2.xml" /><Relationship Id="rId18" Type="http://schemas.openxmlformats.org/officeDocument/2006/relationships/calcChain" Target="calcChain.xml" /></Relationships>
</file>

<file path=xl/ctrProps/ctr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 /><Relationship Id="rId1" Type="http://schemas.openxmlformats.org/officeDocument/2006/relationships/image" Target="../media/image1.jpeg" /><Relationship Id="rId3" Type="http://schemas.openxmlformats.org/officeDocument/2006/relationships/image" Target="../media/image2.png" 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Relationship Id="rId2" Type="http://schemas.openxmlformats.org/officeDocument/2006/relationships/image" Target="../media/image2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38426</xdr:colOff>
      <xdr:row>53</xdr:row>
      <xdr:rowOff>9674</xdr:rowOff>
    </xdr:from>
    <xdr:to>
      <xdr:col>11</xdr:col>
      <xdr:colOff>943087</xdr:colOff>
      <xdr:row>57</xdr:row>
      <xdr:rowOff>0</xdr:rowOff>
    </xdr:to>
    <xdr:pic>
      <xdr:nvPicPr>
        <xdr:cNvPr id="1864" name="Picture 4">
          <a:extLst>
            <a:ext uri="{FF2B5EF4-FFF2-40B4-BE49-F238E27FC236}">
              <a16:creationId xmlns:a16="http://schemas.microsoft.com/office/drawing/2014/main" id="{ec05f972-e610-494f-8b32-1a946abad3e7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8100" y="13134975"/>
          <a:ext cx="10106025" cy="981075"/>
        </a:xfrm>
        <a:prstGeom prst="rect"/>
      </xdr:spPr>
    </xdr:pic>
    <xdr:clientData/>
  </xdr:twoCellAnchor>
  <xdr:oneCellAnchor>
    <xdr:from>
      <xdr:col>12</xdr:col>
      <xdr:colOff>257175</xdr:colOff>
      <xdr:row>2</xdr:row>
      <xdr:rowOff>76200</xdr:rowOff>
    </xdr:from>
    <xdr:ext cx="200025" cy="266700"/>
    <xdr:sp>
      <xdr:nvSpPr>
        <xdr:cNvPr id="1865" name="TextBox 1">
          <a:extLst>
            <a:ext uri="{FF2B5EF4-FFF2-40B4-BE49-F238E27FC236}">
              <a16:creationId xmlns:a16="http://schemas.microsoft.com/office/drawing/2014/main" id="{19768557-ad44-46bf-9eb1-8f98be41ca79}"/>
            </a:ext>
          </a:extLst>
        </xdr:cNvPr>
        <xdr:cNvSpPr txBox="1"/>
      </xdr:nvSpPr>
      <xdr:spPr>
        <a:xfrm>
          <a:off x="10429875" y="533400"/>
          <a:ext cx="20002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11</xdr:col>
      <xdr:colOff>742950</xdr:colOff>
      <xdr:row>10</xdr:row>
      <xdr:rowOff>28575</xdr:rowOff>
    </xdr:from>
    <xdr:ext cx="447675" cy="266700"/>
    <xdr:sp>
      <xdr:nvSpPr>
        <xdr:cNvPr id="1866" name="TextBox 2">
          <a:extLst>
            <a:ext uri="{FF2B5EF4-FFF2-40B4-BE49-F238E27FC236}">
              <a16:creationId xmlns:a16="http://schemas.microsoft.com/office/drawing/2014/main" id="{529fc2ab-b32d-43bd-80e9-39f2f275bbee}"/>
            </a:ext>
          </a:extLst>
        </xdr:cNvPr>
        <xdr:cNvSpPr txBox="1"/>
      </xdr:nvSpPr>
      <xdr:spPr>
        <a:xfrm>
          <a:off x="9944100" y="2314575"/>
          <a:ext cx="4476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12</xdr:col>
      <xdr:colOff>295275</xdr:colOff>
      <xdr:row>2</xdr:row>
      <xdr:rowOff>28575</xdr:rowOff>
    </xdr:from>
    <xdr:ext cx="180975" cy="314325"/>
    <xdr:sp>
      <xdr:nvSpPr>
        <xdr:cNvPr id="1867" name="TextBox 14">
          <a:extLst>
            <a:ext uri="{FF2B5EF4-FFF2-40B4-BE49-F238E27FC236}">
              <a16:creationId xmlns:a16="http://schemas.microsoft.com/office/drawing/2014/main" id="{8390392b-5d17-4f2f-bf19-0c150769bf03}"/>
            </a:ext>
          </a:extLst>
        </xdr:cNvPr>
        <xdr:cNvSpPr txBox="1"/>
      </xdr:nvSpPr>
      <xdr:spPr>
        <a:xfrm>
          <a:off x="10467975" y="485775"/>
          <a:ext cx="180975" cy="3143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9248775" cy="323850"/>
    <xdr:sp>
      <xdr:nvSpPr>
        <xdr:cNvPr id="1868" name="TextBox 15">
          <a:extLst>
            <a:ext uri="{FF2B5EF4-FFF2-40B4-BE49-F238E27FC236}">
              <a16:creationId xmlns:a16="http://schemas.microsoft.com/office/drawing/2014/main" id="{d80cacb5-161e-4d82-9c90-6cafece0f3dd}"/>
            </a:ext>
          </a:extLst>
        </xdr:cNvPr>
        <xdr:cNvSpPr txBox="1"/>
      </xdr:nvSpPr>
      <xdr:spPr>
        <a:xfrm>
          <a:off x="9525" y="0"/>
          <a:ext cx="9248775" cy="3238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41412</xdr:colOff>
      <xdr:row>0</xdr:row>
      <xdr:rowOff>41413</xdr:rowOff>
    </xdr:from>
    <xdr:to>
      <xdr:col>11</xdr:col>
      <xdr:colOff>940534</xdr:colOff>
      <xdr:row>9</xdr:row>
      <xdr:rowOff>215348</xdr:rowOff>
    </xdr:to>
    <xdr:sp>
      <xdr:nvSpPr>
        <xdr:cNvPr id="1869" name="Text Box 9">
          <a:extLst>
            <a:ext uri="{FF2B5EF4-FFF2-40B4-BE49-F238E27FC236}">
              <a16:creationId xmlns:a16="http://schemas.microsoft.com/office/drawing/2014/main" id="{5ed86814-c163-49da-9229-476138baabb4}"/>
            </a:ext>
          </a:extLst>
        </xdr:cNvPr>
        <xdr:cNvSpPr txBox="1"/>
      </xdr:nvSpPr>
      <xdr:spPr>
        <a:xfrm>
          <a:off x="38100" y="38100"/>
          <a:ext cx="10096500" cy="222885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1000" b="1">
            <a:solidFill>
              <a:srgbClr val="000000"/>
            </a:solidFill>
            <a:effectLst/>
            <a:latin typeface="Gauge Heavy"/>
            <a:ea typeface="Calibri"/>
            <a:cs typeface="Times New Roman"/>
          </a:endParaRPr>
        </a:p>
        <a:p>
          <a:pPr algn="ctr" marL="0" marR="0">
            <a:lnSpc>
              <a:spcPts val="34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   </a:t>
          </a:r>
          <a:r>
            <a:rPr lang="en-US" sz="2800" b="1">
              <a:solidFill>
                <a:schemeClr val="tx1"/>
              </a:solidFill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2800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21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 (An Integrated Facilities Management Company)</a:t>
          </a:r>
          <a:endParaRPr lang="en-US" sz="2100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3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             </a:t>
          </a:r>
          <a:r>
            <a:rPr lang="en-US" sz="14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lnSpc>
              <a:spcPts val="15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4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400" b="1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256924</xdr:colOff>
      <xdr:row>3</xdr:row>
      <xdr:rowOff>28575</xdr:rowOff>
    </xdr:from>
    <xdr:to>
      <xdr:col>1</xdr:col>
      <xdr:colOff>619330</xdr:colOff>
      <xdr:row>8</xdr:row>
      <xdr:rowOff>104477</xdr:rowOff>
    </xdr:to>
    <xdr:pic>
      <xdr:nvPicPr>
        <xdr:cNvPr id="1870" name="image1.png">
          <a:extLst>
            <a:ext uri="{FF2B5EF4-FFF2-40B4-BE49-F238E27FC236}">
              <a16:creationId xmlns:a16="http://schemas.microsoft.com/office/drawing/2014/main" id="{739439c0-a4c5-497f-83fc-3a1ca4c3f11a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57175" y="714375"/>
          <a:ext cx="1133475" cy="1219200"/>
        </a:xfrm>
        <a:prstGeom prst="rect"/>
      </xdr:spPr>
    </xdr:pic>
    <xdr:clientData/>
  </xdr:twoCellAnchor>
  <xdr:twoCellAnchor editAs="oneCell">
    <xdr:from>
      <xdr:col>5</xdr:col>
      <xdr:colOff>694953</xdr:colOff>
      <xdr:row>0</xdr:row>
      <xdr:rowOff>75902</xdr:rowOff>
    </xdr:from>
    <xdr:to>
      <xdr:col>6</xdr:col>
      <xdr:colOff>371624</xdr:colOff>
      <xdr:row>3</xdr:row>
      <xdr:rowOff>66973</xdr:rowOff>
    </xdr:to>
    <xdr:pic>
      <xdr:nvPicPr>
        <xdr:cNvPr id="1871" name="Picture 8">
          <a:extLst>
            <a:ext uri="{FF2B5EF4-FFF2-40B4-BE49-F238E27FC236}">
              <a16:creationId xmlns:a16="http://schemas.microsoft.com/office/drawing/2014/main" id="{a6509ee6-f055-4372-941c-7e96aa99d04c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4619625" y="76200"/>
          <a:ext cx="514350" cy="676275"/>
        </a:xfrm>
        <a:prstGeom prst="rect"/>
      </xdr:spPr>
    </xdr:pic>
    <xdr:clientData/>
  </xdr:twoCellAnchor>
  <xdr:oneCellAnchor>
    <xdr:from>
      <xdr:col>0</xdr:col>
      <xdr:colOff>0</xdr:colOff>
      <xdr:row>0</xdr:row>
      <xdr:rowOff>9525</xdr:rowOff>
    </xdr:from>
    <xdr:ext cx="2305050" cy="485775"/>
    <xdr:sp>
      <xdr:nvSpPr>
        <xdr:cNvPr id="1872" name="TextBox 19">
          <a:extLst>
            <a:ext uri="{FF2B5EF4-FFF2-40B4-BE49-F238E27FC236}">
              <a16:creationId xmlns:a16="http://schemas.microsoft.com/office/drawing/2014/main" id="{ec3ca655-1872-4c28-b6b6-056c9e688886}"/>
            </a:ext>
          </a:extLst>
        </xdr:cNvPr>
        <xdr:cNvSpPr txBox="1"/>
      </xdr:nvSpPr>
      <xdr:spPr>
        <a:xfrm>
          <a:off x="0" y="9525"/>
          <a:ext cx="2305050" cy="4857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 xmlns:a="http://schemas.openxmlformats.org/drawingml/2006/main"/>
        <a:p>
          <a:pPr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EMAIL : snsitech@gmail.com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MOB  : +91-8979987689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>
            <a:latin typeface="+mn-lt"/>
          </a:endParaRPr>
        </a:p>
      </xdr:txBody>
    </xdr:sp>
    <xdr:clientData/>
  </xdr:oneCellAnchor>
  <xdr:oneCellAnchor>
    <xdr:from>
      <xdr:col>9</xdr:col>
      <xdr:colOff>342900</xdr:colOff>
      <xdr:row>0</xdr:row>
      <xdr:rowOff>38100</xdr:rowOff>
    </xdr:from>
    <xdr:ext cx="2495550" cy="447675"/>
    <xdr:sp>
      <xdr:nvSpPr>
        <xdr:cNvPr id="1873" name="TextBox 20">
          <a:extLst>
            <a:ext uri="{FF2B5EF4-FFF2-40B4-BE49-F238E27FC236}">
              <a16:creationId xmlns:a16="http://schemas.microsoft.com/office/drawing/2014/main" id="{ca8adb17-e70b-444d-bfcf-61ec4c96cc80}"/>
            </a:ext>
          </a:extLst>
        </xdr:cNvPr>
        <xdr:cNvSpPr txBox="1"/>
      </xdr:nvSpPr>
      <xdr:spPr>
        <a:xfrm>
          <a:off x="7743825" y="38100"/>
          <a:ext cx="2495550" cy="4476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                                                                                           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12</xdr:col>
      <xdr:colOff>0</xdr:colOff>
      <xdr:row>1</xdr:row>
      <xdr:rowOff>228600</xdr:rowOff>
    </xdr:from>
    <xdr:ext cx="180975" cy="266700"/>
    <xdr:sp>
      <xdr:nvSpPr>
        <xdr:cNvPr id="1612" name="TextBox 3">
          <a:extLst>
            <a:ext uri="{FF2B5EF4-FFF2-40B4-BE49-F238E27FC236}">
              <a16:creationId xmlns:a16="http://schemas.microsoft.com/office/drawing/2014/main" id="{1f6a0479-6bcb-4dd2-a0d2-966a3c22dd38}"/>
            </a:ext>
          </a:extLst>
        </xdr:cNvPr>
        <xdr:cNvSpPr txBox="1"/>
      </xdr:nvSpPr>
      <xdr:spPr>
        <a:xfrm>
          <a:off x="9525000" y="4762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667750" cy="276225"/>
    <xdr:sp>
      <xdr:nvSpPr>
        <xdr:cNvPr id="1613" name="TextBox 5">
          <a:extLst>
            <a:ext uri="{FF2B5EF4-FFF2-40B4-BE49-F238E27FC236}">
              <a16:creationId xmlns:a16="http://schemas.microsoft.com/office/drawing/2014/main" id="{cc197890-56cc-4e8b-b89b-f37d477b4617}"/>
            </a:ext>
          </a:extLst>
        </xdr:cNvPr>
        <xdr:cNvSpPr txBox="1"/>
      </xdr:nvSpPr>
      <xdr:spPr>
        <a:xfrm>
          <a:off x="9525" y="0"/>
          <a:ext cx="8667750" cy="2762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57149</xdr:colOff>
      <xdr:row>0</xdr:row>
      <xdr:rowOff>47625</xdr:rowOff>
    </xdr:from>
    <xdr:to>
      <xdr:col>10</xdr:col>
      <xdr:colOff>1071305</xdr:colOff>
      <xdr:row>7</xdr:row>
      <xdr:rowOff>215912</xdr:rowOff>
    </xdr:to>
    <xdr:sp>
      <xdr:nvSpPr>
        <xdr:cNvPr id="1614" name="Text Box 9">
          <a:extLst>
            <a:ext uri="{FF2B5EF4-FFF2-40B4-BE49-F238E27FC236}">
              <a16:creationId xmlns:a16="http://schemas.microsoft.com/office/drawing/2014/main" id="{dde82dee-ff81-4674-a251-72473388120d}"/>
            </a:ext>
          </a:extLst>
        </xdr:cNvPr>
        <xdr:cNvSpPr txBox="1"/>
      </xdr:nvSpPr>
      <xdr:spPr>
        <a:xfrm>
          <a:off x="57150" y="47625"/>
          <a:ext cx="8858250" cy="190500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1000" b="1">
            <a:solidFill>
              <a:srgbClr val="000000"/>
            </a:solidFill>
            <a:effectLst/>
            <a:latin typeface="Gauge Heavy"/>
            <a:ea typeface="Calibri"/>
            <a:cs typeface="Times New Roman"/>
          </a:endParaRPr>
        </a:p>
        <a:p>
          <a:pPr algn="ctr" marL="0" marR="0">
            <a:lnSpc>
              <a:spcPts val="34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   </a:t>
          </a:r>
          <a:r>
            <a:rPr lang="en-US" sz="2800" b="1">
              <a:solidFill>
                <a:schemeClr val="tx1"/>
              </a:solidFill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2800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 </a:t>
          </a:r>
          <a:r>
            <a:rPr lang="en-US" sz="20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(An Integrated Facilities Management Company)</a:t>
          </a:r>
          <a:endParaRPr lang="en-US" sz="2000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3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             </a:t>
          </a:r>
          <a:r>
            <a:rPr lang="en-US" sz="14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algn="ctr" marL="0" marR="0">
            <a:lnSpc>
              <a:spcPts val="15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400" b="1">
              <a:solidFill>
                <a:schemeClr val="tx1"/>
              </a:solidFill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400" b="1">
            <a:solidFill>
              <a:srgbClr val="000000"/>
            </a:solidFill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142875</xdr:colOff>
      <xdr:row>2</xdr:row>
      <xdr:rowOff>139303</xdr:rowOff>
    </xdr:from>
    <xdr:to>
      <xdr:col>1</xdr:col>
      <xdr:colOff>562068</xdr:colOff>
      <xdr:row>6</xdr:row>
      <xdr:rowOff>212824</xdr:rowOff>
    </xdr:to>
    <xdr:pic>
      <xdr:nvPicPr>
        <xdr:cNvPr id="1615" name="image1.png">
          <a:extLst>
            <a:ext uri="{FF2B5EF4-FFF2-40B4-BE49-F238E27FC236}">
              <a16:creationId xmlns:a16="http://schemas.microsoft.com/office/drawing/2014/main" id="{0bb3b55f-d4c2-4ab4-a367-abacf7962658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42875" y="638175"/>
          <a:ext cx="990600" cy="1066800"/>
        </a:xfrm>
        <a:prstGeom prst="rect"/>
      </xdr:spPr>
    </xdr:pic>
    <xdr:clientData/>
  </xdr:twoCellAnchor>
  <xdr:twoCellAnchor editAs="oneCell">
    <xdr:from>
      <xdr:col>5</xdr:col>
      <xdr:colOff>533698</xdr:colOff>
      <xdr:row>0</xdr:row>
      <xdr:rowOff>83195</xdr:rowOff>
    </xdr:from>
    <xdr:to>
      <xdr:col>6</xdr:col>
      <xdr:colOff>123602</xdr:colOff>
      <xdr:row>2</xdr:row>
      <xdr:rowOff>139303</xdr:rowOff>
    </xdr:to>
    <xdr:pic>
      <xdr:nvPicPr>
        <xdr:cNvPr id="1616" name="Picture 8">
          <a:extLst>
            <a:ext uri="{FF2B5EF4-FFF2-40B4-BE49-F238E27FC236}">
              <a16:creationId xmlns:a16="http://schemas.microsoft.com/office/drawing/2014/main" id="{d3cffd17-f576-40f7-a07d-77c6ef9681b1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191000" y="85725"/>
          <a:ext cx="428625" cy="552450"/>
        </a:xfrm>
        <a:prstGeom prst="rect"/>
      </xdr:spPr>
    </xdr:pic>
    <xdr:clientData/>
  </xdr:twoCellAnchor>
  <xdr:oneCellAnchor>
    <xdr:from>
      <xdr:col>0</xdr:col>
      <xdr:colOff>0</xdr:colOff>
      <xdr:row>0</xdr:row>
      <xdr:rowOff>9525</xdr:rowOff>
    </xdr:from>
    <xdr:ext cx="2124075" cy="485775"/>
    <xdr:sp>
      <xdr:nvSpPr>
        <xdr:cNvPr id="1617" name="TextBox 9">
          <a:extLst>
            <a:ext uri="{FF2B5EF4-FFF2-40B4-BE49-F238E27FC236}">
              <a16:creationId xmlns:a16="http://schemas.microsoft.com/office/drawing/2014/main" id="{efe07c72-8064-4e53-98f4-7b7a132ea5dd}"/>
            </a:ext>
          </a:extLst>
        </xdr:cNvPr>
        <xdr:cNvSpPr txBox="1"/>
      </xdr:nvSpPr>
      <xdr:spPr>
        <a:xfrm>
          <a:off x="0" y="9525"/>
          <a:ext cx="2124075" cy="4857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 xmlns:a="http://schemas.openxmlformats.org/drawingml/2006/main"/>
        <a:p>
          <a:pPr/>
          <a:r>
            <a:rPr lang="en-US" sz="1100" b="1">
              <a:solidFill>
                <a:schemeClr val="tx1"/>
              </a:solidFill>
              <a:latin typeface="+mj-lt"/>
            </a:rPr>
            <a:t>EMAIL : snsitech@gmail.com</a:t>
          </a:r>
        </a:p>
        <a:p>
          <a:r>
            <a:rPr lang="en-US" sz="1100" b="1">
              <a:solidFill>
                <a:schemeClr val="tx1"/>
              </a:solidFill>
              <a:latin typeface="+mj-lt"/>
            </a:rPr>
            <a:t>MOB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8</xdr:col>
      <xdr:colOff>571500</xdr:colOff>
      <xdr:row>0</xdr:row>
      <xdr:rowOff>28575</xdr:rowOff>
    </xdr:from>
    <xdr:ext cx="2286000" cy="381000"/>
    <xdr:sp>
      <xdr:nvSpPr>
        <xdr:cNvPr id="1618" name="TextBox 10">
          <a:extLst>
            <a:ext uri="{FF2B5EF4-FFF2-40B4-BE49-F238E27FC236}">
              <a16:creationId xmlns:a16="http://schemas.microsoft.com/office/drawing/2014/main" id="{5fb5d06a-e188-45a9-819d-062b234399d9}"/>
            </a:ext>
          </a:extLst>
        </xdr:cNvPr>
        <xdr:cNvSpPr txBox="1"/>
      </xdr:nvSpPr>
      <xdr:spPr>
        <a:xfrm>
          <a:off x="6743700" y="28575"/>
          <a:ext cx="2286000" cy="3810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solidFill>
              <a:srgbClr val="000000"/>
            </a:solidFill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solidFill>
              <a:srgbClr val="000000"/>
            </a:solidFill>
            <a:effectLst/>
            <a:latin typeface="+mj-lt"/>
          </a:endParaRPr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13</xdr:row>
          <xdr:rowOff>66415</xdr:rowOff>
        </xdr:from>
        <xdr:to>
          <xdr:col>13</xdr:col>
          <xdr:colOff>600075</xdr:colOff>
          <xdr:row>17</xdr:row>
          <xdr:rowOff>18976</xdr:rowOff>
        </xdr:to>
        <xdr:sp macro="[0]!MOPAOC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a195120-da9e-4148-bc10-976c336c3b69}"/>
                </a:ext>
              </a:extLst>
            </xdr:cNvPr>
            <xdr:cNvSpPr>
              <a:spLocks noRot="1"/>
            </xdr:cNvSpPr>
          </xdr:nvSpPr>
          <xdr:spPr>
            <a:xfrm>
              <a:off x="8039100" y="2162175"/>
              <a:ext cx="1714500" cy="600075"/>
            </a:xfrm>
            <a:prstGeom prst="rect"/>
            <a:ln w="9525"/>
          </xdr:spPr>
          <xdr:txBody>
            <a:bodyPr lIns="91440" tIns="45720" rIns="91440" bIns="45720" vert="horz" anchor="ctr" anchorCtr="1" upright="1"/>
            <a:p>
              <a:pPr/>
              <a:r>
                <a:rPr lang="en-US" sz="1000" b="0" i="0" u="dbl" baseline="0">
                  <a:solidFill>
                    <a:srgbClr val="FF0000"/>
                  </a:solidFill>
                  <a:latin typeface="Arial"/>
                  <a:ea typeface="Arial"/>
                  <a:cs typeface="Arial"/>
                </a:rPr>
                <a:t>TO BE PRESSED ONLY ONCE - MOP &amp; AOC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\Users\Jatin%20Bakshi\Downloads\RABILLNO-05%20(G113-03)%20final.xls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\Users\dell\AppData\Roaming\Microsoft\AddIns\SpellNumber.xla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redit Note"/>
      <sheetName val="Tax Invoice"/>
      <sheetName val="MOP"/>
      <sheetName val="AOC"/>
      <sheetName val="Sheet1"/>
      <sheetName val="DIFF"/>
      <sheetName val="Sheet2"/>
      <sheetName val="FORM B-(Wage Reg.)"/>
      <sheetName val="Working Sheet"/>
    </sheetNames>
    <sheetDataSet>
      <sheetData sheetId="7">
        <row r="16">
          <cell r="Y16" t="str">
            <v>01 Sep 2024 To 30 Sep 2024</v>
          </cell>
        </row>
      </sheetData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 /><Relationship Id="rId2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vmlDrawing" Target="../drawings/vmlDrawing1.vml" /><Relationship Id="rId1" Type="http://schemas.openxmlformats.org/officeDocument/2006/relationships/comments" Target="../comments4.xml" /><Relationship Id="rId3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3.xml" /><Relationship Id="rId1" Type="http://schemas.openxmlformats.org/officeDocument/2006/relationships/ctrlProp" Target="../ctrProps/ctrProp1.xml" /><Relationship Id="rId3" Type="http://schemas.openxmlformats.org/officeDocument/2006/relationships/vmlDrawing" Target="../drawings/vmlDrawing2.v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B778E4F-B478-4034-BD24-0DC7E740B9AB}">
  <sheetPr codeName="Sheet1">
    <pageSetUpPr fitToPage="1"/>
  </sheetPr>
  <dimension ref="A1:M58"/>
  <sheetViews>
    <sheetView zoomScale="115" zoomScaleNormal="115" zoomScalePageLayoutView="75" workbookViewId="0" topLeftCell="A1">
      <selection pane="topLeft" activeCell="A11" sqref="A11:J13"/>
    </sheetView>
  </sheetViews>
  <sheetFormatPr defaultColWidth="8.57366071428571" defaultRowHeight="12.75"/>
  <cols>
    <col min="1" max="4" width="11.5714285714286" style="34" customWidth="1"/>
    <col min="5" max="8" width="12.5714285714286" style="34" customWidth="1"/>
    <col min="9" max="10" width="14.4285714285714" style="34" bestFit="1" customWidth="1"/>
    <col min="11" max="11" width="12.5714285714286" style="34" customWidth="1"/>
    <col min="12" max="12" width="14.5714285714286" style="34" bestFit="1" customWidth="1"/>
    <col min="13" max="16384" width="8.57142857142857" style="34"/>
  </cols>
  <sheetData>
    <row r="1" spans="1:12" ht="18" customHeight="1">
      <c r="A1" s="348"/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5"/>
    </row>
    <row r="2" spans="1:12" ht="18" customHeight="1">
      <c r="A2" s="348"/>
      <c r="B2" s="82"/>
      <c r="C2" s="82"/>
      <c r="D2" s="82"/>
      <c r="E2" s="82"/>
      <c r="F2" s="82"/>
      <c r="G2" s="82"/>
      <c r="H2" s="82"/>
      <c r="I2" s="82"/>
      <c r="J2" s="82"/>
      <c r="K2" s="82"/>
      <c r="L2" s="107"/>
    </row>
    <row r="3" spans="1:12" ht="18" customHeight="1">
      <c r="A3" s="348"/>
      <c r="B3" s="82"/>
      <c r="C3" s="82"/>
      <c r="D3" s="82"/>
      <c r="E3" s="82"/>
      <c r="F3" s="82"/>
      <c r="G3" s="82"/>
      <c r="H3" s="82"/>
      <c r="I3" s="82"/>
      <c r="J3" s="82"/>
      <c r="K3" s="82"/>
      <c r="L3" s="107"/>
    </row>
    <row r="4" spans="1:12" ht="18" customHeight="1">
      <c r="A4" s="348"/>
      <c r="B4" s="82"/>
      <c r="C4" s="82"/>
      <c r="D4" s="82"/>
      <c r="E4" s="82"/>
      <c r="F4" s="82"/>
      <c r="G4" s="82"/>
      <c r="H4" s="82"/>
      <c r="I4" s="82"/>
      <c r="J4" s="82"/>
      <c r="K4" s="82"/>
      <c r="L4" s="107"/>
    </row>
    <row r="5" spans="1:12" ht="18" customHeight="1">
      <c r="A5" s="348"/>
      <c r="B5" s="82"/>
      <c r="C5" s="82"/>
      <c r="D5" s="82"/>
      <c r="E5" s="82"/>
      <c r="F5" s="82"/>
      <c r="G5" s="82"/>
      <c r="H5" s="82"/>
      <c r="I5" s="82"/>
      <c r="J5" s="82"/>
      <c r="K5" s="82"/>
      <c r="L5" s="107"/>
    </row>
    <row r="6" spans="1:12" ht="18" customHeight="1">
      <c r="A6" s="348"/>
      <c r="B6" s="82"/>
      <c r="C6" s="82"/>
      <c r="D6" s="82"/>
      <c r="E6" s="82"/>
      <c r="F6" s="82"/>
      <c r="G6" s="82"/>
      <c r="H6" s="82"/>
      <c r="I6" s="82"/>
      <c r="J6" s="82"/>
      <c r="K6" s="82"/>
      <c r="L6" s="107"/>
    </row>
    <row r="7" spans="1:12" ht="18" customHeight="1">
      <c r="A7" s="348"/>
      <c r="B7" s="82"/>
      <c r="C7" s="82"/>
      <c r="D7" s="82"/>
      <c r="E7" s="82"/>
      <c r="F7" s="82"/>
      <c r="G7" s="82"/>
      <c r="H7" s="82"/>
      <c r="I7" s="82"/>
      <c r="J7" s="82"/>
      <c r="K7" s="82"/>
      <c r="L7" s="107"/>
    </row>
    <row r="8" spans="1:12" ht="18" customHeight="1">
      <c r="A8" s="348"/>
      <c r="B8" s="82"/>
      <c r="C8" s="82"/>
      <c r="D8" s="82"/>
      <c r="E8" s="82"/>
      <c r="F8" s="82"/>
      <c r="G8" s="82"/>
      <c r="H8" s="82"/>
      <c r="I8" s="82"/>
      <c r="J8" s="82"/>
      <c r="K8" s="82"/>
      <c r="L8" s="107"/>
    </row>
    <row r="9" spans="1:12" ht="18" customHeight="1">
      <c r="A9" s="349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9"/>
    </row>
    <row r="10" spans="1:12" ht="18" customHeight="1">
      <c r="A10" s="350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3"/>
    </row>
    <row r="11" spans="1:12" ht="15" customHeight="1">
      <c r="A11" s="351" t="s">
        <v>442</v>
      </c>
      <c r="B11" s="352"/>
      <c r="C11" s="352"/>
      <c r="D11" s="352"/>
      <c r="E11" s="352"/>
      <c r="F11" s="352"/>
      <c r="G11" s="352"/>
      <c r="H11" s="352"/>
      <c r="I11" s="352"/>
      <c r="J11" s="353"/>
      <c r="K11" s="360" t="s">
        <v>18</v>
      </c>
      <c r="L11" s="360"/>
    </row>
    <row r="12" spans="1:12" ht="15" customHeight="1">
      <c r="A12" s="354"/>
      <c r="B12" s="355"/>
      <c r="C12" s="355"/>
      <c r="D12" s="355"/>
      <c r="E12" s="355"/>
      <c r="F12" s="355"/>
      <c r="G12" s="355"/>
      <c r="H12" s="355"/>
      <c r="I12" s="355"/>
      <c r="J12" s="356"/>
      <c r="K12" s="360" t="s">
        <v>19</v>
      </c>
      <c r="L12" s="360"/>
    </row>
    <row r="13" spans="1:12" ht="15" customHeight="1">
      <c r="A13" s="357"/>
      <c r="B13" s="358"/>
      <c r="C13" s="358"/>
      <c r="D13" s="358"/>
      <c r="E13" s="358"/>
      <c r="F13" s="358"/>
      <c r="G13" s="358"/>
      <c r="H13" s="358"/>
      <c r="I13" s="358"/>
      <c r="J13" s="359"/>
      <c r="K13" s="361" t="s">
        <v>20</v>
      </c>
      <c r="L13" s="361"/>
    </row>
    <row r="14" spans="1:12" ht="15" customHeight="1">
      <c r="A14" s="362" t="s">
        <v>21</v>
      </c>
      <c r="B14" s="363"/>
      <c r="C14" s="372" t="str">
        <f>'Working Sheet'!C6</f>
        <v xml:space="preserve"> SSI/1207</v>
      </c>
      <c r="D14" s="373"/>
      <c r="E14" s="373"/>
      <c r="F14" s="374"/>
      <c r="G14" s="370" t="s">
        <v>22</v>
      </c>
      <c r="H14" s="363"/>
      <c r="I14" s="364">
        <f>'Working Sheet'!$C$8</f>
        <v>45964</v>
      </c>
      <c r="J14" s="364"/>
      <c r="K14" s="364"/>
      <c r="L14" s="365"/>
    </row>
    <row r="15" spans="1:12" ht="15" customHeight="1">
      <c r="A15" s="366" t="s">
        <v>23</v>
      </c>
      <c r="B15" s="367"/>
      <c r="C15" s="375" t="s">
        <v>113</v>
      </c>
      <c r="D15" s="376"/>
      <c r="E15" s="376"/>
      <c r="F15" s="377"/>
      <c r="G15" s="371" t="s">
        <v>24</v>
      </c>
      <c r="H15" s="367"/>
      <c r="I15" s="368" t="s">
        <v>109</v>
      </c>
      <c r="J15" s="368"/>
      <c r="K15" s="368"/>
      <c r="L15" s="369"/>
    </row>
    <row r="16" spans="1:12" ht="15" customHeight="1">
      <c r="A16" s="366" t="s">
        <v>25</v>
      </c>
      <c r="B16" s="367"/>
      <c r="C16" s="383" t="str">
        <f>'Working Sheet'!$C$5</f>
        <v>01-10-2025 TO 31-10-2025</v>
      </c>
      <c r="D16" s="384"/>
      <c r="E16" s="384"/>
      <c r="F16" s="385"/>
      <c r="G16" s="371" t="s">
        <v>26</v>
      </c>
      <c r="H16" s="367"/>
      <c r="I16" s="376">
        <v>11004612</v>
      </c>
      <c r="J16" s="376"/>
      <c r="K16" s="376"/>
      <c r="L16" s="377"/>
    </row>
    <row r="17" spans="1:13" ht="15" customHeight="1">
      <c r="A17" s="378" t="s">
        <v>27</v>
      </c>
      <c r="B17" s="379"/>
      <c r="C17" s="386" t="s">
        <v>131</v>
      </c>
      <c r="D17" s="387"/>
      <c r="E17" s="387"/>
      <c r="F17" s="388"/>
      <c r="G17" s="382" t="s">
        <v>28</v>
      </c>
      <c r="H17" s="379"/>
      <c r="I17" s="380" t="s">
        <v>127</v>
      </c>
      <c r="J17" s="380"/>
      <c r="K17" s="380"/>
      <c r="L17" s="381"/>
      <c r="M17" s="110"/>
    </row>
    <row r="18" spans="1:12" ht="4.5" customHeight="1">
      <c r="A18" s="111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3"/>
    </row>
    <row r="19" spans="1:12" ht="15" customHeight="1">
      <c r="A19" s="389" t="s">
        <v>79</v>
      </c>
      <c r="B19" s="390"/>
      <c r="C19" s="390"/>
      <c r="D19" s="390"/>
      <c r="E19" s="390"/>
      <c r="F19" s="390"/>
      <c r="G19" s="391" t="s">
        <v>78</v>
      </c>
      <c r="H19" s="390"/>
      <c r="I19" s="390"/>
      <c r="J19" s="390"/>
      <c r="K19" s="390"/>
      <c r="L19" s="392"/>
    </row>
    <row r="20" spans="1:12" ht="15" customHeight="1">
      <c r="A20" s="362" t="s">
        <v>29</v>
      </c>
      <c r="B20" s="363"/>
      <c r="C20" s="393" t="s">
        <v>107</v>
      </c>
      <c r="D20" s="394"/>
      <c r="E20" s="394"/>
      <c r="F20" s="395"/>
      <c r="G20" s="362" t="s">
        <v>29</v>
      </c>
      <c r="H20" s="363"/>
      <c r="I20" s="393" t="s">
        <v>114</v>
      </c>
      <c r="J20" s="394"/>
      <c r="K20" s="394"/>
      <c r="L20" s="395"/>
    </row>
    <row r="21" spans="1:12" ht="15" customHeight="1">
      <c r="A21" s="366" t="s">
        <v>30</v>
      </c>
      <c r="B21" s="367"/>
      <c r="C21" s="396" t="s">
        <v>110</v>
      </c>
      <c r="D21" s="397"/>
      <c r="E21" s="397"/>
      <c r="F21" s="398"/>
      <c r="G21" s="366" t="s">
        <v>30</v>
      </c>
      <c r="H21" s="367"/>
      <c r="I21" s="396" t="s">
        <v>64</v>
      </c>
      <c r="J21" s="397"/>
      <c r="K21" s="397"/>
      <c r="L21" s="398"/>
    </row>
    <row r="22" spans="1:12" ht="15" customHeight="1">
      <c r="A22" s="366"/>
      <c r="B22" s="367"/>
      <c r="C22" s="396" t="s">
        <v>111</v>
      </c>
      <c r="D22" s="397"/>
      <c r="E22" s="397"/>
      <c r="F22" s="398"/>
      <c r="G22" s="366"/>
      <c r="H22" s="367"/>
      <c r="I22" s="396" t="s">
        <v>65</v>
      </c>
      <c r="J22" s="397"/>
      <c r="K22" s="397"/>
      <c r="L22" s="398"/>
    </row>
    <row r="23" spans="1:12" ht="15" customHeight="1">
      <c r="A23" s="366"/>
      <c r="B23" s="367"/>
      <c r="C23" s="396" t="s">
        <v>112</v>
      </c>
      <c r="D23" s="397"/>
      <c r="E23" s="397"/>
      <c r="F23" s="398"/>
      <c r="G23" s="366"/>
      <c r="H23" s="367"/>
      <c r="I23" s="396" t="s">
        <v>66</v>
      </c>
      <c r="J23" s="397"/>
      <c r="K23" s="397"/>
      <c r="L23" s="398"/>
    </row>
    <row r="24" spans="1:12" ht="15" customHeight="1">
      <c r="A24" s="366" t="s">
        <v>31</v>
      </c>
      <c r="B24" s="367"/>
      <c r="C24" s="396" t="s">
        <v>113</v>
      </c>
      <c r="D24" s="397"/>
      <c r="E24" s="397"/>
      <c r="F24" s="398"/>
      <c r="G24" s="366" t="s">
        <v>23</v>
      </c>
      <c r="H24" s="367"/>
      <c r="I24" s="366" t="s">
        <v>44</v>
      </c>
      <c r="J24" s="371"/>
      <c r="K24" s="371"/>
      <c r="L24" s="367"/>
    </row>
    <row r="25" spans="1:12" ht="15" customHeight="1">
      <c r="A25" s="366" t="s">
        <v>32</v>
      </c>
      <c r="B25" s="367"/>
      <c r="C25" s="399" t="s">
        <v>108</v>
      </c>
      <c r="D25" s="400"/>
      <c r="E25" s="400"/>
      <c r="F25" s="401"/>
      <c r="G25" s="366" t="s">
        <v>32</v>
      </c>
      <c r="H25" s="367"/>
      <c r="I25" s="402" t="s">
        <v>63</v>
      </c>
      <c r="J25" s="403"/>
      <c r="K25" s="403"/>
      <c r="L25" s="404"/>
    </row>
    <row r="26" spans="1:12" ht="15" customHeight="1">
      <c r="A26" s="378" t="s">
        <v>33</v>
      </c>
      <c r="B26" s="379"/>
      <c r="C26" s="405">
        <v>18</v>
      </c>
      <c r="D26" s="406"/>
      <c r="E26" s="406"/>
      <c r="F26" s="407"/>
      <c r="G26" s="378" t="s">
        <v>33</v>
      </c>
      <c r="H26" s="379"/>
      <c r="I26" s="408" t="s">
        <v>71</v>
      </c>
      <c r="J26" s="409"/>
      <c r="K26" s="409"/>
      <c r="L26" s="410"/>
    </row>
    <row r="27" spans="1:12" ht="4.35" customHeight="1">
      <c r="A27" s="114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6"/>
    </row>
    <row r="28" spans="1:12" ht="38.25" customHeight="1">
      <c r="A28" s="448" t="str">
        <f>"HIRING OF SERVICES FOR MECHANICAL MAINTENANCE ACTIVITIES IN PART-B : DOWNSTREAM UNITS (LLDPE, PPU &amp; PTD) AT M/S. BCPL LEPETKATA DIBRUGARH FOR THE MONTH OF "&amp;'Working Sheet'!C7</f>
        <v>HIRING OF SERVICES FOR MECHANICAL MAINTENANCE ACTIVITIES IN PART-B : DOWNSTREAM UNITS (LLDPE, PPU &amp; PTD) AT M/S. BCPL LEPETKATA DIBRUGARH FOR THE MONTH OF OCTOBER-2025</v>
      </c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50"/>
    </row>
    <row r="29" spans="1:12" ht="30" customHeight="1">
      <c r="A29" s="117" t="s">
        <v>34</v>
      </c>
      <c r="B29" s="451" t="s">
        <v>35</v>
      </c>
      <c r="C29" s="452"/>
      <c r="D29" s="453"/>
      <c r="E29" s="117" t="s">
        <v>36</v>
      </c>
      <c r="F29" s="117" t="s">
        <v>37</v>
      </c>
      <c r="G29" s="117" t="s">
        <v>2</v>
      </c>
      <c r="H29" s="117" t="s">
        <v>38</v>
      </c>
      <c r="I29" s="117" t="s">
        <v>39</v>
      </c>
      <c r="J29" s="117" t="s">
        <v>40</v>
      </c>
      <c r="K29" s="117" t="s">
        <v>41</v>
      </c>
      <c r="L29" s="117" t="s">
        <v>42</v>
      </c>
    </row>
    <row r="30" spans="1:12" ht="23.25">
      <c r="A30" s="118"/>
      <c r="B30" s="454" t="s">
        <v>106</v>
      </c>
      <c r="C30" s="455"/>
      <c r="D30" s="456"/>
      <c r="E30" s="81"/>
      <c r="F30" s="81"/>
      <c r="G30" s="81"/>
      <c r="H30" s="81"/>
      <c r="I30" s="81"/>
      <c r="J30" s="81"/>
      <c r="K30" s="81"/>
      <c r="L30" s="81"/>
    </row>
    <row r="31" spans="1:12" ht="15">
      <c r="A31" s="119">
        <v>1</v>
      </c>
      <c r="B31" s="438" t="s">
        <v>372</v>
      </c>
      <c r="C31" s="439"/>
      <c r="D31" s="440"/>
      <c r="E31" s="120"/>
      <c r="F31" s="121">
        <v>998311</v>
      </c>
      <c r="G31" s="121" t="s">
        <v>72</v>
      </c>
      <c r="H31" s="120">
        <v>1</v>
      </c>
      <c r="I31" s="122">
        <f>AOC!K44</f>
        <v>2802766.3025000002</v>
      </c>
      <c r="J31" s="122">
        <f>I31*H31</f>
        <v>2802766.3025000002</v>
      </c>
      <c r="K31" s="122">
        <v>0</v>
      </c>
      <c r="L31" s="123">
        <f>(((J31-K31)))</f>
        <v>2802766.3025000002</v>
      </c>
    </row>
    <row r="32" spans="1:12" ht="15">
      <c r="A32" s="119">
        <v>2</v>
      </c>
      <c r="B32" s="438"/>
      <c r="C32" s="439"/>
      <c r="D32" s="440"/>
      <c r="E32" s="124"/>
      <c r="F32" s="125"/>
      <c r="G32" s="125"/>
      <c r="H32" s="124"/>
      <c r="I32" s="124"/>
      <c r="J32" s="124"/>
      <c r="K32" s="124"/>
      <c r="L32" s="126"/>
    </row>
    <row r="33" spans="1:12" ht="15">
      <c r="A33" s="119">
        <v>3</v>
      </c>
      <c r="B33" s="438"/>
      <c r="C33" s="439"/>
      <c r="D33" s="440"/>
      <c r="E33" s="124"/>
      <c r="F33" s="125"/>
      <c r="G33" s="125"/>
      <c r="H33" s="124"/>
      <c r="I33" s="124"/>
      <c r="J33" s="124"/>
      <c r="K33" s="124"/>
      <c r="L33" s="126"/>
    </row>
    <row r="34" spans="1:12" ht="15">
      <c r="A34" s="119">
        <v>4</v>
      </c>
      <c r="B34" s="438"/>
      <c r="C34" s="439"/>
      <c r="D34" s="440"/>
      <c r="E34" s="124"/>
      <c r="F34" s="125"/>
      <c r="G34" s="125"/>
      <c r="H34" s="124"/>
      <c r="I34" s="124"/>
      <c r="J34" s="124"/>
      <c r="K34" s="124"/>
      <c r="L34" s="126"/>
    </row>
    <row r="35" spans="1:12" ht="15">
      <c r="A35" s="119">
        <v>5</v>
      </c>
      <c r="B35" s="438"/>
      <c r="C35" s="439"/>
      <c r="D35" s="440"/>
      <c r="E35" s="124"/>
      <c r="F35" s="125"/>
      <c r="G35" s="125"/>
      <c r="H35" s="124"/>
      <c r="I35" s="124"/>
      <c r="J35" s="124"/>
      <c r="K35" s="124"/>
      <c r="L35" s="126"/>
    </row>
    <row r="36" spans="1:12" ht="15">
      <c r="A36" s="119">
        <v>6</v>
      </c>
      <c r="B36" s="438"/>
      <c r="C36" s="439"/>
      <c r="D36" s="440"/>
      <c r="E36" s="124"/>
      <c r="F36" s="125"/>
      <c r="G36" s="125"/>
      <c r="H36" s="124"/>
      <c r="I36" s="124"/>
      <c r="J36" s="124"/>
      <c r="K36" s="124"/>
      <c r="L36" s="126"/>
    </row>
    <row r="37" spans="1:12" ht="15">
      <c r="A37" s="119">
        <v>7</v>
      </c>
      <c r="B37" s="438"/>
      <c r="C37" s="439"/>
      <c r="D37" s="440"/>
      <c r="E37" s="124"/>
      <c r="F37" s="125"/>
      <c r="G37" s="125"/>
      <c r="H37" s="124"/>
      <c r="I37" s="124"/>
      <c r="J37" s="124"/>
      <c r="K37" s="124"/>
      <c r="L37" s="126"/>
    </row>
    <row r="38" spans="1:12" ht="15">
      <c r="A38" s="119">
        <v>8</v>
      </c>
      <c r="B38" s="438"/>
      <c r="C38" s="439"/>
      <c r="D38" s="440"/>
      <c r="E38" s="124"/>
      <c r="F38" s="125"/>
      <c r="G38" s="125"/>
      <c r="H38" s="124"/>
      <c r="I38" s="124"/>
      <c r="J38" s="124"/>
      <c r="K38" s="124"/>
      <c r="L38" s="126"/>
    </row>
    <row r="39" spans="1:12" ht="12.75">
      <c r="A39" s="119"/>
      <c r="B39" s="411"/>
      <c r="C39" s="412"/>
      <c r="D39" s="413"/>
      <c r="E39" s="124"/>
      <c r="F39" s="127"/>
      <c r="G39" s="125"/>
      <c r="H39" s="124"/>
      <c r="I39" s="124"/>
      <c r="J39" s="124"/>
      <c r="K39" s="124"/>
      <c r="L39" s="126"/>
    </row>
    <row r="40" spans="1:12" ht="30" customHeight="1">
      <c r="A40" s="117"/>
      <c r="B40" s="414" t="s">
        <v>43</v>
      </c>
      <c r="C40" s="415"/>
      <c r="D40" s="416"/>
      <c r="E40" s="117"/>
      <c r="F40" s="117"/>
      <c r="G40" s="117"/>
      <c r="H40" s="117"/>
      <c r="I40" s="117"/>
      <c r="J40" s="117"/>
      <c r="K40" s="117"/>
      <c r="L40" s="128">
        <f>SUM(L31:L39)</f>
        <v>2802766.3025000002</v>
      </c>
    </row>
    <row r="41" spans="1:12" ht="4.35" customHeight="1">
      <c r="A41" s="417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9"/>
    </row>
    <row r="42" spans="1:12" ht="30" customHeight="1">
      <c r="A42" s="129" t="s">
        <v>436</v>
      </c>
      <c r="B42" s="130"/>
      <c r="C42" s="130"/>
      <c r="D42" s="130"/>
      <c r="E42" s="130"/>
      <c r="F42" s="131"/>
      <c r="G42" s="420" t="s">
        <v>69</v>
      </c>
      <c r="H42" s="420"/>
      <c r="I42" s="420"/>
      <c r="J42" s="421">
        <f>L40</f>
        <v>2802766.3025000002</v>
      </c>
      <c r="K42" s="421"/>
      <c r="L42" s="421"/>
    </row>
    <row r="43" spans="1:12" ht="30" customHeight="1">
      <c r="A43" s="132" t="s">
        <v>68</v>
      </c>
      <c r="B43" s="133"/>
      <c r="C43" s="133"/>
      <c r="D43" s="133"/>
      <c r="E43" s="133"/>
      <c r="F43" s="133"/>
      <c r="G43" s="422" t="s">
        <v>67</v>
      </c>
      <c r="H43" s="390"/>
      <c r="I43" s="392"/>
      <c r="J43" s="423">
        <f>J42*18%</f>
        <v>504497.93445</v>
      </c>
      <c r="K43" s="424"/>
      <c r="L43" s="425"/>
    </row>
    <row r="44" spans="1:12" ht="30" customHeight="1">
      <c r="A44" s="132" t="s">
        <v>437</v>
      </c>
      <c r="B44" s="133"/>
      <c r="C44" s="133"/>
      <c r="D44" s="133"/>
      <c r="E44" s="133"/>
      <c r="F44" s="133"/>
      <c r="G44" s="420" t="s">
        <v>77</v>
      </c>
      <c r="H44" s="420"/>
      <c r="I44" s="420"/>
      <c r="J44" s="421">
        <v>0</v>
      </c>
      <c r="K44" s="421"/>
      <c r="L44" s="421"/>
    </row>
    <row r="45" spans="1:12" ht="30" customHeight="1">
      <c r="A45" s="411" t="s">
        <v>74</v>
      </c>
      <c r="B45" s="412"/>
      <c r="C45" s="412"/>
      <c r="D45" s="412"/>
      <c r="E45" s="134"/>
      <c r="F45" s="134"/>
      <c r="G45" s="420" t="s">
        <v>419</v>
      </c>
      <c r="H45" s="420"/>
      <c r="I45" s="420"/>
      <c r="J45" s="444">
        <f>SUM(J42+J43,0)</f>
        <v>3307264.2369500003</v>
      </c>
      <c r="K45" s="444"/>
      <c r="L45" s="444"/>
    </row>
    <row r="46" spans="1:12" ht="3" customHeight="1">
      <c r="A46" s="135"/>
      <c r="B46" s="136"/>
      <c r="C46" s="136"/>
      <c r="D46" s="136"/>
      <c r="E46" s="136"/>
      <c r="F46" s="137"/>
      <c r="G46" s="137"/>
      <c r="H46" s="225"/>
      <c r="I46" s="225"/>
      <c r="J46" s="138"/>
      <c r="K46" s="138"/>
      <c r="L46" s="139"/>
    </row>
    <row r="47" spans="1:12" ht="30" customHeight="1">
      <c r="A47" s="445" t="str">
        <f>[2]!SPELLNUMBER(J45)</f>
        <v xml:space="preserve">Rupees ThirtyThree Lakh Seven Thousand Two Hundred SixtyFour Paise TwentyFour Only </v>
      </c>
      <c r="B47" s="446"/>
      <c r="C47" s="446"/>
      <c r="D47" s="446"/>
      <c r="E47" s="446"/>
      <c r="F47" s="446"/>
      <c r="G47" s="446"/>
      <c r="H47" s="446"/>
      <c r="I47" s="446"/>
      <c r="J47" s="446"/>
      <c r="K47" s="446"/>
      <c r="L47" s="447"/>
    </row>
    <row r="48" spans="1:12" ht="30" customHeight="1">
      <c r="A48" s="441" t="s">
        <v>75</v>
      </c>
      <c r="B48" s="442"/>
      <c r="C48" s="442"/>
      <c r="D48" s="442"/>
      <c r="E48" s="442"/>
      <c r="F48" s="442"/>
      <c r="G48" s="442"/>
      <c r="H48" s="442"/>
      <c r="I48" s="442"/>
      <c r="J48" s="442"/>
      <c r="K48" s="442"/>
      <c r="L48" s="443"/>
    </row>
    <row r="49" spans="1:12" ht="30" customHeight="1">
      <c r="A49" s="106"/>
      <c r="B49" s="82"/>
      <c r="C49" s="82"/>
      <c r="D49" s="82"/>
      <c r="E49" s="82"/>
      <c r="F49" s="82"/>
      <c r="G49" s="426" t="s">
        <v>76</v>
      </c>
      <c r="H49" s="426"/>
      <c r="I49" s="426"/>
      <c r="J49" s="426"/>
      <c r="K49" s="426"/>
      <c r="L49" s="427"/>
    </row>
    <row r="50" spans="1:12" ht="39.95" customHeight="1">
      <c r="A50" s="106"/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107"/>
    </row>
    <row r="51" spans="1:12" ht="39.95" customHeight="1">
      <c r="A51" s="106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107"/>
    </row>
    <row r="52" spans="1:12" ht="39.95" customHeight="1">
      <c r="A52" s="106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107"/>
    </row>
    <row r="53" spans="1:12" ht="30" customHeight="1">
      <c r="A53" s="141"/>
      <c r="B53" s="142"/>
      <c r="C53" s="142"/>
      <c r="D53" s="142"/>
      <c r="E53" s="142"/>
      <c r="F53" s="142"/>
      <c r="G53" s="428" t="s">
        <v>70</v>
      </c>
      <c r="H53" s="428"/>
      <c r="I53" s="428"/>
      <c r="J53" s="428"/>
      <c r="K53" s="428"/>
      <c r="L53" s="429"/>
    </row>
    <row r="54" spans="1:12" ht="20.1" customHeight="1">
      <c r="A54" s="430"/>
      <c r="B54" s="431"/>
      <c r="C54" s="431"/>
      <c r="D54" s="431"/>
      <c r="E54" s="431"/>
      <c r="F54" s="431"/>
      <c r="G54" s="431"/>
      <c r="H54" s="431"/>
      <c r="I54" s="431"/>
      <c r="J54" s="431"/>
      <c r="K54" s="431"/>
      <c r="L54" s="432"/>
    </row>
    <row r="55" spans="1:12" ht="20.1" customHeight="1">
      <c r="A55" s="430"/>
      <c r="B55" s="431"/>
      <c r="C55" s="431"/>
      <c r="D55" s="431"/>
      <c r="E55" s="431"/>
      <c r="F55" s="431"/>
      <c r="G55" s="431"/>
      <c r="H55" s="431"/>
      <c r="I55" s="431"/>
      <c r="J55" s="431"/>
      <c r="K55" s="431"/>
      <c r="L55" s="432"/>
    </row>
    <row r="56" spans="1:12" ht="20.1" customHeight="1">
      <c r="A56" s="430"/>
      <c r="B56" s="431"/>
      <c r="C56" s="431"/>
      <c r="D56" s="431"/>
      <c r="E56" s="431"/>
      <c r="F56" s="431"/>
      <c r="G56" s="431"/>
      <c r="H56" s="431"/>
      <c r="I56" s="431"/>
      <c r="J56" s="431"/>
      <c r="K56" s="431"/>
      <c r="L56" s="432"/>
    </row>
    <row r="57" spans="1:12" ht="20.1" customHeight="1">
      <c r="A57" s="433"/>
      <c r="B57" s="434"/>
      <c r="C57" s="434"/>
      <c r="D57" s="434"/>
      <c r="E57" s="434"/>
      <c r="F57" s="434"/>
      <c r="G57" s="434"/>
      <c r="H57" s="434"/>
      <c r="I57" s="434"/>
      <c r="J57" s="434"/>
      <c r="K57" s="434"/>
      <c r="L57" s="435"/>
    </row>
    <row r="58" spans="1:12" ht="15">
      <c r="A58" s="436"/>
      <c r="B58" s="436"/>
      <c r="C58" s="436"/>
      <c r="D58" s="436"/>
      <c r="E58" s="436"/>
      <c r="F58" s="436"/>
      <c r="G58" s="400"/>
      <c r="H58" s="400"/>
      <c r="I58" s="400"/>
      <c r="J58" s="437"/>
      <c r="K58" s="437"/>
      <c r="L58" s="437"/>
    </row>
  </sheetData>
  <sheetProtection/>
  <mergeCells count="81">
    <mergeCell ref="B34:D34"/>
    <mergeCell ref="B35:D35"/>
    <mergeCell ref="A28:L28"/>
    <mergeCell ref="B29:D29"/>
    <mergeCell ref="B30:D30"/>
    <mergeCell ref="B31:D31"/>
    <mergeCell ref="B32:D32"/>
    <mergeCell ref="B33:D33"/>
    <mergeCell ref="B36:D36"/>
    <mergeCell ref="B37:D37"/>
    <mergeCell ref="B38:D38"/>
    <mergeCell ref="A48:L48"/>
    <mergeCell ref="G44:I44"/>
    <mergeCell ref="J44:L44"/>
    <mergeCell ref="A45:D45"/>
    <mergeCell ref="G45:I45"/>
    <mergeCell ref="J45:L45"/>
    <mergeCell ref="A47:L47"/>
    <mergeCell ref="G49:L49"/>
    <mergeCell ref="G53:L53"/>
    <mergeCell ref="A54:L57"/>
    <mergeCell ref="A58:F58"/>
    <mergeCell ref="G58:I58"/>
    <mergeCell ref="J58:L58"/>
    <mergeCell ref="B39:D39"/>
    <mergeCell ref="B40:D40"/>
    <mergeCell ref="A41:L41"/>
    <mergeCell ref="G42:I42"/>
    <mergeCell ref="J42:L42"/>
    <mergeCell ref="G43:I43"/>
    <mergeCell ref="J43:L43"/>
    <mergeCell ref="A25:B25"/>
    <mergeCell ref="C25:F25"/>
    <mergeCell ref="G25:H25"/>
    <mergeCell ref="I25:L25"/>
    <mergeCell ref="A26:B26"/>
    <mergeCell ref="C26:F26"/>
    <mergeCell ref="G26:H26"/>
    <mergeCell ref="I26:L26"/>
    <mergeCell ref="A23:B23"/>
    <mergeCell ref="C23:F23"/>
    <mergeCell ref="G23:H23"/>
    <mergeCell ref="I23:L23"/>
    <mergeCell ref="A24:B24"/>
    <mergeCell ref="C24:F24"/>
    <mergeCell ref="G24:H24"/>
    <mergeCell ref="I24:L24"/>
    <mergeCell ref="A21:B21"/>
    <mergeCell ref="C21:F21"/>
    <mergeCell ref="G21:H21"/>
    <mergeCell ref="I21:L21"/>
    <mergeCell ref="A22:B22"/>
    <mergeCell ref="C22:F22"/>
    <mergeCell ref="G22:H22"/>
    <mergeCell ref="I22:L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orientation="portrait" paperSize="9" scale="66" r:id="rId2"/>
  <ignoredErrors>
    <ignoredError sqref="I26" numberStoredAsText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1ED30C4-85FC-4F0F-BB03-434EA49AB9AB}">
  <sheetPr codeName="Sheet2">
    <pageSetUpPr fitToPage="1"/>
  </sheetPr>
  <dimension ref="A1:N47"/>
  <sheetViews>
    <sheetView view="pageBreakPreview" zoomScale="87" zoomScaleNormal="78" zoomScaleSheetLayoutView="87" workbookViewId="0" topLeftCell="A26">
      <selection pane="topLeft" activeCell="A29" sqref="A29"/>
    </sheetView>
  </sheetViews>
  <sheetFormatPr defaultColWidth="8.57366071428571" defaultRowHeight="15"/>
  <cols>
    <col min="1" max="1" width="8.57142857142857" style="102" customWidth="1"/>
    <col min="2" max="5" width="11.5714285714286" style="102" customWidth="1"/>
    <col min="6" max="10" width="12.5714285714286" style="102" customWidth="1"/>
    <col min="11" max="11" width="16.5714285714286" style="102" customWidth="1"/>
    <col min="12" max="12" width="8.57142857142857" style="34"/>
    <col min="13" max="14" width="13.4285714285714" style="34" bestFit="1" customWidth="1"/>
    <col min="15" max="16384" width="8.57142857142857" style="34"/>
  </cols>
  <sheetData>
    <row r="1" spans="1:11" ht="20.1" customHeight="1">
      <c r="A1" s="83"/>
      <c r="B1" s="84"/>
      <c r="C1" s="84"/>
      <c r="D1" s="84"/>
      <c r="E1" s="84"/>
      <c r="F1" s="84"/>
      <c r="G1" s="84"/>
      <c r="H1" s="84"/>
      <c r="I1" s="84"/>
      <c r="J1" s="84"/>
      <c r="K1" s="85"/>
    </row>
    <row r="2" spans="1:11" ht="20.1" customHeight="1">
      <c r="A2" s="86"/>
      <c r="B2" s="87"/>
      <c r="C2" s="87"/>
      <c r="D2" s="87"/>
      <c r="E2" s="87"/>
      <c r="F2" s="87"/>
      <c r="G2" s="87"/>
      <c r="H2" s="87"/>
      <c r="I2" s="87"/>
      <c r="J2" s="87"/>
      <c r="K2" s="88"/>
    </row>
    <row r="3" spans="1:11" ht="20.1" customHeight="1">
      <c r="A3" s="86"/>
      <c r="B3" s="87"/>
      <c r="C3" s="87"/>
      <c r="D3" s="87"/>
      <c r="E3" s="87"/>
      <c r="F3" s="87"/>
      <c r="G3" s="87"/>
      <c r="H3" s="87"/>
      <c r="I3" s="87"/>
      <c r="J3" s="87"/>
      <c r="K3" s="88"/>
    </row>
    <row r="4" spans="1:11" ht="20.1" customHeight="1">
      <c r="A4" s="86"/>
      <c r="B4" s="87"/>
      <c r="C4" s="87"/>
      <c r="D4" s="87"/>
      <c r="E4" s="87"/>
      <c r="F4" s="87"/>
      <c r="G4" s="87"/>
      <c r="H4" s="87"/>
      <c r="I4" s="87"/>
      <c r="J4" s="87"/>
      <c r="K4" s="88"/>
    </row>
    <row r="5" spans="1:11" ht="20.1" customHeight="1">
      <c r="A5" s="86"/>
      <c r="B5" s="87"/>
      <c r="C5" s="87"/>
      <c r="D5" s="87"/>
      <c r="E5" s="87"/>
      <c r="F5" s="87"/>
      <c r="G5" s="87"/>
      <c r="H5" s="87"/>
      <c r="I5" s="87"/>
      <c r="J5" s="87"/>
      <c r="K5" s="88"/>
    </row>
    <row r="6" spans="1:11" ht="20.1" customHeight="1">
      <c r="A6" s="86"/>
      <c r="B6" s="87"/>
      <c r="C6" s="87"/>
      <c r="D6" s="87"/>
      <c r="E6" s="87"/>
      <c r="F6" s="87"/>
      <c r="G6" s="87"/>
      <c r="H6" s="87"/>
      <c r="I6" s="87"/>
      <c r="J6" s="87"/>
      <c r="K6" s="88"/>
    </row>
    <row r="7" spans="1:11" ht="20.1" customHeight="1">
      <c r="A7" s="86"/>
      <c r="B7" s="87"/>
      <c r="C7" s="87"/>
      <c r="D7" s="87"/>
      <c r="E7" s="87"/>
      <c r="F7" s="87"/>
      <c r="G7" s="87"/>
      <c r="H7" s="87"/>
      <c r="I7" s="87"/>
      <c r="J7" s="87"/>
      <c r="K7" s="88"/>
    </row>
    <row r="8" spans="1:11" ht="20.1" customHeight="1">
      <c r="A8" s="89"/>
      <c r="B8" s="90"/>
      <c r="C8" s="90"/>
      <c r="D8" s="90"/>
      <c r="E8" s="90"/>
      <c r="F8" s="90"/>
      <c r="G8" s="90"/>
      <c r="H8" s="90"/>
      <c r="I8" s="90"/>
      <c r="J8" s="90"/>
      <c r="K8" s="91"/>
    </row>
    <row r="9" spans="1:11" ht="24.95" customHeight="1">
      <c r="A9" s="465" t="s">
        <v>85</v>
      </c>
      <c r="B9" s="465"/>
      <c r="C9" s="465"/>
      <c r="D9" s="465"/>
      <c r="E9" s="465"/>
      <c r="F9" s="465"/>
      <c r="G9" s="465"/>
      <c r="H9" s="465"/>
      <c r="I9" s="465"/>
      <c r="J9" s="465"/>
      <c r="K9" s="465"/>
    </row>
    <row r="10" spans="1:11" ht="24.95" customHeight="1">
      <c r="A10" s="465" t="str">
        <f>'Working Sheet'!$D$9</f>
        <v>RA BILL NO-20</v>
      </c>
      <c r="B10" s="465"/>
      <c r="C10" s="465"/>
      <c r="D10" s="465"/>
      <c r="E10" s="465"/>
      <c r="F10" s="465"/>
      <c r="G10" s="465"/>
      <c r="H10" s="465"/>
      <c r="I10" s="465"/>
      <c r="J10" s="465"/>
      <c r="K10" s="465"/>
    </row>
    <row r="11" spans="1:11" ht="30" customHeight="1">
      <c r="A11" s="457" t="s">
        <v>45</v>
      </c>
      <c r="B11" s="457"/>
      <c r="C11" s="457"/>
      <c r="D11" s="457"/>
      <c r="E11" s="457"/>
      <c r="F11" s="471" t="s">
        <v>84</v>
      </c>
      <c r="G11" s="472"/>
      <c r="H11" s="472"/>
      <c r="I11" s="472"/>
      <c r="J11" s="472"/>
      <c r="K11" s="473"/>
    </row>
    <row r="12" spans="1:11" s="31" customFormat="1" ht="38.25" customHeight="1">
      <c r="A12" s="457" t="s">
        <v>46</v>
      </c>
      <c r="B12" s="457"/>
      <c r="C12" s="457"/>
      <c r="D12" s="457"/>
      <c r="E12" s="457"/>
      <c r="F12" s="470" t="s">
        <v>128</v>
      </c>
      <c r="G12" s="470"/>
      <c r="H12" s="470"/>
      <c r="I12" s="470"/>
      <c r="J12" s="470"/>
      <c r="K12" s="470"/>
    </row>
    <row r="13" spans="1:11" s="31" customFormat="1" ht="30" customHeight="1">
      <c r="A13" s="457" t="s">
        <v>47</v>
      </c>
      <c r="B13" s="457"/>
      <c r="C13" s="457"/>
      <c r="D13" s="457"/>
      <c r="E13" s="457"/>
      <c r="F13" s="457" t="s">
        <v>125</v>
      </c>
      <c r="G13" s="457"/>
      <c r="H13" s="457"/>
      <c r="I13" s="457"/>
      <c r="J13" s="457"/>
      <c r="K13" s="457"/>
    </row>
    <row r="14" spans="1:11" s="31" customFormat="1" ht="30" customHeight="1">
      <c r="A14" s="457" t="s">
        <v>48</v>
      </c>
      <c r="B14" s="457"/>
      <c r="C14" s="457"/>
      <c r="D14" s="457"/>
      <c r="E14" s="457"/>
      <c r="F14" s="466" t="s">
        <v>73</v>
      </c>
      <c r="G14" s="466"/>
      <c r="H14" s="466"/>
      <c r="I14" s="466"/>
      <c r="J14" s="466"/>
      <c r="K14" s="466"/>
    </row>
    <row r="15" spans="1:11" s="31" customFormat="1" ht="30" customHeight="1">
      <c r="A15" s="457" t="s">
        <v>49</v>
      </c>
      <c r="B15" s="457"/>
      <c r="C15" s="457"/>
      <c r="D15" s="457"/>
      <c r="E15" s="457"/>
      <c r="F15" s="466" t="s">
        <v>126</v>
      </c>
      <c r="G15" s="466"/>
      <c r="H15" s="466"/>
      <c r="I15" s="466"/>
      <c r="J15" s="466"/>
      <c r="K15" s="466"/>
    </row>
    <row r="16" spans="1:11" s="31" customFormat="1" ht="30" customHeight="1">
      <c r="A16" s="457" t="s">
        <v>50</v>
      </c>
      <c r="B16" s="457"/>
      <c r="C16" s="457"/>
      <c r="D16" s="457"/>
      <c r="E16" s="457"/>
      <c r="F16" s="479" t="s">
        <v>407</v>
      </c>
      <c r="G16" s="479"/>
      <c r="H16" s="479"/>
      <c r="I16" s="479"/>
      <c r="J16" s="479"/>
      <c r="K16" s="479"/>
    </row>
    <row r="17" spans="1:11" s="31" customFormat="1" ht="30" customHeight="1">
      <c r="A17" s="478" t="s">
        <v>51</v>
      </c>
      <c r="B17" s="478"/>
      <c r="C17" s="478"/>
      <c r="D17" s="478"/>
      <c r="E17" s="478"/>
      <c r="F17" s="457" t="str">
        <f>'Working Sheet'!$D$9</f>
        <v>RA BILL NO-20</v>
      </c>
      <c r="G17" s="457"/>
      <c r="H17" s="457"/>
      <c r="I17" s="457"/>
      <c r="J17" s="457"/>
      <c r="K17" s="457"/>
    </row>
    <row r="18" spans="1:11" s="31" customFormat="1" ht="30" customHeight="1">
      <c r="A18" s="457" t="s">
        <v>52</v>
      </c>
      <c r="B18" s="457"/>
      <c r="C18" s="457"/>
      <c r="D18" s="457"/>
      <c r="E18" s="457"/>
      <c r="F18" s="480" t="str">
        <f>'Working Sheet'!$C$5&amp;" BILL FOR THE MONTH OF "&amp;'Working Sheet'!$C$7</f>
        <v>01-10-2025 TO 31-10-2025 BILL FOR THE MONTH OF OCTOBER-2025</v>
      </c>
      <c r="G18" s="481"/>
      <c r="H18" s="481"/>
      <c r="I18" s="481"/>
      <c r="J18" s="481"/>
      <c r="K18" s="482"/>
    </row>
    <row r="19" spans="1:11" s="31" customFormat="1" ht="5.1" customHeight="1">
      <c r="A19" s="461"/>
      <c r="B19" s="459"/>
      <c r="C19" s="459"/>
      <c r="D19" s="459"/>
      <c r="E19" s="459"/>
      <c r="F19" s="459"/>
      <c r="G19" s="459"/>
      <c r="H19" s="459"/>
      <c r="I19" s="459"/>
      <c r="J19" s="459"/>
      <c r="K19" s="460"/>
    </row>
    <row r="20" spans="1:11" ht="30" customHeight="1">
      <c r="A20" s="92" t="s">
        <v>86</v>
      </c>
      <c r="B20" s="467" t="s">
        <v>83</v>
      </c>
      <c r="C20" s="468"/>
      <c r="D20" s="468"/>
      <c r="E20" s="469"/>
      <c r="F20" s="474" t="s">
        <v>53</v>
      </c>
      <c r="G20" s="475"/>
      <c r="H20" s="476" t="s">
        <v>54</v>
      </c>
      <c r="I20" s="477"/>
      <c r="J20" s="476" t="s">
        <v>55</v>
      </c>
      <c r="K20" s="477"/>
    </row>
    <row r="21" spans="1:14" ht="30" customHeight="1">
      <c r="A21" s="93">
        <v>1</v>
      </c>
      <c r="B21" s="470" t="s">
        <v>56</v>
      </c>
      <c r="C21" s="470"/>
      <c r="D21" s="470"/>
      <c r="E21" s="470"/>
      <c r="F21" s="483">
        <v>53824246.156000003</v>
      </c>
      <c r="G21" s="484"/>
      <c r="H21" s="485">
        <f>AOC!K44</f>
        <v>2802766.3025000002</v>
      </c>
      <c r="I21" s="486"/>
      <c r="J21" s="487">
        <f t="shared" si="0" ref="J21:J26">F21+H21</f>
        <v>56627012.458500005</v>
      </c>
      <c r="K21" s="487"/>
      <c r="N21" s="238"/>
    </row>
    <row r="22" spans="1:14" ht="30" customHeight="1">
      <c r="A22" s="93">
        <v>2</v>
      </c>
      <c r="B22" s="488" t="s">
        <v>62</v>
      </c>
      <c r="C22" s="489"/>
      <c r="D22" s="489"/>
      <c r="E22" s="490"/>
      <c r="F22" s="483">
        <v>9688364.30308</v>
      </c>
      <c r="G22" s="484"/>
      <c r="H22" s="491">
        <f>H21*18%</f>
        <v>504497.93445</v>
      </c>
      <c r="I22" s="492"/>
      <c r="J22" s="487">
        <f t="shared" si="0"/>
        <v>10192862.237530001</v>
      </c>
      <c r="K22" s="487"/>
      <c r="N22" s="238"/>
    </row>
    <row r="23" spans="1:14" ht="30" customHeight="1">
      <c r="A23" s="93">
        <v>3</v>
      </c>
      <c r="B23" s="457" t="s">
        <v>57</v>
      </c>
      <c r="C23" s="457"/>
      <c r="D23" s="457"/>
      <c r="E23" s="457"/>
      <c r="F23" s="483">
        <v>63512610.469080001</v>
      </c>
      <c r="G23" s="484"/>
      <c r="H23" s="491">
        <f>SUM(H21:I22)</f>
        <v>3307264.2369500003</v>
      </c>
      <c r="I23" s="492"/>
      <c r="J23" s="487">
        <f t="shared" si="0"/>
        <v>66819874.706030004</v>
      </c>
      <c r="K23" s="487"/>
      <c r="N23" s="238"/>
    </row>
    <row r="24" spans="1:14" ht="30" customHeight="1">
      <c r="A24" s="93">
        <v>4</v>
      </c>
      <c r="B24" s="457" t="s">
        <v>116</v>
      </c>
      <c r="C24" s="457"/>
      <c r="D24" s="457"/>
      <c r="E24" s="457"/>
      <c r="F24" s="493">
        <v>1076484.91812</v>
      </c>
      <c r="G24" s="494"/>
      <c r="H24" s="485">
        <f>H21*2%</f>
        <v>56055.326050000003</v>
      </c>
      <c r="I24" s="486"/>
      <c r="J24" s="487">
        <f t="shared" si="0"/>
        <v>1132540.2441700001</v>
      </c>
      <c r="K24" s="487"/>
      <c r="N24" s="238"/>
    </row>
    <row r="25" spans="1:14" ht="30" customHeight="1">
      <c r="A25" s="93">
        <v>5</v>
      </c>
      <c r="B25" s="488" t="s">
        <v>82</v>
      </c>
      <c r="C25" s="489"/>
      <c r="D25" s="489"/>
      <c r="E25" s="490"/>
      <c r="F25" s="493">
        <v>1076484.91812</v>
      </c>
      <c r="G25" s="494"/>
      <c r="H25" s="491">
        <f>H21*2%</f>
        <v>56055.326050000003</v>
      </c>
      <c r="I25" s="492"/>
      <c r="J25" s="487">
        <f t="shared" si="0"/>
        <v>1132540.2441700001</v>
      </c>
      <c r="K25" s="487"/>
      <c r="N25" s="238"/>
    </row>
    <row r="26" spans="1:14" ht="30" customHeight="1">
      <c r="A26" s="93">
        <v>6</v>
      </c>
      <c r="B26" s="488" t="s">
        <v>58</v>
      </c>
      <c r="C26" s="489"/>
      <c r="D26" s="489"/>
      <c r="E26" s="490"/>
      <c r="F26" s="483">
        <v>0</v>
      </c>
      <c r="G26" s="484"/>
      <c r="H26" s="491">
        <v>0</v>
      </c>
      <c r="I26" s="492"/>
      <c r="J26" s="487">
        <f t="shared" si="0"/>
        <v>0</v>
      </c>
      <c r="K26" s="487"/>
      <c r="N26" s="238"/>
    </row>
    <row r="27" spans="1:14" ht="30" customHeight="1">
      <c r="A27" s="93">
        <v>7</v>
      </c>
      <c r="B27" s="457" t="s">
        <v>59</v>
      </c>
      <c r="C27" s="457"/>
      <c r="D27" s="457"/>
      <c r="E27" s="457"/>
      <c r="F27" s="502">
        <v>61359640.63284</v>
      </c>
      <c r="G27" s="503"/>
      <c r="H27" s="504">
        <f>H23-(H24+H25)</f>
        <v>3195153.5848500002</v>
      </c>
      <c r="I27" s="505"/>
      <c r="J27" s="502">
        <f>J23-(J24+J25)</f>
        <v>64554794.217690006</v>
      </c>
      <c r="K27" s="503"/>
      <c r="N27" s="238"/>
    </row>
    <row r="28" spans="1:11" ht="30" customHeight="1">
      <c r="A28" s="495" t="str">
        <f>[2]!SPELLNUMBER(H27)</f>
        <v xml:space="preserve">Rupees ThirtyOne Lakh NinetyFive Thousand One Hundred FiftyThree Paise FiftyEight Only </v>
      </c>
      <c r="B28" s="496"/>
      <c r="C28" s="496"/>
      <c r="D28" s="496"/>
      <c r="E28" s="496"/>
      <c r="F28" s="496"/>
      <c r="G28" s="496"/>
      <c r="H28" s="496"/>
      <c r="I28" s="496"/>
      <c r="J28" s="496"/>
      <c r="K28" s="497"/>
    </row>
    <row r="29" spans="1:11" ht="20.1" customHeight="1">
      <c r="A29" s="94">
        <v>1</v>
      </c>
      <c r="B29" s="498" t="s">
        <v>80</v>
      </c>
      <c r="C29" s="498"/>
      <c r="D29" s="498"/>
      <c r="E29" s="498"/>
      <c r="F29" s="498"/>
      <c r="G29" s="498"/>
      <c r="H29" s="498"/>
      <c r="I29" s="498"/>
      <c r="J29" s="498"/>
      <c r="K29" s="499"/>
    </row>
    <row r="30" spans="1:11" ht="20.1" customHeight="1">
      <c r="A30" s="95">
        <v>2</v>
      </c>
      <c r="B30" s="498" t="s">
        <v>418</v>
      </c>
      <c r="C30" s="498"/>
      <c r="D30" s="498"/>
      <c r="E30" s="498"/>
      <c r="F30" s="498"/>
      <c r="G30" s="498"/>
      <c r="H30" s="498"/>
      <c r="I30" s="498"/>
      <c r="J30" s="498"/>
      <c r="K30" s="499"/>
    </row>
    <row r="31" spans="1:11" ht="20.1" customHeight="1">
      <c r="A31" s="95">
        <v>3</v>
      </c>
      <c r="B31" s="500" t="s">
        <v>81</v>
      </c>
      <c r="C31" s="500"/>
      <c r="D31" s="500"/>
      <c r="E31" s="500"/>
      <c r="F31" s="500"/>
      <c r="G31" s="500"/>
      <c r="H31" s="500"/>
      <c r="I31" s="500"/>
      <c r="J31" s="500"/>
      <c r="K31" s="501"/>
    </row>
    <row r="32" spans="1:11" ht="20.1" customHeight="1">
      <c r="A32" s="95">
        <v>4</v>
      </c>
      <c r="B32" s="500" t="s">
        <v>60</v>
      </c>
      <c r="C32" s="500"/>
      <c r="D32" s="500"/>
      <c r="E32" s="500"/>
      <c r="F32" s="500"/>
      <c r="G32" s="500"/>
      <c r="H32" s="500"/>
      <c r="I32" s="500"/>
      <c r="J32" s="500"/>
      <c r="K32" s="501"/>
    </row>
    <row r="33" spans="1:11" ht="24.95" customHeight="1">
      <c r="A33" s="93" t="s">
        <v>61</v>
      </c>
      <c r="B33" s="461" t="s">
        <v>117</v>
      </c>
      <c r="C33" s="459"/>
      <c r="D33" s="459"/>
      <c r="E33" s="459"/>
      <c r="F33" s="460"/>
      <c r="G33" s="461" t="s">
        <v>443</v>
      </c>
      <c r="H33" s="459"/>
      <c r="I33" s="459"/>
      <c r="J33" s="459"/>
      <c r="K33" s="460"/>
    </row>
    <row r="34" spans="1:11" ht="30" customHeight="1">
      <c r="A34" s="96"/>
      <c r="B34" s="97"/>
      <c r="C34" s="97"/>
      <c r="D34" s="97"/>
      <c r="E34" s="97"/>
      <c r="F34" s="97"/>
      <c r="G34" s="97"/>
      <c r="H34" s="97"/>
      <c r="I34" s="97"/>
      <c r="J34" s="97"/>
      <c r="K34" s="98"/>
    </row>
    <row r="35" spans="1:11" ht="33.75" customHeight="1">
      <c r="A35" s="99"/>
      <c r="B35" s="100"/>
      <c r="C35" s="100"/>
      <c r="D35" s="100"/>
      <c r="E35" s="100"/>
      <c r="F35" s="100"/>
      <c r="G35" s="100"/>
      <c r="H35" s="100"/>
      <c r="I35" s="100"/>
      <c r="J35" s="100"/>
      <c r="K35" s="101"/>
    </row>
    <row r="36" spans="1:11" ht="24.95" customHeight="1">
      <c r="A36" s="93" t="s">
        <v>29</v>
      </c>
      <c r="B36" s="462" t="s">
        <v>449</v>
      </c>
      <c r="C36" s="463"/>
      <c r="D36" s="463"/>
      <c r="E36" s="463"/>
      <c r="F36" s="464"/>
      <c r="G36" s="462" t="s">
        <v>448</v>
      </c>
      <c r="H36" s="463"/>
      <c r="I36" s="463"/>
      <c r="J36" s="463"/>
      <c r="K36" s="464"/>
    </row>
    <row r="37" spans="1:11" ht="24.95" customHeight="1">
      <c r="A37" s="93" t="s">
        <v>1</v>
      </c>
      <c r="B37" s="458">
        <f>'Working Sheet'!$C$10</f>
        <v>45727</v>
      </c>
      <c r="C37" s="459"/>
      <c r="D37" s="459"/>
      <c r="E37" s="459"/>
      <c r="F37" s="460"/>
      <c r="G37" s="458">
        <f>B37</f>
        <v>45727</v>
      </c>
      <c r="H37" s="459"/>
      <c r="I37" s="459"/>
      <c r="J37" s="459"/>
      <c r="K37" s="460"/>
    </row>
    <row r="38" ht="24.75" customHeight="1"/>
    <row r="46" spans="10:10" ht="15">
      <c r="J46" s="103"/>
    </row>
    <row r="47" spans="12:12" s="102" customFormat="1" ht="15">
      <c r="L47" s="34"/>
    </row>
  </sheetData>
  <sheetProtection/>
  <mergeCells count="62">
    <mergeCell ref="B33:F33"/>
    <mergeCell ref="B25:E25"/>
    <mergeCell ref="F25:G25"/>
    <mergeCell ref="H25:I25"/>
    <mergeCell ref="J25:K25"/>
    <mergeCell ref="B36:F36"/>
    <mergeCell ref="B27:E27"/>
    <mergeCell ref="F27:G27"/>
    <mergeCell ref="H27:I27"/>
    <mergeCell ref="J27:K27"/>
    <mergeCell ref="A28:K28"/>
    <mergeCell ref="B29:K29"/>
    <mergeCell ref="B30:K30"/>
    <mergeCell ref="B31:K31"/>
    <mergeCell ref="B32:K32"/>
    <mergeCell ref="B26:E26"/>
    <mergeCell ref="F26:G26"/>
    <mergeCell ref="H26:I26"/>
    <mergeCell ref="J26:K26"/>
    <mergeCell ref="B23:E23"/>
    <mergeCell ref="F23:G23"/>
    <mergeCell ref="H23:I23"/>
    <mergeCell ref="J23:K23"/>
    <mergeCell ref="B24:E24"/>
    <mergeCell ref="F24:G24"/>
    <mergeCell ref="H24:I24"/>
    <mergeCell ref="J24:K24"/>
    <mergeCell ref="B21:E21"/>
    <mergeCell ref="F21:G21"/>
    <mergeCell ref="H21:I21"/>
    <mergeCell ref="J21:K21"/>
    <mergeCell ref="B22:E22"/>
    <mergeCell ref="F22:G22"/>
    <mergeCell ref="H22:I22"/>
    <mergeCell ref="J22:K22"/>
    <mergeCell ref="F20:G20"/>
    <mergeCell ref="H20:I20"/>
    <mergeCell ref="J20:K20"/>
    <mergeCell ref="A16:E16"/>
    <mergeCell ref="A17:E17"/>
    <mergeCell ref="A18:E18"/>
    <mergeCell ref="F16:K16"/>
    <mergeCell ref="F17:K17"/>
    <mergeCell ref="A19:K19"/>
    <mergeCell ref="F18:K18"/>
    <mergeCell ref="A9:K9"/>
    <mergeCell ref="F12:K12"/>
    <mergeCell ref="A11:E11"/>
    <mergeCell ref="A12:E12"/>
    <mergeCell ref="A13:E13"/>
    <mergeCell ref="A14:E14"/>
    <mergeCell ref="F11:K11"/>
    <mergeCell ref="A15:E15"/>
    <mergeCell ref="B37:F37"/>
    <mergeCell ref="G33:K33"/>
    <mergeCell ref="G36:K36"/>
    <mergeCell ref="G37:K37"/>
    <mergeCell ref="A10:K10"/>
    <mergeCell ref="F13:K13"/>
    <mergeCell ref="F14:K14"/>
    <mergeCell ref="F15:K15"/>
    <mergeCell ref="B20:E20"/>
  </mergeCells>
  <printOptions horizontalCentered="1"/>
  <pageMargins left="0.25" right="0.25" top="0.3" bottom="0.28" header="0.3" footer="0.3"/>
  <pageSetup orientation="portrait" paperSize="1" scale="77" r:id="rId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52EB459-CEC0-4365-82CB-9105D38DB9AB}">
  <sheetPr codeName="Sheet3">
    <pageSetUpPr fitToPage="1"/>
  </sheetPr>
  <dimension ref="A1:R50"/>
  <sheetViews>
    <sheetView tabSelected="1" view="pageBreakPreview" zoomScaleNormal="100" zoomScaleSheetLayoutView="100" workbookViewId="0" topLeftCell="A1">
      <selection pane="topLeft" activeCell="H44" sqref="H44:J46"/>
    </sheetView>
  </sheetViews>
  <sheetFormatPr defaultColWidth="8.57366071428571" defaultRowHeight="12.75"/>
  <cols>
    <col min="1" max="2" width="8.57142857142857" style="34" customWidth="1"/>
    <col min="3" max="3" width="73.5714285714286" style="34" customWidth="1"/>
    <col min="4" max="13" width="14.5714285714286" style="34" customWidth="1"/>
    <col min="14" max="14" width="16.8571428571429" style="34" customWidth="1"/>
    <col min="15" max="15" width="8.57142857142857" style="34"/>
    <col min="16" max="16" width="10.8571428571429" style="34" bestFit="1" customWidth="1"/>
    <col min="17" max="17" width="8.57142857142857" style="34"/>
    <col min="18" max="18" width="9.42857142857143" style="34" bestFit="1" customWidth="1"/>
    <col min="19" max="16384" width="8.57142857142857" style="34"/>
  </cols>
  <sheetData>
    <row r="1" spans="1:14" ht="15.75">
      <c r="A1" s="557" t="s">
        <v>115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  <c r="L1" s="558"/>
      <c r="M1" s="559"/>
      <c r="N1" s="223"/>
    </row>
    <row r="2" spans="1:14" ht="15.75">
      <c r="A2" s="555" t="s">
        <v>87</v>
      </c>
      <c r="B2" s="555"/>
      <c r="C2" s="555"/>
      <c r="D2" s="226" t="s">
        <v>88</v>
      </c>
      <c r="E2" s="555" t="str">
        <f>'Working Sheet'!C6</f>
        <v xml:space="preserve"> SSI/1207</v>
      </c>
      <c r="F2" s="555"/>
      <c r="G2" s="555"/>
      <c r="H2" s="555"/>
      <c r="I2" s="555"/>
      <c r="J2" s="555"/>
      <c r="K2" s="555"/>
      <c r="L2" s="555"/>
      <c r="M2" s="555"/>
      <c r="N2" s="223"/>
    </row>
    <row r="3" spans="1:14" ht="15.75">
      <c r="A3" s="555" t="s">
        <v>89</v>
      </c>
      <c r="B3" s="555"/>
      <c r="C3" s="555"/>
      <c r="D3" s="227" t="s">
        <v>88</v>
      </c>
      <c r="E3" s="543">
        <f>'Working Sheet'!C8</f>
        <v>45964</v>
      </c>
      <c r="F3" s="544"/>
      <c r="G3" s="544"/>
      <c r="H3" s="544"/>
      <c r="I3" s="544"/>
      <c r="J3" s="544"/>
      <c r="K3" s="544"/>
      <c r="L3" s="544"/>
      <c r="M3" s="545"/>
      <c r="N3" s="223"/>
    </row>
    <row r="4" spans="1:14" ht="15.75">
      <c r="A4" s="555" t="s">
        <v>90</v>
      </c>
      <c r="B4" s="555"/>
      <c r="C4" s="555"/>
      <c r="D4" s="228" t="s">
        <v>88</v>
      </c>
      <c r="E4" s="546" t="str">
        <f>'Working Sheet'!C5</f>
        <v>01-10-2025 TO 31-10-2025</v>
      </c>
      <c r="F4" s="547"/>
      <c r="G4" s="547"/>
      <c r="H4" s="547"/>
      <c r="I4" s="547"/>
      <c r="J4" s="547"/>
      <c r="K4" s="547"/>
      <c r="L4" s="547"/>
      <c r="M4" s="548"/>
      <c r="N4" s="223"/>
    </row>
    <row r="5" spans="1:14" ht="15.75">
      <c r="A5" s="555" t="s">
        <v>91</v>
      </c>
      <c r="B5" s="555"/>
      <c r="C5" s="555"/>
      <c r="D5" s="228" t="s">
        <v>88</v>
      </c>
      <c r="E5" s="546" t="s">
        <v>119</v>
      </c>
      <c r="F5" s="547"/>
      <c r="G5" s="547"/>
      <c r="H5" s="547"/>
      <c r="I5" s="547"/>
      <c r="J5" s="547"/>
      <c r="K5" s="547"/>
      <c r="L5" s="547"/>
      <c r="M5" s="548"/>
      <c r="N5" s="223"/>
    </row>
    <row r="6" spans="1:14" ht="15.75">
      <c r="A6" s="555" t="s">
        <v>92</v>
      </c>
      <c r="B6" s="555"/>
      <c r="C6" s="555"/>
      <c r="D6" s="228" t="s">
        <v>88</v>
      </c>
      <c r="E6" s="549">
        <v>45350</v>
      </c>
      <c r="F6" s="550"/>
      <c r="G6" s="550"/>
      <c r="H6" s="550"/>
      <c r="I6" s="550"/>
      <c r="J6" s="550"/>
      <c r="K6" s="550"/>
      <c r="L6" s="550"/>
      <c r="M6" s="551"/>
      <c r="N6" s="223"/>
    </row>
    <row r="7" spans="1:14" ht="15.75">
      <c r="A7" s="555" t="s">
        <v>93</v>
      </c>
      <c r="B7" s="555"/>
      <c r="C7" s="555"/>
      <c r="D7" s="228" t="s">
        <v>88</v>
      </c>
      <c r="E7" s="546" t="s">
        <v>120</v>
      </c>
      <c r="F7" s="547"/>
      <c r="G7" s="547"/>
      <c r="H7" s="547"/>
      <c r="I7" s="547"/>
      <c r="J7" s="547"/>
      <c r="K7" s="547"/>
      <c r="L7" s="547"/>
      <c r="M7" s="548"/>
      <c r="N7" s="223"/>
    </row>
    <row r="8" spans="1:14" ht="15.75">
      <c r="A8" s="555" t="s">
        <v>402</v>
      </c>
      <c r="B8" s="555"/>
      <c r="C8" s="555"/>
      <c r="D8" s="228" t="s">
        <v>88</v>
      </c>
      <c r="E8" s="552">
        <v>11004612</v>
      </c>
      <c r="F8" s="553"/>
      <c r="G8" s="553"/>
      <c r="H8" s="553"/>
      <c r="I8" s="553"/>
      <c r="J8" s="553"/>
      <c r="K8" s="553"/>
      <c r="L8" s="553"/>
      <c r="M8" s="554"/>
      <c r="N8" s="223"/>
    </row>
    <row r="9" spans="1:14" ht="15.75">
      <c r="A9" s="520" t="s">
        <v>129</v>
      </c>
      <c r="B9" s="521"/>
      <c r="C9" s="521"/>
      <c r="D9" s="521"/>
      <c r="E9" s="521"/>
      <c r="F9" s="521"/>
      <c r="G9" s="521"/>
      <c r="H9" s="521"/>
      <c r="I9" s="521"/>
      <c r="J9" s="521"/>
      <c r="K9" s="521"/>
      <c r="L9" s="521"/>
      <c r="M9" s="522"/>
      <c r="N9" s="223"/>
    </row>
    <row r="10" spans="1:14" ht="50.1" customHeight="1">
      <c r="A10" s="538" t="s">
        <v>94</v>
      </c>
      <c r="B10" s="517" t="s">
        <v>95</v>
      </c>
      <c r="C10" s="518" t="s">
        <v>96</v>
      </c>
      <c r="D10" s="513" t="s">
        <v>97</v>
      </c>
      <c r="E10" s="514"/>
      <c r="F10" s="514"/>
      <c r="G10" s="515"/>
      <c r="H10" s="513" t="s">
        <v>371</v>
      </c>
      <c r="I10" s="515"/>
      <c r="J10" s="513" t="s">
        <v>98</v>
      </c>
      <c r="K10" s="515"/>
      <c r="L10" s="513" t="s">
        <v>438</v>
      </c>
      <c r="M10" s="516"/>
      <c r="N10" s="223"/>
    </row>
    <row r="11" spans="1:14" ht="50.1" customHeight="1">
      <c r="A11" s="539"/>
      <c r="B11" s="515"/>
      <c r="C11" s="519"/>
      <c r="D11" s="143" t="s">
        <v>99</v>
      </c>
      <c r="E11" s="143" t="s">
        <v>100</v>
      </c>
      <c r="F11" s="143" t="s">
        <v>39</v>
      </c>
      <c r="G11" s="143" t="s">
        <v>398</v>
      </c>
      <c r="H11" s="143" t="s">
        <v>100</v>
      </c>
      <c r="I11" s="143" t="s">
        <v>40</v>
      </c>
      <c r="J11" s="143" t="s">
        <v>100</v>
      </c>
      <c r="K11" s="143" t="s">
        <v>40</v>
      </c>
      <c r="L11" s="143" t="s">
        <v>100</v>
      </c>
      <c r="M11" s="144" t="s">
        <v>40</v>
      </c>
      <c r="N11" s="223"/>
    </row>
    <row r="12" spans="1:16" ht="15">
      <c r="A12" s="145">
        <v>1</v>
      </c>
      <c r="B12" s="146"/>
      <c r="C12" s="147" t="s">
        <v>412</v>
      </c>
      <c r="D12" s="143"/>
      <c r="E12" s="148">
        <v>1</v>
      </c>
      <c r="F12" s="143"/>
      <c r="G12" s="143"/>
      <c r="H12" s="143"/>
      <c r="I12" s="143"/>
      <c r="J12" s="143"/>
      <c r="K12" s="143"/>
      <c r="L12" s="143"/>
      <c r="M12" s="144"/>
      <c r="N12" s="223"/>
      <c r="P12" s="34">
        <v>516567.43049999996</v>
      </c>
    </row>
    <row r="13" spans="1:18" ht="120.95" customHeight="1">
      <c r="A13" s="149"/>
      <c r="B13" s="150">
        <v>10</v>
      </c>
      <c r="C13" s="151" t="s">
        <v>434</v>
      </c>
      <c r="D13" s="152" t="s">
        <v>121</v>
      </c>
      <c r="E13" s="153">
        <v>2190</v>
      </c>
      <c r="F13" s="154">
        <v>4807</v>
      </c>
      <c r="G13" s="154">
        <f>E13*F13</f>
        <v>10527330</v>
      </c>
      <c r="H13" s="290">
        <v>2199.0002500000001</v>
      </c>
      <c r="I13" s="154">
        <f>H13*F13</f>
        <v>10570594.201750001</v>
      </c>
      <c r="J13" s="156">
        <f>MB_COMBINED!J43</f>
        <v>99.854500000000002</v>
      </c>
      <c r="K13" s="157">
        <f>J13*F13</f>
        <v>480000.58150000003</v>
      </c>
      <c r="L13" s="155">
        <f>H13+J13</f>
        <v>2298.85475</v>
      </c>
      <c r="M13" s="158">
        <f>I13+K13</f>
        <v>11050594.78325</v>
      </c>
      <c r="N13" s="223"/>
      <c r="O13" s="34">
        <v>980.25024999999994</v>
      </c>
      <c r="R13" s="296"/>
    </row>
    <row r="14" spans="1:18" ht="120">
      <c r="A14" s="149"/>
      <c r="B14" s="150">
        <v>20</v>
      </c>
      <c r="C14" s="151" t="s">
        <v>413</v>
      </c>
      <c r="D14" s="152" t="s">
        <v>121</v>
      </c>
      <c r="E14" s="153">
        <v>684</v>
      </c>
      <c r="F14" s="154">
        <v>13317</v>
      </c>
      <c r="G14" s="154">
        <f t="shared" si="0" ref="G14:G19">E14*F14</f>
        <v>9108828</v>
      </c>
      <c r="H14" s="290">
        <v>138.27475000000001</v>
      </c>
      <c r="I14" s="154">
        <f t="shared" si="1" ref="I14:I19">H14*F14</f>
        <v>1841404.8457500001</v>
      </c>
      <c r="J14" s="156">
        <f>MB_COMBINED!M43</f>
        <v>5.2120000000000006</v>
      </c>
      <c r="K14" s="157">
        <f t="shared" si="2" ref="K14:K19">J14*F14</f>
        <v>69408.204000000012</v>
      </c>
      <c r="L14" s="155">
        <f t="shared" si="3" ref="L14:L19">H14+J14</f>
        <v>143.48675</v>
      </c>
      <c r="M14" s="158">
        <f t="shared" si="4" ref="M14:M19">I14+K14</f>
        <v>1910813.04975</v>
      </c>
      <c r="N14" s="223"/>
      <c r="O14" s="34">
        <v>64.640499999999989</v>
      </c>
      <c r="Q14" s="34">
        <v>516567.43049999996</v>
      </c>
      <c r="R14" s="296"/>
    </row>
    <row r="15" spans="1:18" ht="120">
      <c r="A15" s="149"/>
      <c r="B15" s="150">
        <v>30</v>
      </c>
      <c r="C15" s="151" t="s">
        <v>414</v>
      </c>
      <c r="D15" s="152" t="s">
        <v>121</v>
      </c>
      <c r="E15" s="153">
        <v>2190</v>
      </c>
      <c r="F15" s="154">
        <v>4230</v>
      </c>
      <c r="G15" s="154">
        <f t="shared" si="0"/>
        <v>9263700</v>
      </c>
      <c r="H15" s="290">
        <v>1431.4755</v>
      </c>
      <c r="I15" s="154">
        <f t="shared" si="1"/>
        <v>6055141.3650000002</v>
      </c>
      <c r="J15" s="156">
        <f>MB_COMBINED!F43</f>
        <v>69.660000000000025</v>
      </c>
      <c r="K15" s="157">
        <f t="shared" si="2"/>
        <v>294661.8000000001</v>
      </c>
      <c r="L15" s="155">
        <f t="shared" si="3"/>
        <v>1501.1355000000001</v>
      </c>
      <c r="M15" s="158">
        <f t="shared" si="4"/>
        <v>6349803.165</v>
      </c>
      <c r="N15" s="223"/>
      <c r="O15" s="34">
        <v>686.46400000000006</v>
      </c>
      <c r="Q15" s="34">
        <v>99471.331500000015</v>
      </c>
      <c r="R15" s="296"/>
    </row>
    <row r="16" spans="1:18" ht="93.6" customHeight="1">
      <c r="A16" s="149"/>
      <c r="B16" s="150">
        <v>40</v>
      </c>
      <c r="C16" s="151" t="s">
        <v>435</v>
      </c>
      <c r="D16" s="152" t="s">
        <v>121</v>
      </c>
      <c r="E16" s="153">
        <v>684</v>
      </c>
      <c r="F16" s="154">
        <v>6289</v>
      </c>
      <c r="G16" s="154">
        <f t="shared" si="0"/>
        <v>4301676</v>
      </c>
      <c r="H16" s="290">
        <v>467.88649999999996</v>
      </c>
      <c r="I16" s="154">
        <f t="shared" si="1"/>
        <v>2942538.1984999999</v>
      </c>
      <c r="J16" s="156">
        <f>MB_COMBINED!I43</f>
        <v>22.266999999999999</v>
      </c>
      <c r="K16" s="157">
        <f>J16*F16</f>
        <v>140037.163</v>
      </c>
      <c r="L16" s="155">
        <f>H16+J16</f>
        <v>490.15349999999995</v>
      </c>
      <c r="M16" s="158">
        <f t="shared" si="4"/>
        <v>3082575.3615000001</v>
      </c>
      <c r="N16" s="223"/>
      <c r="O16" s="34">
        <v>223.11650000000003</v>
      </c>
      <c r="Q16" s="34">
        <v>284492.88000000006</v>
      </c>
      <c r="R16" s="296"/>
    </row>
    <row r="17" spans="1:18" ht="102" customHeight="1">
      <c r="A17" s="149"/>
      <c r="B17" s="150">
        <v>50</v>
      </c>
      <c r="C17" s="159" t="s">
        <v>404</v>
      </c>
      <c r="D17" s="152" t="s">
        <v>121</v>
      </c>
      <c r="E17" s="153">
        <v>2190</v>
      </c>
      <c r="F17" s="154">
        <v>1189</v>
      </c>
      <c r="G17" s="154">
        <f t="shared" si="0"/>
        <v>2603910</v>
      </c>
      <c r="H17" s="290">
        <v>1715.9349999999997</v>
      </c>
      <c r="I17" s="154">
        <f t="shared" si="1"/>
        <v>2040246.7149999996</v>
      </c>
      <c r="J17" s="156">
        <f>MB_COMBINED!B43</f>
        <v>89.489999999999995</v>
      </c>
      <c r="K17" s="157">
        <f t="shared" si="2"/>
        <v>106403.61</v>
      </c>
      <c r="L17" s="155">
        <f t="shared" si="3"/>
        <v>1805.4249999999997</v>
      </c>
      <c r="M17" s="158">
        <f t="shared" si="4"/>
        <v>2146650.3249999997</v>
      </c>
      <c r="N17" s="223"/>
      <c r="O17" s="34">
        <v>839.32</v>
      </c>
      <c r="Q17" s="34">
        <v>140735.242</v>
      </c>
      <c r="R17" s="296"/>
    </row>
    <row r="18" spans="1:18" ht="90">
      <c r="A18" s="149"/>
      <c r="B18" s="150">
        <v>60</v>
      </c>
      <c r="C18" s="151" t="s">
        <v>403</v>
      </c>
      <c r="D18" s="152" t="s">
        <v>121</v>
      </c>
      <c r="E18" s="153">
        <v>684</v>
      </c>
      <c r="F18" s="154">
        <v>1683</v>
      </c>
      <c r="G18" s="154">
        <f t="shared" si="0"/>
        <v>1151172</v>
      </c>
      <c r="H18" s="290">
        <v>718.6975</v>
      </c>
      <c r="I18" s="154">
        <f t="shared" si="1"/>
        <v>1209567.8925000001</v>
      </c>
      <c r="J18" s="156">
        <f>MB_COMBINED!E43</f>
        <v>32.451999999999998</v>
      </c>
      <c r="K18" s="157">
        <f t="shared" si="2"/>
        <v>54616.716</v>
      </c>
      <c r="L18" s="155">
        <f t="shared" si="3"/>
        <v>751.14949999999999</v>
      </c>
      <c r="M18" s="158">
        <f t="shared" si="4"/>
        <v>1264184.6085000001</v>
      </c>
      <c r="N18" s="223"/>
      <c r="O18" s="34">
        <v>304.65099999999995</v>
      </c>
      <c r="Q18" s="34">
        <v>96297.11</v>
      </c>
      <c r="R18" s="296"/>
    </row>
    <row r="19" spans="1:18" ht="105">
      <c r="A19" s="149"/>
      <c r="B19" s="150">
        <v>70</v>
      </c>
      <c r="C19" s="151" t="s">
        <v>405</v>
      </c>
      <c r="D19" s="152" t="s">
        <v>121</v>
      </c>
      <c r="E19" s="153">
        <v>684</v>
      </c>
      <c r="F19" s="154">
        <v>4348</v>
      </c>
      <c r="G19" s="154">
        <f t="shared" si="0"/>
        <v>2974032</v>
      </c>
      <c r="H19" s="290">
        <v>509.78949999999992</v>
      </c>
      <c r="I19" s="154">
        <f t="shared" si="1"/>
        <v>2216564.7459999998</v>
      </c>
      <c r="J19" s="156">
        <f>MB_COMBINED!N43</f>
        <v>19.310999999999996</v>
      </c>
      <c r="K19" s="157">
        <f t="shared" si="2"/>
        <v>83964.227999999988</v>
      </c>
      <c r="L19" s="155">
        <f t="shared" si="3"/>
        <v>529.1004999999999</v>
      </c>
      <c r="M19" s="158">
        <f t="shared" si="4"/>
        <v>2300528.9739999999</v>
      </c>
      <c r="N19" s="223"/>
      <c r="O19" s="34">
        <v>235.06199999999998</v>
      </c>
      <c r="Q19" s="34">
        <v>63152.050499999998</v>
      </c>
      <c r="R19" s="296"/>
    </row>
    <row r="20" spans="1:18" ht="15">
      <c r="A20" s="145">
        <v>2</v>
      </c>
      <c r="B20" s="160"/>
      <c r="C20" s="161" t="s">
        <v>415</v>
      </c>
      <c r="D20" s="162"/>
      <c r="E20" s="148"/>
      <c r="F20" s="143"/>
      <c r="G20" s="143"/>
      <c r="H20" s="143"/>
      <c r="I20" s="143"/>
      <c r="J20" s="143"/>
      <c r="K20" s="143"/>
      <c r="L20" s="143"/>
      <c r="M20" s="144"/>
      <c r="N20" s="223"/>
      <c r="Q20" s="34">
        <v>92671.097999999984</v>
      </c>
      <c r="R20" s="296"/>
    </row>
    <row r="21" spans="1:18" ht="45">
      <c r="A21" s="163"/>
      <c r="B21" s="164">
        <v>10</v>
      </c>
      <c r="C21" s="151" t="s">
        <v>383</v>
      </c>
      <c r="D21" s="165" t="s">
        <v>121</v>
      </c>
      <c r="E21" s="166">
        <v>24</v>
      </c>
      <c r="F21" s="166">
        <v>1451320.92</v>
      </c>
      <c r="G21" s="153">
        <f>E21*F21</f>
        <v>34831702.079999998</v>
      </c>
      <c r="H21" s="291">
        <v>0</v>
      </c>
      <c r="I21" s="154">
        <f>H21*F21</f>
        <v>0</v>
      </c>
      <c r="J21" s="167">
        <v>0</v>
      </c>
      <c r="K21" s="157">
        <f>J21*F21</f>
        <v>0</v>
      </c>
      <c r="L21" s="154">
        <f>H21+J21</f>
        <v>0</v>
      </c>
      <c r="M21" s="158">
        <f>I21+K21</f>
        <v>0</v>
      </c>
      <c r="N21" s="223"/>
      <c r="O21" s="34">
        <v>0</v>
      </c>
      <c r="R21" s="296"/>
    </row>
    <row r="22" spans="1:18" ht="15">
      <c r="A22" s="149"/>
      <c r="B22" s="168" t="s">
        <v>384</v>
      </c>
      <c r="C22" s="169" t="s">
        <v>373</v>
      </c>
      <c r="D22" s="170" t="s">
        <v>382</v>
      </c>
      <c r="E22" s="171">
        <v>1</v>
      </c>
      <c r="F22" s="172">
        <v>1778992</v>
      </c>
      <c r="G22" s="173">
        <f>E22*F22</f>
        <v>1778992</v>
      </c>
      <c r="H22" s="291">
        <v>0.6498207973953789</v>
      </c>
      <c r="I22" s="154">
        <f>H22*F22</f>
        <v>1156026</v>
      </c>
      <c r="J22" s="156">
        <f>N22/F22</f>
        <v>0.03214179715254481</v>
      </c>
      <c r="K22" s="157">
        <f>J22*F22</f>
        <v>57179.999999999993</v>
      </c>
      <c r="L22" s="154">
        <f t="shared" si="5" ref="L22:L34">H22+J22</f>
        <v>0.68196259454792374</v>
      </c>
      <c r="M22" s="158">
        <f>I22+K22</f>
        <v>1213206</v>
      </c>
      <c r="N22" s="224">
        <f>REIMB.!V104</f>
        <v>57180</v>
      </c>
      <c r="O22" s="34">
        <v>0.30121495768390188</v>
      </c>
      <c r="R22" s="296"/>
    </row>
    <row r="23" spans="1:18" ht="15">
      <c r="A23" s="149"/>
      <c r="B23" s="168" t="s">
        <v>385</v>
      </c>
      <c r="C23" s="169" t="s">
        <v>374</v>
      </c>
      <c r="D23" s="170" t="s">
        <v>382</v>
      </c>
      <c r="E23" s="171">
        <v>1</v>
      </c>
      <c r="F23" s="172">
        <v>1296298</v>
      </c>
      <c r="G23" s="173">
        <f t="shared" si="6" ref="G23:G38">E23*F23</f>
        <v>1296298</v>
      </c>
      <c r="H23" s="291">
        <v>0.79</v>
      </c>
      <c r="I23" s="154">
        <v>1030285.50</v>
      </c>
      <c r="J23" s="156">
        <f t="shared" si="7" ref="J23:J38">N23/F23</f>
        <v>0.18083187662096215</v>
      </c>
      <c r="K23" s="157">
        <f t="shared" si="8" ref="K23:K37">J23*F23</f>
        <v>234412</v>
      </c>
      <c r="L23" s="154">
        <f t="shared" si="5"/>
        <v>0.97083187662096215</v>
      </c>
      <c r="M23" s="158">
        <f t="shared" si="9" ref="M23:M38">I23+K23</f>
        <v>1264697.5</v>
      </c>
      <c r="N23" s="224">
        <f>REIMB.!Z104</f>
        <v>234412</v>
      </c>
      <c r="O23" s="34">
        <v>0.61045068340767317</v>
      </c>
      <c r="R23" s="296"/>
    </row>
    <row r="24" spans="1:18" ht="15">
      <c r="A24" s="149"/>
      <c r="B24" s="168" t="s">
        <v>386</v>
      </c>
      <c r="C24" s="169" t="s">
        <v>375</v>
      </c>
      <c r="D24" s="170" t="s">
        <v>382</v>
      </c>
      <c r="E24" s="171">
        <v>1</v>
      </c>
      <c r="F24" s="172">
        <v>4779805</v>
      </c>
      <c r="G24" s="173">
        <f t="shared" si="6"/>
        <v>4779805</v>
      </c>
      <c r="H24" s="291">
        <v>0.63748437436255256</v>
      </c>
      <c r="I24" s="154">
        <f t="shared" si="10" ref="I24:I38">H24*F24</f>
        <v>3047051.0000000005</v>
      </c>
      <c r="J24" s="156">
        <f t="shared" si="7"/>
        <v>0.032910966033133149</v>
      </c>
      <c r="K24" s="157">
        <f t="shared" si="8"/>
        <v>157308</v>
      </c>
      <c r="L24" s="154">
        <f t="shared" si="5"/>
        <v>0.67039534039568571</v>
      </c>
      <c r="M24" s="158">
        <f t="shared" si="9"/>
        <v>3204359.0000000005</v>
      </c>
      <c r="N24" s="224">
        <f>REIMB.!AE104</f>
        <v>157308</v>
      </c>
      <c r="O24" s="34">
        <v>0.2990419065212912</v>
      </c>
      <c r="R24" s="296"/>
    </row>
    <row r="25" spans="1:18" ht="15">
      <c r="A25" s="149"/>
      <c r="B25" s="168" t="s">
        <v>387</v>
      </c>
      <c r="C25" s="169" t="s">
        <v>376</v>
      </c>
      <c r="D25" s="170" t="s">
        <v>382</v>
      </c>
      <c r="E25" s="171">
        <v>1</v>
      </c>
      <c r="F25" s="172">
        <v>3062752</v>
      </c>
      <c r="G25" s="173">
        <f t="shared" si="6"/>
        <v>3062752</v>
      </c>
      <c r="H25" s="291">
        <v>0.7030187230307906</v>
      </c>
      <c r="I25" s="154">
        <f t="shared" si="10"/>
        <v>2153172</v>
      </c>
      <c r="J25" s="156">
        <f t="shared" si="7"/>
        <v>0.036174002988162278</v>
      </c>
      <c r="K25" s="157">
        <f t="shared" si="8"/>
        <v>110792</v>
      </c>
      <c r="L25" s="154">
        <f t="shared" si="5"/>
        <v>0.73919272601895292</v>
      </c>
      <c r="M25" s="158">
        <f t="shared" si="9"/>
        <v>2263964</v>
      </c>
      <c r="N25" s="224">
        <f>REIMB.!W104</f>
        <v>110792</v>
      </c>
      <c r="O25" s="34">
        <v>0.32685114563634277</v>
      </c>
      <c r="R25" s="296"/>
    </row>
    <row r="26" spans="1:18" ht="15">
      <c r="A26" s="149"/>
      <c r="B26" s="168" t="s">
        <v>388</v>
      </c>
      <c r="C26" s="169" t="s">
        <v>377</v>
      </c>
      <c r="D26" s="170" t="s">
        <v>382</v>
      </c>
      <c r="E26" s="171">
        <v>1</v>
      </c>
      <c r="F26" s="172">
        <v>12254684</v>
      </c>
      <c r="G26" s="173">
        <f t="shared" si="6"/>
        <v>12254684</v>
      </c>
      <c r="H26" s="291">
        <v>0.70298581342448307</v>
      </c>
      <c r="I26" s="154">
        <f t="shared" si="10"/>
        <v>8614868.9999999981</v>
      </c>
      <c r="J26" s="156">
        <f t="shared" si="7"/>
        <v>0.03617229134590496</v>
      </c>
      <c r="K26" s="157">
        <f t="shared" si="8"/>
        <v>443280</v>
      </c>
      <c r="L26" s="154">
        <f t="shared" si="5"/>
        <v>0.73915810477038801</v>
      </c>
      <c r="M26" s="158">
        <f t="shared" si="9"/>
        <v>9058148.9999999981</v>
      </c>
      <c r="N26" s="224">
        <f>REIMB.!X104</f>
        <v>443280</v>
      </c>
      <c r="O26" s="34">
        <v>0.3268323361091971</v>
      </c>
      <c r="R26" s="296"/>
    </row>
    <row r="27" spans="1:18" ht="15">
      <c r="A27" s="149"/>
      <c r="B27" s="168" t="s">
        <v>389</v>
      </c>
      <c r="C27" s="169" t="s">
        <v>378</v>
      </c>
      <c r="D27" s="170" t="s">
        <v>382</v>
      </c>
      <c r="E27" s="171">
        <v>1</v>
      </c>
      <c r="F27" s="172">
        <v>5882837</v>
      </c>
      <c r="G27" s="173">
        <f t="shared" si="6"/>
        <v>5882837</v>
      </c>
      <c r="H27" s="291">
        <v>0.70297001259766334</v>
      </c>
      <c r="I27" s="154">
        <f t="shared" si="10"/>
        <v>4135458</v>
      </c>
      <c r="J27" s="156">
        <f t="shared" si="7"/>
        <v>0.036172343377863438</v>
      </c>
      <c r="K27" s="157">
        <f t="shared" si="8"/>
        <v>212796</v>
      </c>
      <c r="L27" s="154">
        <f t="shared" si="5"/>
        <v>0.7391423559755268</v>
      </c>
      <c r="M27" s="158">
        <f t="shared" si="9"/>
        <v>4348254</v>
      </c>
      <c r="N27" s="224">
        <f>REIMB.!Y104</f>
        <v>212796</v>
      </c>
      <c r="O27" s="34">
        <v>0.32682122588132223</v>
      </c>
      <c r="R27" s="296"/>
    </row>
    <row r="28" spans="1:18" ht="15">
      <c r="A28" s="149"/>
      <c r="B28" s="168" t="s">
        <v>390</v>
      </c>
      <c r="C28" s="169" t="s">
        <v>379</v>
      </c>
      <c r="D28" s="170" t="s">
        <v>382</v>
      </c>
      <c r="E28" s="171">
        <v>1</v>
      </c>
      <c r="F28" s="172">
        <v>1481760</v>
      </c>
      <c r="G28" s="173">
        <f t="shared" si="6"/>
        <v>1481760</v>
      </c>
      <c r="H28" s="291">
        <v>0.84567676276859949</v>
      </c>
      <c r="I28" s="154">
        <f t="shared" si="10"/>
        <v>1253090</v>
      </c>
      <c r="J28" s="156">
        <f t="shared" si="7"/>
        <v>0.044210938343591404</v>
      </c>
      <c r="K28" s="157">
        <f t="shared" si="8"/>
        <v>65510</v>
      </c>
      <c r="L28" s="154">
        <f t="shared" si="5"/>
        <v>0.88988770111219084</v>
      </c>
      <c r="M28" s="158">
        <f t="shared" si="9"/>
        <v>1318600</v>
      </c>
      <c r="N28" s="224">
        <f>REIMB.!AA104</f>
        <v>65510</v>
      </c>
      <c r="O28" s="34">
        <v>0.39756100853039622</v>
      </c>
      <c r="R28" s="296"/>
    </row>
    <row r="29" spans="1:18" ht="15">
      <c r="A29" s="149"/>
      <c r="B29" s="168" t="s">
        <v>391</v>
      </c>
      <c r="C29" s="169" t="s">
        <v>380</v>
      </c>
      <c r="D29" s="170" t="s">
        <v>382</v>
      </c>
      <c r="E29" s="171">
        <v>1</v>
      </c>
      <c r="F29" s="172">
        <v>811007</v>
      </c>
      <c r="G29" s="173">
        <f t="shared" si="6"/>
        <v>811007</v>
      </c>
      <c r="H29" s="291">
        <v>0.57491735583046755</v>
      </c>
      <c r="I29" s="154">
        <f t="shared" si="10"/>
        <v>466262</v>
      </c>
      <c r="J29" s="156">
        <f t="shared" si="7"/>
        <v>0.028693957018866668</v>
      </c>
      <c r="K29" s="157">
        <f t="shared" si="8"/>
        <v>23271</v>
      </c>
      <c r="L29" s="154">
        <f t="shared" si="5"/>
        <v>0.60361131284933423</v>
      </c>
      <c r="M29" s="158">
        <f t="shared" si="9"/>
        <v>489533</v>
      </c>
      <c r="N29" s="224">
        <f>REIMB.!AF104</f>
        <v>23271</v>
      </c>
      <c r="O29" s="34">
        <v>0.26306554690650019</v>
      </c>
      <c r="R29" s="296"/>
    </row>
    <row r="30" spans="1:18" ht="15">
      <c r="A30" s="149"/>
      <c r="B30" s="168"/>
      <c r="C30" s="312" t="s">
        <v>517</v>
      </c>
      <c r="D30" s="170" t="s">
        <v>382</v>
      </c>
      <c r="E30" s="171">
        <v>1</v>
      </c>
      <c r="F30" s="172">
        <v>811007</v>
      </c>
      <c r="G30" s="173">
        <f t="shared" si="6"/>
        <v>811007</v>
      </c>
      <c r="H30" s="291">
        <v>0.2567462426341573</v>
      </c>
      <c r="I30" s="154">
        <f t="shared" si="10"/>
        <v>208223</v>
      </c>
      <c r="J30" s="156">
        <v>0</v>
      </c>
      <c r="K30" s="157">
        <f t="shared" si="8"/>
        <v>0</v>
      </c>
      <c r="L30" s="154">
        <f t="shared" si="5"/>
        <v>0.2567462426341573</v>
      </c>
      <c r="M30" s="158">
        <f t="shared" si="9"/>
        <v>208223</v>
      </c>
      <c r="N30" s="224">
        <f>33573+174650</f>
        <v>208223</v>
      </c>
      <c r="O30" s="34">
        <f>N30/F29</f>
        <v>0.2567462426341573</v>
      </c>
      <c r="R30" s="296"/>
    </row>
    <row r="31" spans="1:18" ht="15">
      <c r="A31" s="149"/>
      <c r="B31" s="168" t="s">
        <v>392</v>
      </c>
      <c r="C31" s="169" t="s">
        <v>520</v>
      </c>
      <c r="D31" s="170" t="s">
        <v>382</v>
      </c>
      <c r="E31" s="171">
        <v>1</v>
      </c>
      <c r="F31" s="172">
        <v>586560</v>
      </c>
      <c r="G31" s="173">
        <f t="shared" si="6"/>
        <v>586560</v>
      </c>
      <c r="H31" s="291">
        <v>1.4117907801418439</v>
      </c>
      <c r="I31" s="154">
        <f t="shared" si="10"/>
        <v>828100</v>
      </c>
      <c r="J31" s="156">
        <f>N31/F31</f>
        <v>0.10648527004909984</v>
      </c>
      <c r="K31" s="157">
        <f t="shared" si="8"/>
        <v>62460</v>
      </c>
      <c r="L31" s="154">
        <f t="shared" si="5"/>
        <v>1.5182760501909438</v>
      </c>
      <c r="M31" s="158">
        <f t="shared" si="9"/>
        <v>890560</v>
      </c>
      <c r="N31" s="224">
        <f>REIMB.!AC104</f>
        <v>62460</v>
      </c>
      <c r="O31" s="34">
        <v>0.44319421713038737</v>
      </c>
      <c r="R31" s="296"/>
    </row>
    <row r="32" spans="1:18" ht="15">
      <c r="A32" s="149"/>
      <c r="B32" s="189" t="s">
        <v>393</v>
      </c>
      <c r="C32" s="190" t="s">
        <v>381</v>
      </c>
      <c r="D32" s="299" t="s">
        <v>382</v>
      </c>
      <c r="E32" s="300">
        <v>1</v>
      </c>
      <c r="F32" s="174">
        <v>1994983</v>
      </c>
      <c r="G32" s="175">
        <f t="shared" si="6"/>
        <v>1994983</v>
      </c>
      <c r="H32" s="292">
        <v>0</v>
      </c>
      <c r="I32" s="176">
        <f t="shared" si="10"/>
        <v>0</v>
      </c>
      <c r="J32" s="301">
        <f t="shared" si="7"/>
        <v>0</v>
      </c>
      <c r="K32" s="193">
        <f t="shared" si="8"/>
        <v>0</v>
      </c>
      <c r="L32" s="176">
        <f t="shared" si="5"/>
        <v>0</v>
      </c>
      <c r="M32" s="194">
        <f t="shared" si="9"/>
        <v>0</v>
      </c>
      <c r="N32" s="223">
        <v>0</v>
      </c>
      <c r="O32" s="34">
        <v>0</v>
      </c>
      <c r="R32" s="296"/>
    </row>
    <row r="33" spans="1:18" ht="15">
      <c r="A33" s="149"/>
      <c r="B33" s="168"/>
      <c r="C33" s="151" t="s">
        <v>401</v>
      </c>
      <c r="D33" s="170" t="s">
        <v>382</v>
      </c>
      <c r="E33" s="196">
        <v>1</v>
      </c>
      <c r="F33" s="172">
        <v>1</v>
      </c>
      <c r="G33" s="197">
        <f t="shared" si="6"/>
        <v>1</v>
      </c>
      <c r="H33" s="294">
        <v>264582</v>
      </c>
      <c r="I33" s="198">
        <f t="shared" si="10"/>
        <v>264582</v>
      </c>
      <c r="J33" s="307">
        <f t="shared" si="7"/>
        <v>9938</v>
      </c>
      <c r="K33" s="199">
        <f>J33*F33</f>
        <v>9938</v>
      </c>
      <c r="L33" s="198">
        <f t="shared" si="5"/>
        <v>274520</v>
      </c>
      <c r="M33" s="198">
        <f t="shared" si="9"/>
        <v>274520</v>
      </c>
      <c r="N33" s="224">
        <f>REIMB.!AB104</f>
        <v>9938</v>
      </c>
      <c r="O33" s="34">
        <v>132543</v>
      </c>
      <c r="R33" s="296"/>
    </row>
    <row r="34" spans="1:18" ht="15">
      <c r="A34" s="149"/>
      <c r="B34" s="168"/>
      <c r="C34" s="313" t="s">
        <v>516</v>
      </c>
      <c r="D34" s="314"/>
      <c r="E34" s="315"/>
      <c r="F34" s="316">
        <v>1</v>
      </c>
      <c r="G34" s="197">
        <v>1</v>
      </c>
      <c r="H34" s="198">
        <v>108380</v>
      </c>
      <c r="I34" s="198">
        <f t="shared" si="10"/>
        <v>108380</v>
      </c>
      <c r="J34" s="318">
        <v>0</v>
      </c>
      <c r="K34" s="199">
        <f>J34*F34</f>
        <v>0</v>
      </c>
      <c r="L34" s="198">
        <f t="shared" si="5"/>
        <v>108380</v>
      </c>
      <c r="M34" s="198">
        <f>I34+K34</f>
        <v>108380</v>
      </c>
      <c r="N34" s="224"/>
      <c r="O34" s="34">
        <v>216740</v>
      </c>
      <c r="R34" s="296"/>
    </row>
    <row r="35" spans="1:18" ht="15">
      <c r="A35" s="177"/>
      <c r="B35" s="178"/>
      <c r="C35" s="161" t="s">
        <v>416</v>
      </c>
      <c r="D35" s="179"/>
      <c r="E35" s="180"/>
      <c r="F35" s="181"/>
      <c r="G35" s="182"/>
      <c r="H35" s="182"/>
      <c r="I35" s="182"/>
      <c r="J35" s="308"/>
      <c r="K35" s="309"/>
      <c r="L35" s="182"/>
      <c r="M35" s="182"/>
      <c r="N35" s="223"/>
      <c r="R35" s="296"/>
    </row>
    <row r="36" spans="1:18" ht="45">
      <c r="A36" s="149"/>
      <c r="B36" s="302" t="s">
        <v>394</v>
      </c>
      <c r="C36" s="184" t="s">
        <v>417</v>
      </c>
      <c r="D36" s="185" t="s">
        <v>123</v>
      </c>
      <c r="E36" s="186">
        <v>1</v>
      </c>
      <c r="F36" s="187">
        <v>620400</v>
      </c>
      <c r="G36" s="188">
        <f t="shared" si="6"/>
        <v>620400</v>
      </c>
      <c r="H36" s="293">
        <v>0.5</v>
      </c>
      <c r="I36" s="303">
        <f t="shared" si="10"/>
        <v>310200</v>
      </c>
      <c r="J36" s="304">
        <v>0</v>
      </c>
      <c r="K36" s="305">
        <f t="shared" si="8"/>
        <v>0</v>
      </c>
      <c r="L36" s="303">
        <f>H36+J36</f>
        <v>0.5</v>
      </c>
      <c r="M36" s="306">
        <f t="shared" si="9"/>
        <v>310200</v>
      </c>
      <c r="N36" s="223">
        <v>0</v>
      </c>
      <c r="O36" s="34">
        <v>0</v>
      </c>
      <c r="R36" s="296"/>
    </row>
    <row r="37" spans="1:18" ht="30">
      <c r="A37" s="163"/>
      <c r="B37" s="189" t="s">
        <v>395</v>
      </c>
      <c r="C37" s="190" t="s">
        <v>399</v>
      </c>
      <c r="D37" s="191" t="s">
        <v>123</v>
      </c>
      <c r="E37" s="192">
        <v>1</v>
      </c>
      <c r="F37" s="174">
        <v>281624</v>
      </c>
      <c r="G37" s="175">
        <f t="shared" si="6"/>
        <v>281624</v>
      </c>
      <c r="H37" s="292">
        <v>0.25</v>
      </c>
      <c r="I37" s="176">
        <f t="shared" si="10"/>
        <v>70406</v>
      </c>
      <c r="J37" s="156">
        <v>0</v>
      </c>
      <c r="K37" s="193">
        <f t="shared" si="8"/>
        <v>0</v>
      </c>
      <c r="L37" s="176">
        <f>H37+J37</f>
        <v>0.25</v>
      </c>
      <c r="M37" s="194">
        <f t="shared" si="9"/>
        <v>70406</v>
      </c>
      <c r="N37" s="223">
        <v>0</v>
      </c>
      <c r="O37" s="34">
        <v>0</v>
      </c>
      <c r="R37" s="296"/>
    </row>
    <row r="38" spans="1:18" ht="15">
      <c r="A38" s="149"/>
      <c r="B38" s="168"/>
      <c r="C38" s="151" t="s">
        <v>400</v>
      </c>
      <c r="D38" s="195" t="s">
        <v>123</v>
      </c>
      <c r="E38" s="196">
        <v>1</v>
      </c>
      <c r="F38" s="172">
        <v>1</v>
      </c>
      <c r="G38" s="197">
        <f t="shared" si="6"/>
        <v>1</v>
      </c>
      <c r="H38" s="294">
        <v>1948668</v>
      </c>
      <c r="I38" s="198">
        <f t="shared" si="10"/>
        <v>1948668</v>
      </c>
      <c r="J38" s="156">
        <f t="shared" si="7"/>
        <v>136727</v>
      </c>
      <c r="K38" s="199">
        <f>J38*F38</f>
        <v>136727</v>
      </c>
      <c r="L38" s="198">
        <f>H38+J38</f>
        <v>2085395</v>
      </c>
      <c r="M38" s="198">
        <f t="shared" si="9"/>
        <v>2085395</v>
      </c>
      <c r="N38" s="224">
        <f>REIMB.!AD104</f>
        <v>136727</v>
      </c>
      <c r="O38" s="34">
        <v>723849</v>
      </c>
      <c r="R38" s="296"/>
    </row>
    <row r="39" spans="1:18" ht="15">
      <c r="A39" s="200">
        <v>3</v>
      </c>
      <c r="B39" s="146"/>
      <c r="C39" s="201" t="s">
        <v>122</v>
      </c>
      <c r="D39" s="202"/>
      <c r="E39" s="203">
        <v>1</v>
      </c>
      <c r="F39" s="202"/>
      <c r="G39" s="202"/>
      <c r="H39" s="202"/>
      <c r="I39" s="202"/>
      <c r="J39" s="183"/>
      <c r="K39" s="202"/>
      <c r="L39" s="202"/>
      <c r="M39" s="204"/>
      <c r="N39" s="223"/>
      <c r="R39" s="296"/>
    </row>
    <row r="40" spans="1:18" ht="15">
      <c r="A40" s="149"/>
      <c r="B40" s="205">
        <v>10</v>
      </c>
      <c r="C40" s="206" t="s">
        <v>444</v>
      </c>
      <c r="D40" s="207" t="s">
        <v>123</v>
      </c>
      <c r="E40" s="153">
        <v>24</v>
      </c>
      <c r="F40" s="154">
        <v>0.01</v>
      </c>
      <c r="G40" s="154">
        <f>E40*F40</f>
        <v>0.23999999999999999</v>
      </c>
      <c r="H40" s="291">
        <v>5</v>
      </c>
      <c r="I40" s="154">
        <f>H40*F40</f>
        <v>0.050000000000000003</v>
      </c>
      <c r="J40" s="156">
        <v>0</v>
      </c>
      <c r="K40" s="157">
        <f>J40*F40</f>
        <v>0</v>
      </c>
      <c r="L40" s="154">
        <f>H40+J40</f>
        <v>5</v>
      </c>
      <c r="M40" s="158">
        <f>I40+K40</f>
        <v>0.050000000000000003</v>
      </c>
      <c r="N40" s="223"/>
      <c r="O40" s="34">
        <v>0</v>
      </c>
      <c r="R40" s="296"/>
    </row>
    <row r="41" spans="1:18" ht="15">
      <c r="A41" s="149"/>
      <c r="B41" s="205">
        <v>20</v>
      </c>
      <c r="C41" s="206" t="s">
        <v>445</v>
      </c>
      <c r="D41" s="207" t="s">
        <v>123</v>
      </c>
      <c r="E41" s="153">
        <v>8</v>
      </c>
      <c r="F41" s="172">
        <v>0.01</v>
      </c>
      <c r="G41" s="154">
        <f>E41*F41</f>
        <v>0.080000000000000002</v>
      </c>
      <c r="H41" s="291">
        <v>2</v>
      </c>
      <c r="I41" s="154">
        <f>H41*F41</f>
        <v>0.02</v>
      </c>
      <c r="J41" s="156">
        <v>0</v>
      </c>
      <c r="K41" s="157">
        <f>J41*F41</f>
        <v>0</v>
      </c>
      <c r="L41" s="154">
        <f>H41+J41</f>
        <v>2</v>
      </c>
      <c r="M41" s="158">
        <f>I41+K41</f>
        <v>0.02</v>
      </c>
      <c r="N41" s="223"/>
      <c r="O41" s="34">
        <v>0</v>
      </c>
      <c r="R41" s="296"/>
    </row>
    <row r="42" spans="1:18" ht="15">
      <c r="A42" s="208">
        <v>4</v>
      </c>
      <c r="B42" s="209"/>
      <c r="C42" s="210" t="s">
        <v>124</v>
      </c>
      <c r="D42" s="211"/>
      <c r="E42" s="212">
        <v>1</v>
      </c>
      <c r="F42" s="211"/>
      <c r="G42" s="211"/>
      <c r="H42" s="211"/>
      <c r="I42" s="211"/>
      <c r="J42" s="211"/>
      <c r="K42" s="211"/>
      <c r="L42" s="211"/>
      <c r="M42" s="213"/>
      <c r="N42" s="223"/>
      <c r="R42" s="296"/>
    </row>
    <row r="43" spans="1:18" ht="15">
      <c r="A43" s="149"/>
      <c r="B43" s="214">
        <v>10</v>
      </c>
      <c r="C43" s="215" t="s">
        <v>446</v>
      </c>
      <c r="D43" s="216" t="s">
        <v>121</v>
      </c>
      <c r="E43" s="217">
        <v>24</v>
      </c>
      <c r="F43" s="218">
        <v>60000</v>
      </c>
      <c r="G43" s="219">
        <f>E43*F43</f>
        <v>1440000</v>
      </c>
      <c r="H43" s="295">
        <v>19</v>
      </c>
      <c r="I43" s="218">
        <f>H43*F43</f>
        <v>1140000</v>
      </c>
      <c r="J43" s="220">
        <v>1</v>
      </c>
      <c r="K43" s="221">
        <f>J43*F43</f>
        <v>60000</v>
      </c>
      <c r="L43" s="218">
        <f>H43+J43</f>
        <v>20</v>
      </c>
      <c r="M43" s="222">
        <f>I43+K43</f>
        <v>1200000</v>
      </c>
      <c r="N43" s="262">
        <v>2721831</v>
      </c>
      <c r="O43" s="34">
        <v>9</v>
      </c>
      <c r="R43" s="296"/>
    </row>
    <row r="44" spans="1:16" ht="20.1" customHeight="1">
      <c r="A44" s="540"/>
      <c r="B44" s="523" t="s">
        <v>411</v>
      </c>
      <c r="C44" s="526" t="s">
        <v>101</v>
      </c>
      <c r="D44" s="527"/>
      <c r="E44" s="527"/>
      <c r="F44" s="528"/>
      <c r="G44" s="229">
        <f>SUM(G13:G21,G40:G43)</f>
        <v>76202350.399999991</v>
      </c>
      <c r="H44" s="529" t="str">
        <f>"Claimed for "&amp;'Working Sheet'!C7&amp;" Month"</f>
        <v>Claimed for OCTOBER-2025 Month</v>
      </c>
      <c r="I44" s="530"/>
      <c r="J44" s="531"/>
      <c r="K44" s="230">
        <f>SUM(K13:K43)</f>
        <v>2802766.3025000002</v>
      </c>
      <c r="L44" s="506" t="s">
        <v>102</v>
      </c>
      <c r="M44" s="507"/>
      <c r="N44" s="317">
        <v>60000</v>
      </c>
      <c r="P44" s="34">
        <v>2717198.7064999999</v>
      </c>
    </row>
    <row r="45" spans="1:16" ht="20.1" customHeight="1">
      <c r="A45" s="541"/>
      <c r="B45" s="524"/>
      <c r="C45" s="526" t="s">
        <v>103</v>
      </c>
      <c r="D45" s="527"/>
      <c r="E45" s="527"/>
      <c r="F45" s="528"/>
      <c r="G45" s="229">
        <f>G44*18%</f>
        <v>13716423.071999999</v>
      </c>
      <c r="H45" s="532"/>
      <c r="I45" s="533"/>
      <c r="J45" s="534"/>
      <c r="K45" s="230">
        <f>K44*18%</f>
        <v>504497.93445</v>
      </c>
      <c r="L45" s="506" t="s">
        <v>102</v>
      </c>
      <c r="M45" s="507"/>
      <c r="N45" s="317">
        <f>N44+N43</f>
        <v>2781831</v>
      </c>
      <c r="P45" s="238">
        <f>P44-K44</f>
        <v>-85567.596000000369</v>
      </c>
    </row>
    <row r="46" spans="1:14" ht="20.1" customHeight="1">
      <c r="A46" s="542"/>
      <c r="B46" s="525"/>
      <c r="C46" s="508" t="s">
        <v>104</v>
      </c>
      <c r="D46" s="509"/>
      <c r="E46" s="509"/>
      <c r="F46" s="510"/>
      <c r="G46" s="231">
        <f>G44+G45</f>
        <v>89918773.471999988</v>
      </c>
      <c r="H46" s="535"/>
      <c r="I46" s="536"/>
      <c r="J46" s="537"/>
      <c r="K46" s="232">
        <f>K44+K45</f>
        <v>3307264.2369500003</v>
      </c>
      <c r="L46" s="511" t="s">
        <v>102</v>
      </c>
      <c r="M46" s="512"/>
      <c r="N46" s="317">
        <f>K44</f>
        <v>2802766.3025000002</v>
      </c>
    </row>
    <row r="47" spans="1:14" ht="15.7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233"/>
      <c r="L47" s="140"/>
      <c r="M47" s="140"/>
      <c r="N47" s="238">
        <f>N46-N45</f>
        <v>20935.302500000224</v>
      </c>
    </row>
    <row r="48" spans="1:14" ht="15.7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238">
        <f>N47+K41</f>
        <v>20935.302500000224</v>
      </c>
    </row>
    <row r="49" spans="1:13" ht="15.7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</row>
    <row r="50" spans="1:13" ht="15.75">
      <c r="A50" s="556" t="str">
        <f>[2]!SPELLNUMBER(K46)</f>
        <v xml:space="preserve">Rupees ThirtyThree Lakh Seven Thousand Two Hundred SixtyFour Paise TwentyFour Only </v>
      </c>
      <c r="B50" s="556"/>
      <c r="C50" s="556"/>
      <c r="D50" s="556"/>
      <c r="E50" s="556"/>
      <c r="F50" s="556"/>
      <c r="G50" s="556"/>
      <c r="H50" s="556"/>
      <c r="I50" s="556"/>
      <c r="J50" s="556"/>
      <c r="K50" s="556"/>
      <c r="L50" s="556"/>
      <c r="M50" s="556"/>
    </row>
  </sheetData>
  <sheetProtection/>
  <mergeCells count="33">
    <mergeCell ref="A7:C7"/>
    <mergeCell ref="A8:C8"/>
    <mergeCell ref="A50:M50"/>
    <mergeCell ref="A1:M1"/>
    <mergeCell ref="A2:C2"/>
    <mergeCell ref="A3:C3"/>
    <mergeCell ref="A4:C4"/>
    <mergeCell ref="A5:C5"/>
    <mergeCell ref="A6:C6"/>
    <mergeCell ref="E2:M2"/>
    <mergeCell ref="E3:M3"/>
    <mergeCell ref="E4:M4"/>
    <mergeCell ref="E5:M5"/>
    <mergeCell ref="E6:M6"/>
    <mergeCell ref="E7:M7"/>
    <mergeCell ref="E8:M8"/>
    <mergeCell ref="B10:B11"/>
    <mergeCell ref="C10:C11"/>
    <mergeCell ref="A9:M9"/>
    <mergeCell ref="B44:B46"/>
    <mergeCell ref="C44:F44"/>
    <mergeCell ref="H44:J46"/>
    <mergeCell ref="L44:M44"/>
    <mergeCell ref="C45:F45"/>
    <mergeCell ref="A10:A11"/>
    <mergeCell ref="A44:A46"/>
    <mergeCell ref="L45:M45"/>
    <mergeCell ref="C46:F46"/>
    <mergeCell ref="L46:M46"/>
    <mergeCell ref="D10:G10"/>
    <mergeCell ref="H10:I10"/>
    <mergeCell ref="J10:K10"/>
    <mergeCell ref="L10:M10"/>
  </mergeCells>
  <printOptions horizontalCentered="1"/>
  <pageMargins left="0.25" right="0.25" top="0.57" bottom="0.75" header="0.3" footer="0.3"/>
  <pageSetup fitToHeight="0" orientation="landscape" paperSize="1" scale="57" r:id="rId1"/>
  <rowBreaks count="1" manualBreakCount="1">
    <brk id="18" max="12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D1CE9A33-EADA-46ED-A134-E8E2D0E2B9AB}">
  <sheetPr codeName="Sheet4">
    <pageSetUpPr fitToPage="1"/>
  </sheetPr>
  <dimension ref="A1:AM106"/>
  <sheetViews>
    <sheetView view="pageBreakPreview" zoomScale="40" zoomScaleNormal="62" zoomScaleSheetLayoutView="40" workbookViewId="0" topLeftCell="A1">
      <pane xSplit="3" ySplit="10" topLeftCell="X103" activePane="bottomRight" state="frozen"/>
      <selection pane="topLeft" activeCell="A1" sqref="A1"/>
      <selection pane="topRight" activeCell="D1" sqref="D1"/>
      <selection pane="bottomLeft" activeCell="A11" sqref="A11"/>
      <selection pane="bottomRight" activeCell="J101" sqref="J101"/>
    </sheetView>
  </sheetViews>
  <sheetFormatPr defaultColWidth="8.57366071428571" defaultRowHeight="12.75"/>
  <cols>
    <col min="1" max="1" width="9.14285714285714" style="34" customWidth="1"/>
    <col min="2" max="2" width="34.8571428571429" style="34" bestFit="1" customWidth="1"/>
    <col min="3" max="3" width="68.7142857142857" style="34" bestFit="1" customWidth="1"/>
    <col min="4" max="4" width="20.4285714285714" style="34" customWidth="1"/>
    <col min="5" max="5" width="32.4285714285714" style="34" bestFit="1" customWidth="1"/>
    <col min="6" max="6" width="45.2857142857143" style="34" customWidth="1"/>
    <col min="7" max="10" width="17.7142857142857" style="34" bestFit="1" customWidth="1"/>
    <col min="11" max="11" width="22.1428571428571" style="34" bestFit="1" customWidth="1"/>
    <col min="12" max="12" width="11.8571428571429" style="34" bestFit="1" customWidth="1"/>
    <col min="13" max="13" width="22.1428571428571" style="34" bestFit="1" customWidth="1"/>
    <col min="14" max="14" width="19.8571428571429" style="34" customWidth="1"/>
    <col min="15" max="15" width="22.1428571428571" style="34" bestFit="1" customWidth="1"/>
    <col min="16" max="16" width="17.7142857142857" style="34" bestFit="1" customWidth="1"/>
    <col min="17" max="17" width="14.7142857142857" style="34" bestFit="1" customWidth="1"/>
    <col min="18" max="20" width="25.1428571428571" style="34" bestFit="1" customWidth="1"/>
    <col min="21" max="21" width="32.4285714285714" style="34" bestFit="1" customWidth="1"/>
    <col min="22" max="22" width="25.1428571428571" style="34" bestFit="1" customWidth="1"/>
    <col min="23" max="25" width="27.8571428571429" style="34" bestFit="1" customWidth="1"/>
    <col min="26" max="26" width="32.5714285714286" style="34" customWidth="1"/>
    <col min="27" max="29" width="25.1428571428571" style="34" bestFit="1" customWidth="1"/>
    <col min="30" max="31" width="27.8571428571429" style="34" bestFit="1" customWidth="1"/>
    <col min="32" max="32" width="25.1428571428571" style="34" bestFit="1" customWidth="1"/>
    <col min="33" max="33" width="32.4285714285714" style="34" bestFit="1" customWidth="1"/>
    <col min="34" max="34" width="8.57142857142857" style="34"/>
    <col min="35" max="35" width="25.8571428571429" style="34" customWidth="1"/>
    <col min="36" max="16384" width="8.57142857142857" style="34"/>
  </cols>
  <sheetData>
    <row r="1" spans="1:33" ht="39.95" customHeight="1">
      <c r="A1" s="586" t="s">
        <v>162</v>
      </c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  <c r="N1" s="587"/>
      <c r="O1" s="587"/>
      <c r="P1" s="587"/>
      <c r="Q1" s="587"/>
      <c r="R1" s="587"/>
      <c r="S1" s="587"/>
      <c r="T1" s="587"/>
      <c r="U1" s="587"/>
      <c r="V1" s="587"/>
      <c r="W1" s="587"/>
      <c r="X1" s="587"/>
      <c r="Y1" s="587"/>
      <c r="Z1" s="587"/>
      <c r="AA1" s="587"/>
      <c r="AB1" s="587"/>
      <c r="AC1" s="587"/>
      <c r="AD1" s="587"/>
      <c r="AE1" s="587"/>
      <c r="AF1" s="587"/>
      <c r="AG1" s="588"/>
    </row>
    <row r="2" spans="1:33" ht="39.95" customHeight="1">
      <c r="A2" s="589" t="s">
        <v>409</v>
      </c>
      <c r="B2" s="590"/>
      <c r="C2" s="590"/>
      <c r="D2" s="590"/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0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590"/>
      <c r="AF2" s="590"/>
      <c r="AG2" s="591"/>
    </row>
    <row r="3" spans="1:33" ht="39.95" customHeight="1">
      <c r="A3" s="567" t="s">
        <v>163</v>
      </c>
      <c r="B3" s="567"/>
      <c r="C3" s="567"/>
      <c r="D3" s="567"/>
      <c r="E3" s="567"/>
      <c r="F3" s="567"/>
      <c r="G3" s="571" t="s">
        <v>364</v>
      </c>
      <c r="H3" s="572"/>
      <c r="I3" s="572"/>
      <c r="J3" s="572"/>
      <c r="K3" s="572"/>
      <c r="L3" s="572"/>
      <c r="M3" s="572"/>
      <c r="N3" s="572"/>
      <c r="O3" s="572"/>
      <c r="P3" s="572"/>
      <c r="Q3" s="573"/>
      <c r="R3" s="567" t="s">
        <v>366</v>
      </c>
      <c r="S3" s="572"/>
      <c r="T3" s="567"/>
      <c r="U3" s="573" t="s">
        <v>365</v>
      </c>
      <c r="V3" s="567"/>
      <c r="W3" s="567"/>
      <c r="X3" s="567"/>
      <c r="Y3" s="567"/>
      <c r="Z3" s="567"/>
      <c r="AA3" s="567"/>
      <c r="AB3" s="567"/>
      <c r="AC3" s="567"/>
      <c r="AD3" s="567"/>
      <c r="AE3" s="567"/>
      <c r="AF3" s="567"/>
      <c r="AG3" s="567"/>
    </row>
    <row r="4" spans="1:33" ht="39.95" customHeight="1">
      <c r="A4" s="567" t="s">
        <v>164</v>
      </c>
      <c r="B4" s="567"/>
      <c r="C4" s="567"/>
      <c r="D4" s="567"/>
      <c r="E4" s="567"/>
      <c r="F4" s="567"/>
      <c r="G4" s="567" t="s">
        <v>441</v>
      </c>
      <c r="H4" s="567"/>
      <c r="I4" s="567"/>
      <c r="J4" s="567"/>
      <c r="K4" s="567"/>
      <c r="L4" s="567"/>
      <c r="M4" s="567"/>
      <c r="N4" s="567"/>
      <c r="O4" s="567"/>
      <c r="P4" s="567"/>
      <c r="Q4" s="567"/>
      <c r="R4" s="567"/>
      <c r="S4" s="567"/>
      <c r="T4" s="567"/>
      <c r="U4" s="567"/>
      <c r="V4" s="567"/>
      <c r="W4" s="567"/>
      <c r="X4" s="567"/>
      <c r="Y4" s="567"/>
      <c r="Z4" s="567"/>
      <c r="AA4" s="567"/>
      <c r="AB4" s="567"/>
      <c r="AC4" s="567"/>
      <c r="AD4" s="567"/>
      <c r="AE4" s="567"/>
      <c r="AF4" s="567"/>
      <c r="AG4" s="567"/>
    </row>
    <row r="5" spans="1:33" ht="39.95" customHeight="1">
      <c r="A5" s="585" t="s">
        <v>433</v>
      </c>
      <c r="B5" s="585"/>
      <c r="C5" s="585"/>
      <c r="D5" s="585"/>
      <c r="E5" s="585"/>
      <c r="F5" s="585"/>
      <c r="G5" s="568" t="s">
        <v>368</v>
      </c>
      <c r="H5" s="569"/>
      <c r="I5" s="569"/>
      <c r="J5" s="569"/>
      <c r="K5" s="569"/>
      <c r="L5" s="569"/>
      <c r="M5" s="569"/>
      <c r="N5" s="569"/>
      <c r="O5" s="569"/>
      <c r="P5" s="569"/>
      <c r="Q5" s="570"/>
      <c r="R5" s="585" t="s">
        <v>165</v>
      </c>
      <c r="S5" s="585"/>
      <c r="T5" s="585"/>
      <c r="U5" s="574" t="s">
        <v>447</v>
      </c>
      <c r="V5" s="575"/>
      <c r="W5" s="575"/>
      <c r="X5" s="575"/>
      <c r="Y5" s="575"/>
      <c r="Z5" s="575"/>
      <c r="AA5" s="575"/>
      <c r="AB5" s="575"/>
      <c r="AC5" s="575"/>
      <c r="AD5" s="575"/>
      <c r="AE5" s="575"/>
      <c r="AF5" s="575"/>
      <c r="AG5" s="576"/>
    </row>
    <row r="6" spans="1:33" ht="39.95" customHeight="1">
      <c r="A6" s="567" t="s">
        <v>166</v>
      </c>
      <c r="B6" s="567"/>
      <c r="C6" s="567"/>
      <c r="D6" s="567"/>
      <c r="E6" s="567"/>
      <c r="F6" s="567"/>
      <c r="G6" s="571" t="s">
        <v>396</v>
      </c>
      <c r="H6" s="572"/>
      <c r="I6" s="572"/>
      <c r="J6" s="572"/>
      <c r="K6" s="572"/>
      <c r="L6" s="572"/>
      <c r="M6" s="572"/>
      <c r="N6" s="572"/>
      <c r="O6" s="572"/>
      <c r="P6" s="572"/>
      <c r="Q6" s="573"/>
      <c r="R6" s="567" t="s">
        <v>167</v>
      </c>
      <c r="S6" s="567"/>
      <c r="T6" s="567"/>
      <c r="U6" s="577" t="s">
        <v>397</v>
      </c>
      <c r="V6" s="578"/>
      <c r="W6" s="578"/>
      <c r="X6" s="578"/>
      <c r="Y6" s="578"/>
      <c r="Z6" s="578"/>
      <c r="AA6" s="578"/>
      <c r="AB6" s="578"/>
      <c r="AC6" s="578"/>
      <c r="AD6" s="578"/>
      <c r="AE6" s="578"/>
      <c r="AF6" s="578"/>
      <c r="AG6" s="578"/>
    </row>
    <row r="7" spans="1:33" ht="39.95" customHeight="1">
      <c r="A7" s="567" t="s">
        <v>168</v>
      </c>
      <c r="B7" s="567"/>
      <c r="C7" s="567"/>
      <c r="D7" s="567"/>
      <c r="E7" s="567"/>
      <c r="F7" s="567"/>
      <c r="G7" s="571" t="s">
        <v>368</v>
      </c>
      <c r="H7" s="572"/>
      <c r="I7" s="572"/>
      <c r="J7" s="572"/>
      <c r="K7" s="572"/>
      <c r="L7" s="572"/>
      <c r="M7" s="572"/>
      <c r="N7" s="572"/>
      <c r="O7" s="572"/>
      <c r="P7" s="572"/>
      <c r="Q7" s="573"/>
      <c r="R7" s="567" t="s">
        <v>367</v>
      </c>
      <c r="S7" s="567"/>
      <c r="T7" s="567"/>
      <c r="U7" s="567" t="str">
        <f>'Working Sheet'!C5</f>
        <v>01-10-2025 TO 31-10-2025</v>
      </c>
      <c r="V7" s="567"/>
      <c r="W7" s="567"/>
      <c r="X7" s="567"/>
      <c r="Y7" s="567"/>
      <c r="Z7" s="567"/>
      <c r="AA7" s="567"/>
      <c r="AB7" s="567"/>
      <c r="AC7" s="567"/>
      <c r="AD7" s="567"/>
      <c r="AE7" s="567"/>
      <c r="AF7" s="567"/>
      <c r="AG7" s="567"/>
    </row>
    <row r="8" spans="1:33" ht="3.95" customHeight="1">
      <c r="A8" s="579"/>
      <c r="B8" s="580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  <c r="N8" s="580"/>
      <c r="O8" s="580"/>
      <c r="P8" s="580"/>
      <c r="Q8" s="580"/>
      <c r="R8" s="580"/>
      <c r="S8" s="580"/>
      <c r="T8" s="580"/>
      <c r="U8" s="580"/>
      <c r="V8" s="580"/>
      <c r="W8" s="580"/>
      <c r="X8" s="580"/>
      <c r="Y8" s="580"/>
      <c r="Z8" s="580"/>
      <c r="AA8" s="580"/>
      <c r="AB8" s="580"/>
      <c r="AC8" s="580"/>
      <c r="AD8" s="580"/>
      <c r="AE8" s="580"/>
      <c r="AF8" s="580"/>
      <c r="AG8" s="581"/>
    </row>
    <row r="9" spans="1:33" ht="39">
      <c r="A9" s="565" t="s">
        <v>169</v>
      </c>
      <c r="B9" s="565" t="s">
        <v>170</v>
      </c>
      <c r="C9" s="565" t="s">
        <v>171</v>
      </c>
      <c r="D9" s="565" t="s">
        <v>360</v>
      </c>
      <c r="E9" s="565" t="s">
        <v>410</v>
      </c>
      <c r="F9" s="565" t="s">
        <v>172</v>
      </c>
      <c r="G9" s="565" t="s">
        <v>155</v>
      </c>
      <c r="H9" s="565" t="s">
        <v>151</v>
      </c>
      <c r="I9" s="565" t="s">
        <v>148</v>
      </c>
      <c r="J9" s="565" t="s">
        <v>152</v>
      </c>
      <c r="K9" s="565" t="s">
        <v>173</v>
      </c>
      <c r="L9" s="565" t="s">
        <v>174</v>
      </c>
      <c r="M9" s="565" t="s">
        <v>175</v>
      </c>
      <c r="N9" s="565" t="s">
        <v>176</v>
      </c>
      <c r="O9" s="565" t="s">
        <v>177</v>
      </c>
      <c r="P9" s="565" t="s">
        <v>431</v>
      </c>
      <c r="Q9" s="565" t="s">
        <v>370</v>
      </c>
      <c r="R9" s="565" t="s">
        <v>518</v>
      </c>
      <c r="S9" s="583" t="s">
        <v>432</v>
      </c>
      <c r="T9" s="565" t="s">
        <v>521</v>
      </c>
      <c r="U9" s="565" t="s">
        <v>178</v>
      </c>
      <c r="V9" s="560" t="s">
        <v>408</v>
      </c>
      <c r="W9" s="561"/>
      <c r="X9" s="561"/>
      <c r="Y9" s="561"/>
      <c r="Z9" s="561"/>
      <c r="AA9" s="561"/>
      <c r="AB9" s="561"/>
      <c r="AC9" s="561"/>
      <c r="AD9" s="561"/>
      <c r="AE9" s="561"/>
      <c r="AF9" s="562"/>
      <c r="AG9" s="563" t="s">
        <v>179</v>
      </c>
    </row>
    <row r="10" spans="1:33" ht="359.1" customHeight="1">
      <c r="A10" s="566"/>
      <c r="B10" s="566"/>
      <c r="C10" s="582"/>
      <c r="D10" s="566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84"/>
      <c r="T10" s="566"/>
      <c r="U10" s="566"/>
      <c r="V10" s="319" t="s">
        <v>522</v>
      </c>
      <c r="W10" s="320" t="s">
        <v>523</v>
      </c>
      <c r="X10" s="320" t="s">
        <v>524</v>
      </c>
      <c r="Y10" s="320" t="s">
        <v>525</v>
      </c>
      <c r="Z10" s="320" t="s">
        <v>526</v>
      </c>
      <c r="AA10" s="320" t="s">
        <v>527</v>
      </c>
      <c r="AB10" s="320" t="s">
        <v>528</v>
      </c>
      <c r="AC10" s="320" t="s">
        <v>519</v>
      </c>
      <c r="AD10" s="321" t="s">
        <v>529</v>
      </c>
      <c r="AE10" s="320" t="s">
        <v>530</v>
      </c>
      <c r="AF10" s="320" t="s">
        <v>531</v>
      </c>
      <c r="AG10" s="564"/>
    </row>
    <row r="11" spans="1:39" ht="69.95" customHeight="1">
      <c r="A11" s="322">
        <v>1</v>
      </c>
      <c r="B11" s="323" t="s">
        <v>180</v>
      </c>
      <c r="C11" s="324" t="s">
        <v>181</v>
      </c>
      <c r="D11" s="325" t="s">
        <v>182</v>
      </c>
      <c r="E11" s="326" t="s">
        <v>146</v>
      </c>
      <c r="F11" s="327" t="s">
        <v>361</v>
      </c>
      <c r="G11" s="328">
        <v>5</v>
      </c>
      <c r="H11" s="328">
        <v>7</v>
      </c>
      <c r="I11" s="328">
        <v>9</v>
      </c>
      <c r="J11" s="328">
        <v>0</v>
      </c>
      <c r="K11" s="329">
        <f>SUM(G11:J11)</f>
        <v>21</v>
      </c>
      <c r="L11" s="329">
        <v>0</v>
      </c>
      <c r="M11" s="329">
        <f>K11+L11</f>
        <v>21</v>
      </c>
      <c r="N11" s="328">
        <v>4</v>
      </c>
      <c r="O11" s="329">
        <f>SUM(M11+N11)</f>
        <v>25</v>
      </c>
      <c r="P11" s="328">
        <v>0</v>
      </c>
      <c r="Q11" s="328">
        <v>0</v>
      </c>
      <c r="R11" s="330">
        <v>541</v>
      </c>
      <c r="S11" s="330">
        <v>494</v>
      </c>
      <c r="T11" s="331">
        <f>ROUND((R11/8*2)*P11,0)</f>
        <v>0</v>
      </c>
      <c r="U11" s="331">
        <f>ROUND(R11*(K11+L11),0)</f>
        <v>11361</v>
      </c>
      <c r="V11" s="332">
        <f>ROUND(IF(M11&lt;20,0,IF(M11&lt;26,(M11/20)*R11,1.258*R11)),0)</f>
        <v>568</v>
      </c>
      <c r="W11" s="332">
        <f>ROUND(K11*R11*8.33%,0)</f>
        <v>946</v>
      </c>
      <c r="X11" s="332">
        <f>ROUND(K11*R11*33.33%,0)</f>
        <v>3787</v>
      </c>
      <c r="Y11" s="332">
        <f>ROUND(K11*R11*16%,0)</f>
        <v>1818</v>
      </c>
      <c r="Z11" s="332">
        <f>R11*(N11+L11)</f>
        <v>2164</v>
      </c>
      <c r="AA11" s="332">
        <f>((SUM(G11:H11))*40)+((I11)*50)</f>
        <v>930</v>
      </c>
      <c r="AB11" s="332">
        <f>Q11*R11</f>
        <v>0</v>
      </c>
      <c r="AC11" s="332">
        <f>M11*30</f>
        <v>630</v>
      </c>
      <c r="AD11" s="330">
        <f>ROUND(((R11-S11)*O11)+(T11-((S11/8)*2)*P11),0)</f>
        <v>1175</v>
      </c>
      <c r="AE11" s="330">
        <f>ROUND(IF((U11)&gt;15000,15000*13%,(U11)*13%),0)</f>
        <v>1477</v>
      </c>
      <c r="AF11" s="330">
        <f>ROUNDUP(IF(F11="UNSKILLED",SUM(U11+T11+X11+Y11+AA11)*3.25%,0),0)</f>
        <v>582</v>
      </c>
      <c r="AG11" s="333"/>
      <c r="AI11" s="34" t="s">
        <v>181</v>
      </c>
      <c r="AJ11" s="34">
        <v>6</v>
      </c>
      <c r="AK11" s="34">
        <v>6</v>
      </c>
      <c r="AL11" s="34">
        <v>7</v>
      </c>
      <c r="AM11" s="34">
        <v>0</v>
      </c>
    </row>
    <row r="12" spans="1:39" ht="69.95" customHeight="1">
      <c r="A12" s="322">
        <f>A11+1</f>
        <v>2</v>
      </c>
      <c r="B12" s="323" t="s">
        <v>183</v>
      </c>
      <c r="C12" s="324" t="s">
        <v>184</v>
      </c>
      <c r="D12" s="325" t="s">
        <v>182</v>
      </c>
      <c r="E12" s="326" t="s">
        <v>145</v>
      </c>
      <c r="F12" s="327" t="s">
        <v>362</v>
      </c>
      <c r="G12" s="328">
        <v>8</v>
      </c>
      <c r="H12" s="328">
        <v>8</v>
      </c>
      <c r="I12" s="328">
        <v>10</v>
      </c>
      <c r="J12" s="328">
        <v>0</v>
      </c>
      <c r="K12" s="329">
        <f t="shared" si="0" ref="K12:K75">SUM(G12:J12)</f>
        <v>26</v>
      </c>
      <c r="L12" s="329">
        <v>0</v>
      </c>
      <c r="M12" s="329">
        <f t="shared" si="1" ref="M12:M75">K12+L12</f>
        <v>26</v>
      </c>
      <c r="N12" s="328">
        <v>4</v>
      </c>
      <c r="O12" s="329">
        <f t="shared" si="2" ref="O12:O75">SUM(M12+N12)</f>
        <v>30</v>
      </c>
      <c r="P12" s="328">
        <v>0</v>
      </c>
      <c r="Q12" s="328">
        <v>0</v>
      </c>
      <c r="R12" s="330">
        <v>632</v>
      </c>
      <c r="S12" s="330">
        <v>577</v>
      </c>
      <c r="T12" s="331">
        <f>ROUND((R12/8*2)*P12,0)</f>
        <v>0</v>
      </c>
      <c r="U12" s="331">
        <f t="shared" si="3" ref="U12:U74">ROUND(R12*(K12+L12),0)</f>
        <v>16432</v>
      </c>
      <c r="V12" s="331">
        <f t="shared" si="4" ref="V12:V75">ROUND(IF(M12&lt;20,0,IF(M12&lt;26,(M12/20)*R12,1.258*R12)),0)</f>
        <v>795</v>
      </c>
      <c r="W12" s="330">
        <f t="shared" si="5" ref="W12:W75">ROUND(K12*R12*8.33%,0)</f>
        <v>1369</v>
      </c>
      <c r="X12" s="330">
        <f t="shared" si="6" ref="X12:X75">ROUND(K12*R12*33.33%,0)</f>
        <v>5477</v>
      </c>
      <c r="Y12" s="330">
        <f t="shared" si="7" ref="Y12:Y75">ROUND(K12*R12*16%,0)</f>
        <v>2629</v>
      </c>
      <c r="Z12" s="330">
        <f t="shared" si="8" ref="Z12:Z75">R12*(N12+L12)</f>
        <v>2528</v>
      </c>
      <c r="AA12" s="330">
        <f t="shared" si="9" ref="AA12:AA72">((SUM(G12:H12))*40)+((I12)*50)</f>
        <v>1140</v>
      </c>
      <c r="AB12" s="331">
        <f t="shared" si="10" ref="AB12:AB75">Q12*R12</f>
        <v>0</v>
      </c>
      <c r="AC12" s="332">
        <f t="shared" si="11" ref="AC12:AC75">M12*30</f>
        <v>780</v>
      </c>
      <c r="AD12" s="330">
        <f t="shared" si="12" ref="AD12:AD75">ROUND(((R12-S12)*O12)+(T12-((S12/8)*2)*P12),0)</f>
        <v>1650</v>
      </c>
      <c r="AE12" s="330">
        <f t="shared" si="13" ref="AE12:AE75">ROUND(IF((U12)&gt;15000,15000*13%,(U12)*13%),0)</f>
        <v>1950</v>
      </c>
      <c r="AF12" s="330">
        <f t="shared" si="14" ref="AF12:AF75">ROUNDUP(IF(F12="UNSKILLED",SUM(U12+T12+X12+Y12+AA12)*3.25%,0),0)</f>
        <v>0</v>
      </c>
      <c r="AG12" s="333"/>
      <c r="AI12" s="34" t="s">
        <v>184</v>
      </c>
      <c r="AJ12" s="34">
        <v>9</v>
      </c>
      <c r="AK12" s="34">
        <v>9</v>
      </c>
      <c r="AL12" s="34">
        <v>8</v>
      </c>
      <c r="AM12" s="34">
        <v>0</v>
      </c>
    </row>
    <row r="13" spans="1:39" ht="69.95" customHeight="1">
      <c r="A13" s="322">
        <f t="shared" si="15" ref="A13:A76">A12+1</f>
        <v>3</v>
      </c>
      <c r="B13" s="323" t="s">
        <v>185</v>
      </c>
      <c r="C13" s="324" t="s">
        <v>186</v>
      </c>
      <c r="D13" s="325" t="s">
        <v>182</v>
      </c>
      <c r="E13" s="326" t="s">
        <v>145</v>
      </c>
      <c r="F13" s="327" t="s">
        <v>362</v>
      </c>
      <c r="G13" s="328">
        <v>7</v>
      </c>
      <c r="H13" s="328">
        <v>9</v>
      </c>
      <c r="I13" s="328">
        <v>9</v>
      </c>
      <c r="J13" s="328">
        <v>0</v>
      </c>
      <c r="K13" s="329">
        <f t="shared" si="0"/>
        <v>25</v>
      </c>
      <c r="L13" s="329">
        <v>0</v>
      </c>
      <c r="M13" s="329">
        <f t="shared" si="1"/>
        <v>25</v>
      </c>
      <c r="N13" s="328">
        <v>4</v>
      </c>
      <c r="O13" s="329">
        <f t="shared" si="2"/>
        <v>29</v>
      </c>
      <c r="P13" s="328">
        <v>0</v>
      </c>
      <c r="Q13" s="328">
        <v>0</v>
      </c>
      <c r="R13" s="330">
        <v>632</v>
      </c>
      <c r="S13" s="330">
        <v>577</v>
      </c>
      <c r="T13" s="331">
        <f t="shared" si="16" ref="T13:T75">ROUND((R13/8*2)*P13,0)</f>
        <v>0</v>
      </c>
      <c r="U13" s="331">
        <f t="shared" si="3"/>
        <v>15800</v>
      </c>
      <c r="V13" s="331">
        <f t="shared" si="4"/>
        <v>790</v>
      </c>
      <c r="W13" s="330">
        <f t="shared" si="5"/>
        <v>1316</v>
      </c>
      <c r="X13" s="330">
        <f t="shared" si="6"/>
        <v>5266</v>
      </c>
      <c r="Y13" s="330">
        <f t="shared" si="7"/>
        <v>2528</v>
      </c>
      <c r="Z13" s="330">
        <f t="shared" si="8"/>
        <v>2528</v>
      </c>
      <c r="AA13" s="330">
        <f t="shared" si="9"/>
        <v>1090</v>
      </c>
      <c r="AB13" s="331">
        <f t="shared" si="10"/>
        <v>0</v>
      </c>
      <c r="AC13" s="332">
        <f t="shared" si="11"/>
        <v>750</v>
      </c>
      <c r="AD13" s="330">
        <f t="shared" si="12"/>
        <v>1595</v>
      </c>
      <c r="AE13" s="330">
        <f t="shared" si="13"/>
        <v>1950</v>
      </c>
      <c r="AF13" s="330">
        <f t="shared" si="14"/>
        <v>0</v>
      </c>
      <c r="AG13" s="333"/>
      <c r="AI13" s="34" t="s">
        <v>186</v>
      </c>
      <c r="AJ13" s="34">
        <v>9</v>
      </c>
      <c r="AK13" s="34">
        <v>8</v>
      </c>
      <c r="AL13" s="34">
        <v>8</v>
      </c>
      <c r="AM13" s="34">
        <v>0</v>
      </c>
    </row>
    <row r="14" spans="1:39" ht="69.95" customHeight="1">
      <c r="A14" s="322">
        <f t="shared" si="15"/>
        <v>4</v>
      </c>
      <c r="B14" s="323" t="s">
        <v>187</v>
      </c>
      <c r="C14" s="324" t="s">
        <v>188</v>
      </c>
      <c r="D14" s="325" t="s">
        <v>182</v>
      </c>
      <c r="E14" s="326" t="s">
        <v>146</v>
      </c>
      <c r="F14" s="327" t="s">
        <v>361</v>
      </c>
      <c r="G14" s="328">
        <v>5</v>
      </c>
      <c r="H14" s="328">
        <v>12</v>
      </c>
      <c r="I14" s="328">
        <v>1</v>
      </c>
      <c r="J14" s="328">
        <v>0</v>
      </c>
      <c r="K14" s="329">
        <f t="shared" si="0"/>
        <v>18</v>
      </c>
      <c r="L14" s="329">
        <v>0</v>
      </c>
      <c r="M14" s="329">
        <f t="shared" si="1"/>
        <v>18</v>
      </c>
      <c r="N14" s="328">
        <v>4</v>
      </c>
      <c r="O14" s="329">
        <f t="shared" si="2"/>
        <v>22</v>
      </c>
      <c r="P14" s="328">
        <v>0</v>
      </c>
      <c r="Q14" s="328">
        <v>0</v>
      </c>
      <c r="R14" s="330">
        <v>541</v>
      </c>
      <c r="S14" s="330">
        <v>494</v>
      </c>
      <c r="T14" s="331">
        <f t="shared" si="16"/>
        <v>0</v>
      </c>
      <c r="U14" s="331">
        <f t="shared" si="3"/>
        <v>9738</v>
      </c>
      <c r="V14" s="331">
        <f t="shared" si="4"/>
        <v>0</v>
      </c>
      <c r="W14" s="330">
        <f t="shared" si="5"/>
        <v>811</v>
      </c>
      <c r="X14" s="330">
        <f t="shared" si="6"/>
        <v>3246</v>
      </c>
      <c r="Y14" s="330">
        <f t="shared" si="7"/>
        <v>1558</v>
      </c>
      <c r="Z14" s="330">
        <f t="shared" si="8"/>
        <v>2164</v>
      </c>
      <c r="AA14" s="330">
        <f t="shared" si="9"/>
        <v>730</v>
      </c>
      <c r="AB14" s="331">
        <f t="shared" si="10"/>
        <v>0</v>
      </c>
      <c r="AC14" s="332">
        <f t="shared" si="11"/>
        <v>540</v>
      </c>
      <c r="AD14" s="330">
        <f t="shared" si="12"/>
        <v>1034</v>
      </c>
      <c r="AE14" s="330">
        <f t="shared" si="13"/>
        <v>1266</v>
      </c>
      <c r="AF14" s="330">
        <f t="shared" si="14"/>
        <v>497</v>
      </c>
      <c r="AG14" s="333"/>
      <c r="AI14" s="34" t="s">
        <v>188</v>
      </c>
      <c r="AJ14" s="34">
        <v>6</v>
      </c>
      <c r="AK14" s="34">
        <v>16</v>
      </c>
      <c r="AL14" s="34">
        <v>0</v>
      </c>
      <c r="AM14" s="34">
        <v>0</v>
      </c>
    </row>
    <row r="15" spans="1:39" ht="69.95" customHeight="1">
      <c r="A15" s="322">
        <f t="shared" si="15"/>
        <v>5</v>
      </c>
      <c r="B15" s="323" t="s">
        <v>189</v>
      </c>
      <c r="C15" s="324" t="s">
        <v>190</v>
      </c>
      <c r="D15" s="325" t="s">
        <v>182</v>
      </c>
      <c r="E15" s="326" t="s">
        <v>354</v>
      </c>
      <c r="F15" s="327" t="s">
        <v>143</v>
      </c>
      <c r="G15" s="328">
        <v>0</v>
      </c>
      <c r="H15" s="328">
        <v>0</v>
      </c>
      <c r="I15" s="328">
        <v>0</v>
      </c>
      <c r="J15" s="328">
        <v>20</v>
      </c>
      <c r="K15" s="329">
        <f t="shared" si="0"/>
        <v>20</v>
      </c>
      <c r="L15" s="329">
        <v>0</v>
      </c>
      <c r="M15" s="329">
        <f t="shared" si="1"/>
        <v>20</v>
      </c>
      <c r="N15" s="328">
        <v>4</v>
      </c>
      <c r="O15" s="329">
        <f t="shared" si="2"/>
        <v>24</v>
      </c>
      <c r="P15" s="328">
        <v>30</v>
      </c>
      <c r="Q15" s="328">
        <v>0</v>
      </c>
      <c r="R15" s="330">
        <v>893</v>
      </c>
      <c r="S15" s="330">
        <v>816</v>
      </c>
      <c r="T15" s="331">
        <f t="shared" si="16"/>
        <v>6698</v>
      </c>
      <c r="U15" s="331">
        <f t="shared" si="3"/>
        <v>17860</v>
      </c>
      <c r="V15" s="331">
        <f t="shared" si="4"/>
        <v>893</v>
      </c>
      <c r="W15" s="330">
        <f t="shared" si="5"/>
        <v>1488</v>
      </c>
      <c r="X15" s="330">
        <f t="shared" si="6"/>
        <v>5953</v>
      </c>
      <c r="Y15" s="330">
        <f t="shared" si="7"/>
        <v>2858</v>
      </c>
      <c r="Z15" s="330">
        <f t="shared" si="8"/>
        <v>3572</v>
      </c>
      <c r="AA15" s="330">
        <f t="shared" si="9"/>
        <v>0</v>
      </c>
      <c r="AB15" s="331">
        <f t="shared" si="10"/>
        <v>0</v>
      </c>
      <c r="AC15" s="332">
        <f t="shared" si="11"/>
        <v>600</v>
      </c>
      <c r="AD15" s="330">
        <f t="shared" si="12"/>
        <v>2426</v>
      </c>
      <c r="AE15" s="330">
        <f t="shared" si="13"/>
        <v>1950</v>
      </c>
      <c r="AF15" s="330">
        <f t="shared" si="14"/>
        <v>0</v>
      </c>
      <c r="AG15" s="333"/>
      <c r="AI15" s="34" t="s">
        <v>190</v>
      </c>
      <c r="AJ15" s="34">
        <v>0</v>
      </c>
      <c r="AK15" s="34">
        <v>0</v>
      </c>
      <c r="AL15" s="34">
        <v>0</v>
      </c>
      <c r="AM15" s="34">
        <v>24</v>
      </c>
    </row>
    <row r="16" spans="1:39" ht="69.95" customHeight="1">
      <c r="A16" s="322">
        <f t="shared" si="15"/>
        <v>6</v>
      </c>
      <c r="B16" s="323" t="s">
        <v>191</v>
      </c>
      <c r="C16" s="334" t="s">
        <v>133</v>
      </c>
      <c r="D16" s="335" t="s">
        <v>369</v>
      </c>
      <c r="E16" s="322" t="s">
        <v>144</v>
      </c>
      <c r="F16" s="327" t="s">
        <v>363</v>
      </c>
      <c r="G16" s="328">
        <v>0</v>
      </c>
      <c r="H16" s="328">
        <v>0</v>
      </c>
      <c r="I16" s="328">
        <v>0</v>
      </c>
      <c r="J16" s="328">
        <v>23</v>
      </c>
      <c r="K16" s="329">
        <f t="shared" si="0"/>
        <v>23</v>
      </c>
      <c r="L16" s="329">
        <v>0</v>
      </c>
      <c r="M16" s="329">
        <f t="shared" si="1"/>
        <v>23</v>
      </c>
      <c r="N16" s="328">
        <v>4</v>
      </c>
      <c r="O16" s="329">
        <f t="shared" si="2"/>
        <v>27</v>
      </c>
      <c r="P16" s="328">
        <v>0</v>
      </c>
      <c r="Q16" s="328">
        <v>0</v>
      </c>
      <c r="R16" s="330">
        <v>760</v>
      </c>
      <c r="S16" s="330">
        <v>695</v>
      </c>
      <c r="T16" s="331">
        <f t="shared" si="16"/>
        <v>0</v>
      </c>
      <c r="U16" s="331">
        <f t="shared" si="3"/>
        <v>17480</v>
      </c>
      <c r="V16" s="331">
        <f t="shared" si="4"/>
        <v>874</v>
      </c>
      <c r="W16" s="330">
        <f t="shared" si="5"/>
        <v>1456</v>
      </c>
      <c r="X16" s="330">
        <f t="shared" si="6"/>
        <v>5826</v>
      </c>
      <c r="Y16" s="330">
        <f t="shared" si="7"/>
        <v>2797</v>
      </c>
      <c r="Z16" s="330">
        <f t="shared" si="8"/>
        <v>3040</v>
      </c>
      <c r="AA16" s="330">
        <f t="shared" si="9"/>
        <v>0</v>
      </c>
      <c r="AB16" s="331">
        <f t="shared" si="10"/>
        <v>0</v>
      </c>
      <c r="AC16" s="332">
        <f t="shared" si="11"/>
        <v>690</v>
      </c>
      <c r="AD16" s="330">
        <f t="shared" si="12"/>
        <v>1755</v>
      </c>
      <c r="AE16" s="330">
        <f t="shared" si="13"/>
        <v>1950</v>
      </c>
      <c r="AF16" s="330">
        <f t="shared" si="14"/>
        <v>0</v>
      </c>
      <c r="AG16" s="333"/>
      <c r="AI16" s="34" t="s">
        <v>133</v>
      </c>
      <c r="AJ16" s="34">
        <v>0</v>
      </c>
      <c r="AK16" s="34">
        <v>0</v>
      </c>
      <c r="AL16" s="34">
        <v>0</v>
      </c>
      <c r="AM16" s="34">
        <v>25</v>
      </c>
    </row>
    <row r="17" spans="1:39" ht="69.95" customHeight="1">
      <c r="A17" s="322">
        <f t="shared" si="15"/>
        <v>7</v>
      </c>
      <c r="B17" s="323" t="s">
        <v>192</v>
      </c>
      <c r="C17" s="324" t="s">
        <v>193</v>
      </c>
      <c r="D17" s="325" t="s">
        <v>182</v>
      </c>
      <c r="E17" s="326" t="s">
        <v>355</v>
      </c>
      <c r="F17" s="327" t="s">
        <v>363</v>
      </c>
      <c r="G17" s="328">
        <v>0</v>
      </c>
      <c r="H17" s="328">
        <v>0</v>
      </c>
      <c r="I17" s="328">
        <v>0</v>
      </c>
      <c r="J17" s="328">
        <v>18</v>
      </c>
      <c r="K17" s="329">
        <f t="shared" si="0"/>
        <v>18</v>
      </c>
      <c r="L17" s="329">
        <v>0</v>
      </c>
      <c r="M17" s="329">
        <f t="shared" si="1"/>
        <v>18</v>
      </c>
      <c r="N17" s="328">
        <v>4</v>
      </c>
      <c r="O17" s="329">
        <f t="shared" si="2"/>
        <v>22</v>
      </c>
      <c r="P17" s="328">
        <v>0</v>
      </c>
      <c r="Q17" s="328">
        <v>0</v>
      </c>
      <c r="R17" s="330">
        <v>760</v>
      </c>
      <c r="S17" s="330">
        <v>695</v>
      </c>
      <c r="T17" s="331">
        <f t="shared" si="16"/>
        <v>0</v>
      </c>
      <c r="U17" s="331">
        <f t="shared" si="3"/>
        <v>13680</v>
      </c>
      <c r="V17" s="331">
        <f t="shared" si="4"/>
        <v>0</v>
      </c>
      <c r="W17" s="330">
        <f t="shared" si="5"/>
        <v>1140</v>
      </c>
      <c r="X17" s="330">
        <f t="shared" si="6"/>
        <v>4560</v>
      </c>
      <c r="Y17" s="330">
        <f t="shared" si="7"/>
        <v>2189</v>
      </c>
      <c r="Z17" s="330">
        <f t="shared" si="8"/>
        <v>3040</v>
      </c>
      <c r="AA17" s="330">
        <f t="shared" si="9"/>
        <v>0</v>
      </c>
      <c r="AB17" s="331">
        <f t="shared" si="10"/>
        <v>0</v>
      </c>
      <c r="AC17" s="332">
        <f t="shared" si="11"/>
        <v>540</v>
      </c>
      <c r="AD17" s="330">
        <f t="shared" si="12"/>
        <v>1430</v>
      </c>
      <c r="AE17" s="330">
        <f t="shared" si="13"/>
        <v>1778</v>
      </c>
      <c r="AF17" s="330">
        <f t="shared" si="14"/>
        <v>0</v>
      </c>
      <c r="AG17" s="333"/>
      <c r="AI17" s="34" t="s">
        <v>193</v>
      </c>
      <c r="AJ17" s="34">
        <v>0</v>
      </c>
      <c r="AK17" s="34">
        <v>0</v>
      </c>
      <c r="AL17" s="34">
        <v>0</v>
      </c>
      <c r="AM17" s="34">
        <v>21</v>
      </c>
    </row>
    <row r="18" spans="1:39" ht="69.95" customHeight="1">
      <c r="A18" s="322">
        <f t="shared" si="15"/>
        <v>8</v>
      </c>
      <c r="B18" s="323" t="s">
        <v>194</v>
      </c>
      <c r="C18" s="336" t="s">
        <v>195</v>
      </c>
      <c r="D18" s="335" t="s">
        <v>196</v>
      </c>
      <c r="E18" s="322" t="s">
        <v>145</v>
      </c>
      <c r="F18" s="327" t="s">
        <v>362</v>
      </c>
      <c r="G18" s="328">
        <v>4</v>
      </c>
      <c r="H18" s="328">
        <v>7</v>
      </c>
      <c r="I18" s="328">
        <v>4</v>
      </c>
      <c r="J18" s="328">
        <v>8</v>
      </c>
      <c r="K18" s="329">
        <f t="shared" si="0"/>
        <v>23</v>
      </c>
      <c r="L18" s="329">
        <v>0</v>
      </c>
      <c r="M18" s="329">
        <f t="shared" si="1"/>
        <v>23</v>
      </c>
      <c r="N18" s="328">
        <v>4</v>
      </c>
      <c r="O18" s="329">
        <f t="shared" si="2"/>
        <v>27</v>
      </c>
      <c r="P18" s="328">
        <v>0</v>
      </c>
      <c r="Q18" s="328">
        <v>0</v>
      </c>
      <c r="R18" s="330">
        <v>632</v>
      </c>
      <c r="S18" s="330">
        <v>577</v>
      </c>
      <c r="T18" s="331">
        <f t="shared" si="16"/>
        <v>0</v>
      </c>
      <c r="U18" s="331">
        <f t="shared" si="3"/>
        <v>14536</v>
      </c>
      <c r="V18" s="331">
        <f t="shared" si="4"/>
        <v>727</v>
      </c>
      <c r="W18" s="330">
        <f>ROUND(K18*R18*8.33%,0)</f>
        <v>1211</v>
      </c>
      <c r="X18" s="330">
        <f t="shared" si="6"/>
        <v>4845</v>
      </c>
      <c r="Y18" s="330">
        <f t="shared" si="7"/>
        <v>2326</v>
      </c>
      <c r="Z18" s="330">
        <f t="shared" si="8"/>
        <v>2528</v>
      </c>
      <c r="AA18" s="330">
        <f t="shared" si="9"/>
        <v>640</v>
      </c>
      <c r="AB18" s="331">
        <f t="shared" si="10"/>
        <v>0</v>
      </c>
      <c r="AC18" s="332">
        <f t="shared" si="11"/>
        <v>690</v>
      </c>
      <c r="AD18" s="330">
        <f t="shared" si="12"/>
        <v>1485</v>
      </c>
      <c r="AE18" s="330">
        <f t="shared" si="13"/>
        <v>1890</v>
      </c>
      <c r="AF18" s="330">
        <f t="shared" si="14"/>
        <v>0</v>
      </c>
      <c r="AG18" s="333"/>
      <c r="AI18" s="34" t="s">
        <v>195</v>
      </c>
      <c r="AJ18" s="34">
        <v>0</v>
      </c>
      <c r="AK18" s="34">
        <v>7</v>
      </c>
      <c r="AL18" s="34">
        <v>0</v>
      </c>
      <c r="AM18" s="34">
        <v>20</v>
      </c>
    </row>
    <row r="19" spans="1:39" ht="69.95" customHeight="1">
      <c r="A19" s="322">
        <f t="shared" si="15"/>
        <v>9</v>
      </c>
      <c r="B19" s="323" t="s">
        <v>197</v>
      </c>
      <c r="C19" s="324" t="s">
        <v>198</v>
      </c>
      <c r="D19" s="325" t="s">
        <v>182</v>
      </c>
      <c r="E19" s="326" t="s">
        <v>146</v>
      </c>
      <c r="F19" s="327" t="s">
        <v>361</v>
      </c>
      <c r="G19" s="328">
        <v>0</v>
      </c>
      <c r="H19" s="328">
        <v>0</v>
      </c>
      <c r="I19" s="328">
        <v>0</v>
      </c>
      <c r="J19" s="328">
        <v>1</v>
      </c>
      <c r="K19" s="329">
        <f t="shared" si="0"/>
        <v>1</v>
      </c>
      <c r="L19" s="329">
        <v>0</v>
      </c>
      <c r="M19" s="329">
        <f t="shared" si="1"/>
        <v>1</v>
      </c>
      <c r="N19" s="328">
        <v>4</v>
      </c>
      <c r="O19" s="329">
        <f t="shared" si="2"/>
        <v>5</v>
      </c>
      <c r="P19" s="328">
        <v>0</v>
      </c>
      <c r="Q19" s="328">
        <v>0</v>
      </c>
      <c r="R19" s="330">
        <v>541</v>
      </c>
      <c r="S19" s="330">
        <v>494</v>
      </c>
      <c r="T19" s="331">
        <f t="shared" si="16"/>
        <v>0</v>
      </c>
      <c r="U19" s="331">
        <f t="shared" si="3"/>
        <v>541</v>
      </c>
      <c r="V19" s="331">
        <f t="shared" si="4"/>
        <v>0</v>
      </c>
      <c r="W19" s="330">
        <f t="shared" si="5"/>
        <v>45</v>
      </c>
      <c r="X19" s="330">
        <f t="shared" si="6"/>
        <v>180</v>
      </c>
      <c r="Y19" s="330">
        <f t="shared" si="7"/>
        <v>87</v>
      </c>
      <c r="Z19" s="330">
        <f t="shared" si="8"/>
        <v>2164</v>
      </c>
      <c r="AA19" s="330">
        <f t="shared" si="9"/>
        <v>0</v>
      </c>
      <c r="AB19" s="331">
        <f t="shared" si="10"/>
        <v>0</v>
      </c>
      <c r="AC19" s="332">
        <f t="shared" si="11"/>
        <v>30</v>
      </c>
      <c r="AD19" s="330">
        <f t="shared" si="12"/>
        <v>235</v>
      </c>
      <c r="AE19" s="330">
        <f t="shared" si="13"/>
        <v>70</v>
      </c>
      <c r="AF19" s="330">
        <f t="shared" si="14"/>
        <v>27</v>
      </c>
      <c r="AG19" s="333"/>
      <c r="AI19" s="34" t="s">
        <v>198</v>
      </c>
      <c r="AJ19" s="34">
        <v>0</v>
      </c>
      <c r="AK19" s="34">
        <v>0</v>
      </c>
      <c r="AL19" s="34">
        <v>0</v>
      </c>
      <c r="AM19" s="34">
        <v>5</v>
      </c>
    </row>
    <row r="20" spans="1:39" ht="69.95" customHeight="1">
      <c r="A20" s="322">
        <f t="shared" si="15"/>
        <v>10</v>
      </c>
      <c r="B20" s="323" t="s">
        <v>199</v>
      </c>
      <c r="C20" s="324" t="s">
        <v>200</v>
      </c>
      <c r="D20" s="325" t="s">
        <v>182</v>
      </c>
      <c r="E20" s="326" t="s">
        <v>356</v>
      </c>
      <c r="F20" s="327" t="s">
        <v>143</v>
      </c>
      <c r="G20" s="328">
        <v>0</v>
      </c>
      <c r="H20" s="328">
        <v>0</v>
      </c>
      <c r="I20" s="328">
        <v>0</v>
      </c>
      <c r="J20" s="328">
        <v>17</v>
      </c>
      <c r="K20" s="329">
        <f t="shared" si="0"/>
        <v>17</v>
      </c>
      <c r="L20" s="329">
        <v>0</v>
      </c>
      <c r="M20" s="329">
        <f t="shared" si="1"/>
        <v>17</v>
      </c>
      <c r="N20" s="328">
        <v>4</v>
      </c>
      <c r="O20" s="329">
        <f t="shared" si="2"/>
        <v>21</v>
      </c>
      <c r="P20" s="328">
        <v>0</v>
      </c>
      <c r="Q20" s="328">
        <v>0</v>
      </c>
      <c r="R20" s="330">
        <v>893</v>
      </c>
      <c r="S20" s="330">
        <v>816</v>
      </c>
      <c r="T20" s="331">
        <f t="shared" si="16"/>
        <v>0</v>
      </c>
      <c r="U20" s="331">
        <f t="shared" si="3"/>
        <v>15181</v>
      </c>
      <c r="V20" s="331">
        <f t="shared" si="4"/>
        <v>0</v>
      </c>
      <c r="W20" s="330">
        <f t="shared" si="5"/>
        <v>1265</v>
      </c>
      <c r="X20" s="330">
        <f t="shared" si="6"/>
        <v>5060</v>
      </c>
      <c r="Y20" s="330">
        <f t="shared" si="7"/>
        <v>2429</v>
      </c>
      <c r="Z20" s="330">
        <f t="shared" si="8"/>
        <v>3572</v>
      </c>
      <c r="AA20" s="330">
        <f t="shared" si="9"/>
        <v>0</v>
      </c>
      <c r="AB20" s="331">
        <f t="shared" si="10"/>
        <v>0</v>
      </c>
      <c r="AC20" s="332">
        <f t="shared" si="11"/>
        <v>510</v>
      </c>
      <c r="AD20" s="330">
        <f t="shared" si="12"/>
        <v>1617</v>
      </c>
      <c r="AE20" s="330">
        <f t="shared" si="13"/>
        <v>1950</v>
      </c>
      <c r="AF20" s="330">
        <f t="shared" si="14"/>
        <v>0</v>
      </c>
      <c r="AG20" s="333"/>
      <c r="AI20" s="34" t="s">
        <v>200</v>
      </c>
      <c r="AJ20" s="34">
        <v>0</v>
      </c>
      <c r="AK20" s="34">
        <v>0</v>
      </c>
      <c r="AL20" s="34">
        <v>0</v>
      </c>
      <c r="AM20" s="34">
        <v>13</v>
      </c>
    </row>
    <row r="21" spans="1:39" ht="69.95" customHeight="1">
      <c r="A21" s="322">
        <f t="shared" si="15"/>
        <v>11</v>
      </c>
      <c r="B21" s="323" t="s">
        <v>201</v>
      </c>
      <c r="C21" s="336" t="s">
        <v>202</v>
      </c>
      <c r="D21" s="335" t="s">
        <v>196</v>
      </c>
      <c r="E21" s="322" t="s">
        <v>146</v>
      </c>
      <c r="F21" s="327" t="s">
        <v>361</v>
      </c>
      <c r="G21" s="328">
        <v>9</v>
      </c>
      <c r="H21" s="328">
        <v>10</v>
      </c>
      <c r="I21" s="328">
        <v>7</v>
      </c>
      <c r="J21" s="328">
        <v>0</v>
      </c>
      <c r="K21" s="329">
        <f t="shared" si="0"/>
        <v>26</v>
      </c>
      <c r="L21" s="329">
        <v>0</v>
      </c>
      <c r="M21" s="329">
        <f t="shared" si="1"/>
        <v>26</v>
      </c>
      <c r="N21" s="328">
        <v>4</v>
      </c>
      <c r="O21" s="329">
        <f t="shared" si="2"/>
        <v>30</v>
      </c>
      <c r="P21" s="328">
        <v>0</v>
      </c>
      <c r="Q21" s="328">
        <v>0</v>
      </c>
      <c r="R21" s="330">
        <v>541</v>
      </c>
      <c r="S21" s="330">
        <v>494</v>
      </c>
      <c r="T21" s="331">
        <f t="shared" si="16"/>
        <v>0</v>
      </c>
      <c r="U21" s="331">
        <f t="shared" si="3"/>
        <v>14066</v>
      </c>
      <c r="V21" s="331">
        <f t="shared" si="4"/>
        <v>681</v>
      </c>
      <c r="W21" s="330">
        <f t="shared" si="5"/>
        <v>1172</v>
      </c>
      <c r="X21" s="330">
        <f t="shared" si="6"/>
        <v>4688</v>
      </c>
      <c r="Y21" s="330">
        <f t="shared" si="7"/>
        <v>2251</v>
      </c>
      <c r="Z21" s="330">
        <f t="shared" si="8"/>
        <v>2164</v>
      </c>
      <c r="AA21" s="330">
        <f t="shared" si="9"/>
        <v>1110</v>
      </c>
      <c r="AB21" s="331">
        <f t="shared" si="10"/>
        <v>0</v>
      </c>
      <c r="AC21" s="332">
        <f t="shared" si="11"/>
        <v>780</v>
      </c>
      <c r="AD21" s="330">
        <f t="shared" si="12"/>
        <v>1410</v>
      </c>
      <c r="AE21" s="330">
        <f t="shared" si="13"/>
        <v>1829</v>
      </c>
      <c r="AF21" s="330">
        <f t="shared" si="14"/>
        <v>719</v>
      </c>
      <c r="AG21" s="333"/>
      <c r="AI21" s="34" t="s">
        <v>202</v>
      </c>
      <c r="AJ21" s="34">
        <v>8</v>
      </c>
      <c r="AK21" s="34">
        <v>8</v>
      </c>
      <c r="AL21" s="34">
        <v>8</v>
      </c>
      <c r="AM21" s="34">
        <v>0</v>
      </c>
    </row>
    <row r="22" spans="1:39" ht="69.95" customHeight="1">
      <c r="A22" s="322">
        <f t="shared" si="15"/>
        <v>12</v>
      </c>
      <c r="B22" s="323" t="s">
        <v>203</v>
      </c>
      <c r="C22" s="337" t="s">
        <v>204</v>
      </c>
      <c r="D22" s="325" t="s">
        <v>182</v>
      </c>
      <c r="E22" s="326" t="s">
        <v>356</v>
      </c>
      <c r="F22" s="327" t="s">
        <v>143</v>
      </c>
      <c r="G22" s="328">
        <v>5</v>
      </c>
      <c r="H22" s="328">
        <v>7</v>
      </c>
      <c r="I22" s="328">
        <v>0</v>
      </c>
      <c r="J22" s="328">
        <v>3</v>
      </c>
      <c r="K22" s="329">
        <f t="shared" si="0"/>
        <v>15</v>
      </c>
      <c r="L22" s="329">
        <v>0</v>
      </c>
      <c r="M22" s="329">
        <f t="shared" si="1"/>
        <v>15</v>
      </c>
      <c r="N22" s="328">
        <v>4</v>
      </c>
      <c r="O22" s="329">
        <f t="shared" si="2"/>
        <v>19</v>
      </c>
      <c r="P22" s="328">
        <v>0</v>
      </c>
      <c r="Q22" s="328">
        <v>0</v>
      </c>
      <c r="R22" s="330">
        <v>893</v>
      </c>
      <c r="S22" s="330">
        <v>816</v>
      </c>
      <c r="T22" s="331">
        <f t="shared" si="16"/>
        <v>0</v>
      </c>
      <c r="U22" s="331">
        <f t="shared" si="3"/>
        <v>13395</v>
      </c>
      <c r="V22" s="331">
        <f t="shared" si="4"/>
        <v>0</v>
      </c>
      <c r="W22" s="330">
        <f t="shared" si="5"/>
        <v>1116</v>
      </c>
      <c r="X22" s="330">
        <f t="shared" si="6"/>
        <v>4465</v>
      </c>
      <c r="Y22" s="330">
        <f t="shared" si="7"/>
        <v>2143</v>
      </c>
      <c r="Z22" s="330">
        <f t="shared" si="8"/>
        <v>3572</v>
      </c>
      <c r="AA22" s="330">
        <f t="shared" si="9"/>
        <v>480</v>
      </c>
      <c r="AB22" s="331">
        <f t="shared" si="10"/>
        <v>0</v>
      </c>
      <c r="AC22" s="332">
        <f t="shared" si="11"/>
        <v>450</v>
      </c>
      <c r="AD22" s="330">
        <f t="shared" si="12"/>
        <v>1463</v>
      </c>
      <c r="AE22" s="330">
        <f t="shared" si="13"/>
        <v>1741</v>
      </c>
      <c r="AF22" s="330">
        <f t="shared" si="14"/>
        <v>0</v>
      </c>
      <c r="AG22" s="333"/>
      <c r="AI22" s="34" t="s">
        <v>204</v>
      </c>
      <c r="AJ22" s="34">
        <v>13</v>
      </c>
      <c r="AK22" s="34">
        <v>7</v>
      </c>
      <c r="AL22" s="34">
        <v>0</v>
      </c>
      <c r="AM22" s="34">
        <v>1</v>
      </c>
    </row>
    <row r="23" spans="1:39" ht="69.95" customHeight="1">
      <c r="A23" s="322">
        <f t="shared" si="15"/>
        <v>13</v>
      </c>
      <c r="B23" s="323" t="s">
        <v>205</v>
      </c>
      <c r="C23" s="336" t="s">
        <v>422</v>
      </c>
      <c r="D23" s="335" t="s">
        <v>196</v>
      </c>
      <c r="E23" s="322" t="s">
        <v>146</v>
      </c>
      <c r="F23" s="327" t="s">
        <v>361</v>
      </c>
      <c r="G23" s="328">
        <v>9</v>
      </c>
      <c r="H23" s="328">
        <v>8</v>
      </c>
      <c r="I23" s="328">
        <v>10</v>
      </c>
      <c r="J23" s="328">
        <v>0</v>
      </c>
      <c r="K23" s="329">
        <f t="shared" si="0"/>
        <v>27</v>
      </c>
      <c r="L23" s="329">
        <v>0</v>
      </c>
      <c r="M23" s="329">
        <f t="shared" si="1"/>
        <v>27</v>
      </c>
      <c r="N23" s="328">
        <v>4</v>
      </c>
      <c r="O23" s="329">
        <f t="shared" si="2"/>
        <v>31</v>
      </c>
      <c r="P23" s="328">
        <v>0</v>
      </c>
      <c r="Q23" s="328">
        <v>0</v>
      </c>
      <c r="R23" s="330">
        <v>541</v>
      </c>
      <c r="S23" s="330">
        <v>494</v>
      </c>
      <c r="T23" s="331">
        <f t="shared" si="16"/>
        <v>0</v>
      </c>
      <c r="U23" s="331">
        <f t="shared" si="3"/>
        <v>14607</v>
      </c>
      <c r="V23" s="331">
        <f t="shared" si="4"/>
        <v>681</v>
      </c>
      <c r="W23" s="330">
        <f t="shared" si="5"/>
        <v>1217</v>
      </c>
      <c r="X23" s="330">
        <f t="shared" si="6"/>
        <v>4869</v>
      </c>
      <c r="Y23" s="330">
        <f t="shared" si="7"/>
        <v>2337</v>
      </c>
      <c r="Z23" s="330">
        <f t="shared" si="8"/>
        <v>2164</v>
      </c>
      <c r="AA23" s="330">
        <f t="shared" si="9"/>
        <v>1180</v>
      </c>
      <c r="AB23" s="331">
        <f t="shared" si="10"/>
        <v>0</v>
      </c>
      <c r="AC23" s="332">
        <f t="shared" si="11"/>
        <v>810</v>
      </c>
      <c r="AD23" s="330">
        <f t="shared" si="12"/>
        <v>1457</v>
      </c>
      <c r="AE23" s="330">
        <f t="shared" si="13"/>
        <v>1899</v>
      </c>
      <c r="AF23" s="330">
        <f t="shared" si="14"/>
        <v>748</v>
      </c>
      <c r="AG23" s="333"/>
      <c r="AI23" s="34" t="s">
        <v>422</v>
      </c>
      <c r="AJ23" s="34">
        <v>8</v>
      </c>
      <c r="AK23" s="34">
        <v>10</v>
      </c>
      <c r="AL23" s="34">
        <v>8</v>
      </c>
      <c r="AM23" s="34">
        <v>0</v>
      </c>
    </row>
    <row r="24" spans="1:39" ht="69.95" customHeight="1">
      <c r="A24" s="322">
        <f t="shared" si="15"/>
        <v>14</v>
      </c>
      <c r="B24" s="323" t="s">
        <v>206</v>
      </c>
      <c r="C24" s="324" t="s">
        <v>207</v>
      </c>
      <c r="D24" s="325" t="s">
        <v>182</v>
      </c>
      <c r="E24" s="326" t="s">
        <v>146</v>
      </c>
      <c r="F24" s="327" t="s">
        <v>361</v>
      </c>
      <c r="G24" s="328">
        <v>5</v>
      </c>
      <c r="H24" s="328">
        <v>1</v>
      </c>
      <c r="I24" s="328">
        <v>1</v>
      </c>
      <c r="J24" s="328">
        <v>0</v>
      </c>
      <c r="K24" s="329">
        <f t="shared" si="0"/>
        <v>7</v>
      </c>
      <c r="L24" s="329">
        <v>0</v>
      </c>
      <c r="M24" s="329">
        <f t="shared" si="1"/>
        <v>7</v>
      </c>
      <c r="N24" s="328">
        <v>4</v>
      </c>
      <c r="O24" s="329">
        <f t="shared" si="2"/>
        <v>11</v>
      </c>
      <c r="P24" s="328">
        <v>0</v>
      </c>
      <c r="Q24" s="328">
        <v>0</v>
      </c>
      <c r="R24" s="330">
        <v>541</v>
      </c>
      <c r="S24" s="330">
        <v>494</v>
      </c>
      <c r="T24" s="331">
        <f t="shared" si="16"/>
        <v>0</v>
      </c>
      <c r="U24" s="331">
        <f t="shared" si="3"/>
        <v>3787</v>
      </c>
      <c r="V24" s="331">
        <f t="shared" si="4"/>
        <v>0</v>
      </c>
      <c r="W24" s="330">
        <f t="shared" si="5"/>
        <v>315</v>
      </c>
      <c r="X24" s="330">
        <f t="shared" si="6"/>
        <v>1262</v>
      </c>
      <c r="Y24" s="330">
        <f t="shared" si="7"/>
        <v>606</v>
      </c>
      <c r="Z24" s="330">
        <f t="shared" si="8"/>
        <v>2164</v>
      </c>
      <c r="AA24" s="330">
        <f t="shared" si="9"/>
        <v>290</v>
      </c>
      <c r="AB24" s="331">
        <f t="shared" si="10"/>
        <v>0</v>
      </c>
      <c r="AC24" s="332">
        <f t="shared" si="11"/>
        <v>210</v>
      </c>
      <c r="AD24" s="330">
        <f t="shared" si="12"/>
        <v>517</v>
      </c>
      <c r="AE24" s="330">
        <f t="shared" si="13"/>
        <v>492</v>
      </c>
      <c r="AF24" s="330">
        <f t="shared" si="14"/>
        <v>194</v>
      </c>
      <c r="AG24" s="333"/>
      <c r="AI24" s="34" t="s">
        <v>207</v>
      </c>
      <c r="AJ24" s="34">
        <v>3</v>
      </c>
      <c r="AK24" s="34">
        <v>1</v>
      </c>
      <c r="AL24" s="34">
        <v>5</v>
      </c>
      <c r="AM24" s="34">
        <v>0</v>
      </c>
    </row>
    <row r="25" spans="1:39" ht="69.95" customHeight="1">
      <c r="A25" s="322">
        <f t="shared" si="15"/>
        <v>15</v>
      </c>
      <c r="B25" s="323" t="s">
        <v>208</v>
      </c>
      <c r="C25" s="324" t="s">
        <v>209</v>
      </c>
      <c r="D25" s="325" t="s">
        <v>182</v>
      </c>
      <c r="E25" s="326" t="s">
        <v>146</v>
      </c>
      <c r="F25" s="327" t="s">
        <v>361</v>
      </c>
      <c r="G25" s="328">
        <v>10</v>
      </c>
      <c r="H25" s="328">
        <v>7</v>
      </c>
      <c r="I25" s="328">
        <v>6</v>
      </c>
      <c r="J25" s="328">
        <v>1</v>
      </c>
      <c r="K25" s="329">
        <f t="shared" si="0"/>
        <v>24</v>
      </c>
      <c r="L25" s="329">
        <v>0</v>
      </c>
      <c r="M25" s="329">
        <f t="shared" si="1"/>
        <v>24</v>
      </c>
      <c r="N25" s="328">
        <v>4</v>
      </c>
      <c r="O25" s="329">
        <f t="shared" si="2"/>
        <v>28</v>
      </c>
      <c r="P25" s="328">
        <v>0</v>
      </c>
      <c r="Q25" s="328">
        <v>0</v>
      </c>
      <c r="R25" s="330">
        <v>541</v>
      </c>
      <c r="S25" s="330">
        <v>494</v>
      </c>
      <c r="T25" s="331">
        <f t="shared" si="16"/>
        <v>0</v>
      </c>
      <c r="U25" s="331">
        <f t="shared" si="3"/>
        <v>12984</v>
      </c>
      <c r="V25" s="331">
        <f t="shared" si="4"/>
        <v>649</v>
      </c>
      <c r="W25" s="330">
        <f t="shared" si="5"/>
        <v>1082</v>
      </c>
      <c r="X25" s="330">
        <f t="shared" si="6"/>
        <v>4328</v>
      </c>
      <c r="Y25" s="330">
        <f t="shared" si="7"/>
        <v>2077</v>
      </c>
      <c r="Z25" s="330">
        <f t="shared" si="8"/>
        <v>2164</v>
      </c>
      <c r="AA25" s="330">
        <f t="shared" si="9"/>
        <v>980</v>
      </c>
      <c r="AB25" s="331">
        <f t="shared" si="10"/>
        <v>0</v>
      </c>
      <c r="AC25" s="332">
        <f t="shared" si="11"/>
        <v>720</v>
      </c>
      <c r="AD25" s="330">
        <f t="shared" si="12"/>
        <v>1316</v>
      </c>
      <c r="AE25" s="330">
        <f t="shared" si="13"/>
        <v>1688</v>
      </c>
      <c r="AF25" s="330">
        <f t="shared" si="14"/>
        <v>662</v>
      </c>
      <c r="AG25" s="333"/>
      <c r="AI25" s="34" t="s">
        <v>209</v>
      </c>
      <c r="AJ25" s="34">
        <v>5</v>
      </c>
      <c r="AK25" s="34">
        <v>7</v>
      </c>
      <c r="AL25" s="34">
        <v>9</v>
      </c>
      <c r="AM25" s="34">
        <v>0</v>
      </c>
    </row>
    <row r="26" spans="1:39" ht="69.95" customHeight="1">
      <c r="A26" s="322">
        <f t="shared" si="15"/>
        <v>16</v>
      </c>
      <c r="B26" s="323" t="s">
        <v>210</v>
      </c>
      <c r="C26" s="324" t="s">
        <v>211</v>
      </c>
      <c r="D26" s="325" t="s">
        <v>182</v>
      </c>
      <c r="E26" s="326" t="s">
        <v>145</v>
      </c>
      <c r="F26" s="327" t="s">
        <v>362</v>
      </c>
      <c r="G26" s="328">
        <v>9</v>
      </c>
      <c r="H26" s="328">
        <v>8</v>
      </c>
      <c r="I26" s="328">
        <v>7</v>
      </c>
      <c r="J26" s="328">
        <v>0</v>
      </c>
      <c r="K26" s="329">
        <f t="shared" si="0"/>
        <v>24</v>
      </c>
      <c r="L26" s="329">
        <v>0</v>
      </c>
      <c r="M26" s="329">
        <f t="shared" si="1"/>
        <v>24</v>
      </c>
      <c r="N26" s="328">
        <v>4</v>
      </c>
      <c r="O26" s="329">
        <f t="shared" si="2"/>
        <v>28</v>
      </c>
      <c r="P26" s="328">
        <v>0</v>
      </c>
      <c r="Q26" s="328">
        <v>0</v>
      </c>
      <c r="R26" s="330">
        <v>632</v>
      </c>
      <c r="S26" s="330">
        <v>577</v>
      </c>
      <c r="T26" s="331">
        <f t="shared" si="16"/>
        <v>0</v>
      </c>
      <c r="U26" s="331">
        <f t="shared" si="3"/>
        <v>15168</v>
      </c>
      <c r="V26" s="331">
        <f t="shared" si="4"/>
        <v>758</v>
      </c>
      <c r="W26" s="330">
        <f t="shared" si="5"/>
        <v>1263</v>
      </c>
      <c r="X26" s="330">
        <f t="shared" si="6"/>
        <v>5055</v>
      </c>
      <c r="Y26" s="330">
        <f t="shared" si="7"/>
        <v>2427</v>
      </c>
      <c r="Z26" s="330">
        <f t="shared" si="8"/>
        <v>2528</v>
      </c>
      <c r="AA26" s="330">
        <f t="shared" si="9"/>
        <v>1030</v>
      </c>
      <c r="AB26" s="331">
        <f t="shared" si="10"/>
        <v>0</v>
      </c>
      <c r="AC26" s="332">
        <f t="shared" si="11"/>
        <v>720</v>
      </c>
      <c r="AD26" s="330">
        <f t="shared" si="12"/>
        <v>1540</v>
      </c>
      <c r="AE26" s="330">
        <f t="shared" si="13"/>
        <v>1950</v>
      </c>
      <c r="AF26" s="330">
        <f t="shared" si="14"/>
        <v>0</v>
      </c>
      <c r="AG26" s="333"/>
      <c r="AI26" s="34" t="s">
        <v>211</v>
      </c>
      <c r="AJ26" s="34">
        <v>8</v>
      </c>
      <c r="AK26" s="34">
        <v>8</v>
      </c>
      <c r="AL26" s="34">
        <v>9</v>
      </c>
      <c r="AM26" s="34">
        <v>0</v>
      </c>
    </row>
    <row r="27" spans="1:39" ht="69.95" customHeight="1">
      <c r="A27" s="322">
        <f t="shared" si="15"/>
        <v>17</v>
      </c>
      <c r="B27" s="323" t="s">
        <v>212</v>
      </c>
      <c r="C27" s="324" t="s">
        <v>213</v>
      </c>
      <c r="D27" s="325" t="s">
        <v>182</v>
      </c>
      <c r="E27" s="326" t="s">
        <v>144</v>
      </c>
      <c r="F27" s="327" t="s">
        <v>363</v>
      </c>
      <c r="G27" s="328">
        <v>8</v>
      </c>
      <c r="H27" s="328">
        <v>10</v>
      </c>
      <c r="I27" s="328">
        <v>9</v>
      </c>
      <c r="J27" s="328">
        <v>0</v>
      </c>
      <c r="K27" s="329">
        <f t="shared" si="0"/>
        <v>27</v>
      </c>
      <c r="L27" s="329">
        <v>0</v>
      </c>
      <c r="M27" s="329">
        <f t="shared" si="1"/>
        <v>27</v>
      </c>
      <c r="N27" s="328">
        <v>4</v>
      </c>
      <c r="O27" s="329">
        <f t="shared" si="2"/>
        <v>31</v>
      </c>
      <c r="P27" s="328">
        <v>0</v>
      </c>
      <c r="Q27" s="328">
        <v>0</v>
      </c>
      <c r="R27" s="330">
        <v>760</v>
      </c>
      <c r="S27" s="330">
        <v>695</v>
      </c>
      <c r="T27" s="331">
        <f t="shared" si="16"/>
        <v>0</v>
      </c>
      <c r="U27" s="331">
        <f t="shared" si="3"/>
        <v>20520</v>
      </c>
      <c r="V27" s="331">
        <f t="shared" si="4"/>
        <v>956</v>
      </c>
      <c r="W27" s="330">
        <f t="shared" si="5"/>
        <v>1709</v>
      </c>
      <c r="X27" s="330">
        <f t="shared" si="6"/>
        <v>6839</v>
      </c>
      <c r="Y27" s="330">
        <f t="shared" si="7"/>
        <v>3283</v>
      </c>
      <c r="Z27" s="330">
        <f t="shared" si="8"/>
        <v>3040</v>
      </c>
      <c r="AA27" s="330">
        <f t="shared" si="9"/>
        <v>1170</v>
      </c>
      <c r="AB27" s="331">
        <f t="shared" si="10"/>
        <v>0</v>
      </c>
      <c r="AC27" s="332">
        <f t="shared" si="11"/>
        <v>810</v>
      </c>
      <c r="AD27" s="330">
        <f t="shared" si="12"/>
        <v>2015</v>
      </c>
      <c r="AE27" s="330">
        <f t="shared" si="13"/>
        <v>1950</v>
      </c>
      <c r="AF27" s="330">
        <f t="shared" si="14"/>
        <v>0</v>
      </c>
      <c r="AG27" s="333"/>
      <c r="AI27" s="34" t="s">
        <v>213</v>
      </c>
      <c r="AJ27" s="34">
        <v>8</v>
      </c>
      <c r="AK27" s="34">
        <v>8</v>
      </c>
      <c r="AL27" s="34">
        <v>10</v>
      </c>
      <c r="AM27" s="34">
        <v>0</v>
      </c>
    </row>
    <row r="28" spans="1:39" ht="69.95" customHeight="1">
      <c r="A28" s="322">
        <f t="shared" si="15"/>
        <v>18</v>
      </c>
      <c r="B28" s="323" t="s">
        <v>423</v>
      </c>
      <c r="C28" s="336" t="s">
        <v>424</v>
      </c>
      <c r="D28" s="335" t="s">
        <v>196</v>
      </c>
      <c r="E28" s="322" t="s">
        <v>145</v>
      </c>
      <c r="F28" s="327" t="s">
        <v>362</v>
      </c>
      <c r="G28" s="328">
        <v>0</v>
      </c>
      <c r="H28" s="328">
        <v>0</v>
      </c>
      <c r="I28" s="328">
        <v>0</v>
      </c>
      <c r="J28" s="328">
        <v>0</v>
      </c>
      <c r="K28" s="329">
        <f t="shared" si="0"/>
        <v>0</v>
      </c>
      <c r="L28" s="329">
        <v>0</v>
      </c>
      <c r="M28" s="329">
        <f t="shared" si="1"/>
        <v>0</v>
      </c>
      <c r="N28" s="328">
        <v>0</v>
      </c>
      <c r="O28" s="329">
        <f t="shared" si="2"/>
        <v>0</v>
      </c>
      <c r="P28" s="328">
        <v>0</v>
      </c>
      <c r="Q28" s="347">
        <v>0</v>
      </c>
      <c r="R28" s="330"/>
      <c r="S28" s="330">
        <v>577</v>
      </c>
      <c r="T28" s="331">
        <f t="shared" si="16"/>
        <v>0</v>
      </c>
      <c r="U28" s="331">
        <f t="shared" si="3"/>
        <v>0</v>
      </c>
      <c r="V28" s="331">
        <f t="shared" si="4"/>
        <v>0</v>
      </c>
      <c r="W28" s="330">
        <f t="shared" si="5"/>
        <v>0</v>
      </c>
      <c r="X28" s="330">
        <f t="shared" si="6"/>
        <v>0</v>
      </c>
      <c r="Y28" s="330">
        <f t="shared" si="7"/>
        <v>0</v>
      </c>
      <c r="Z28" s="330">
        <f t="shared" si="8"/>
        <v>0</v>
      </c>
      <c r="AA28" s="330">
        <f t="shared" si="9"/>
        <v>0</v>
      </c>
      <c r="AB28" s="331">
        <f t="shared" si="10"/>
        <v>0</v>
      </c>
      <c r="AC28" s="332">
        <f t="shared" si="11"/>
        <v>0</v>
      </c>
      <c r="AD28" s="330">
        <f t="shared" si="12"/>
        <v>0</v>
      </c>
      <c r="AE28" s="330">
        <f t="shared" si="13"/>
        <v>0</v>
      </c>
      <c r="AF28" s="330">
        <f t="shared" si="14"/>
        <v>0</v>
      </c>
      <c r="AG28" s="333"/>
      <c r="AI28" s="34" t="s">
        <v>424</v>
      </c>
      <c r="AJ28" s="34">
        <v>0</v>
      </c>
      <c r="AK28" s="34">
        <v>8</v>
      </c>
      <c r="AL28" s="34">
        <v>0</v>
      </c>
      <c r="AM28" s="34">
        <v>18</v>
      </c>
    </row>
    <row r="29" spans="1:39" ht="69.95" customHeight="1">
      <c r="A29" s="322">
        <f t="shared" si="15"/>
        <v>19</v>
      </c>
      <c r="B29" s="323" t="s">
        <v>214</v>
      </c>
      <c r="C29" s="336" t="s">
        <v>425</v>
      </c>
      <c r="D29" s="335" t="s">
        <v>196</v>
      </c>
      <c r="E29" s="322" t="s">
        <v>146</v>
      </c>
      <c r="F29" s="327" t="s">
        <v>361</v>
      </c>
      <c r="G29" s="328">
        <v>0</v>
      </c>
      <c r="H29" s="328">
        <v>0</v>
      </c>
      <c r="I29" s="328">
        <v>0</v>
      </c>
      <c r="J29" s="328">
        <v>23</v>
      </c>
      <c r="K29" s="329">
        <f t="shared" si="0"/>
        <v>23</v>
      </c>
      <c r="L29" s="329">
        <v>0</v>
      </c>
      <c r="M29" s="329">
        <f t="shared" si="1"/>
        <v>23</v>
      </c>
      <c r="N29" s="328">
        <v>4</v>
      </c>
      <c r="O29" s="329">
        <f t="shared" si="2"/>
        <v>27</v>
      </c>
      <c r="P29" s="328">
        <v>0</v>
      </c>
      <c r="Q29" s="347">
        <v>0</v>
      </c>
      <c r="R29" s="330">
        <v>541</v>
      </c>
      <c r="S29" s="330">
        <v>494</v>
      </c>
      <c r="T29" s="331">
        <f t="shared" si="16"/>
        <v>0</v>
      </c>
      <c r="U29" s="331">
        <f t="shared" si="3"/>
        <v>12443</v>
      </c>
      <c r="V29" s="331">
        <f t="shared" si="4"/>
        <v>622</v>
      </c>
      <c r="W29" s="330">
        <f t="shared" si="5"/>
        <v>1037</v>
      </c>
      <c r="X29" s="330">
        <f t="shared" si="6"/>
        <v>4147</v>
      </c>
      <c r="Y29" s="330">
        <f t="shared" si="7"/>
        <v>1991</v>
      </c>
      <c r="Z29" s="330">
        <f t="shared" si="8"/>
        <v>2164</v>
      </c>
      <c r="AA29" s="330">
        <f t="shared" si="9"/>
        <v>0</v>
      </c>
      <c r="AB29" s="331">
        <f t="shared" si="10"/>
        <v>0</v>
      </c>
      <c r="AC29" s="332">
        <f t="shared" si="11"/>
        <v>690</v>
      </c>
      <c r="AD29" s="330">
        <f t="shared" si="12"/>
        <v>1269</v>
      </c>
      <c r="AE29" s="330">
        <f t="shared" si="13"/>
        <v>1618</v>
      </c>
      <c r="AF29" s="330">
        <f t="shared" si="14"/>
        <v>604</v>
      </c>
      <c r="AG29" s="333"/>
      <c r="AI29" s="34" t="s">
        <v>425</v>
      </c>
      <c r="AJ29" s="34">
        <v>0</v>
      </c>
      <c r="AK29" s="34">
        <v>0</v>
      </c>
      <c r="AL29" s="34">
        <v>0</v>
      </c>
      <c r="AM29" s="34">
        <v>25</v>
      </c>
    </row>
    <row r="30" spans="1:39" ht="69.95" customHeight="1">
      <c r="A30" s="322">
        <f t="shared" si="15"/>
        <v>20</v>
      </c>
      <c r="B30" s="323" t="s">
        <v>215</v>
      </c>
      <c r="C30" s="336" t="s">
        <v>216</v>
      </c>
      <c r="D30" s="335" t="s">
        <v>196</v>
      </c>
      <c r="E30" s="322" t="s">
        <v>145</v>
      </c>
      <c r="F30" s="327" t="s">
        <v>362</v>
      </c>
      <c r="G30" s="328">
        <v>0</v>
      </c>
      <c r="H30" s="328">
        <v>5</v>
      </c>
      <c r="I30" s="328">
        <v>0</v>
      </c>
      <c r="J30" s="328">
        <v>7</v>
      </c>
      <c r="K30" s="329">
        <f t="shared" si="0"/>
        <v>12</v>
      </c>
      <c r="L30" s="329">
        <v>0</v>
      </c>
      <c r="M30" s="329">
        <f t="shared" si="1"/>
        <v>12</v>
      </c>
      <c r="N30" s="328">
        <v>4</v>
      </c>
      <c r="O30" s="329">
        <f t="shared" si="2"/>
        <v>16</v>
      </c>
      <c r="P30" s="328">
        <v>0</v>
      </c>
      <c r="Q30" s="347">
        <v>1</v>
      </c>
      <c r="R30" s="330">
        <v>632</v>
      </c>
      <c r="S30" s="330">
        <v>577</v>
      </c>
      <c r="T30" s="331">
        <f t="shared" si="16"/>
        <v>0</v>
      </c>
      <c r="U30" s="331">
        <f t="shared" si="3"/>
        <v>7584</v>
      </c>
      <c r="V30" s="331">
        <f t="shared" si="4"/>
        <v>0</v>
      </c>
      <c r="W30" s="330">
        <f t="shared" si="5"/>
        <v>632</v>
      </c>
      <c r="X30" s="330">
        <f t="shared" si="6"/>
        <v>2528</v>
      </c>
      <c r="Y30" s="330">
        <f t="shared" si="7"/>
        <v>1213</v>
      </c>
      <c r="Z30" s="330">
        <f t="shared" si="8"/>
        <v>2528</v>
      </c>
      <c r="AA30" s="330">
        <f t="shared" si="9"/>
        <v>200</v>
      </c>
      <c r="AB30" s="331">
        <f t="shared" si="10"/>
        <v>632</v>
      </c>
      <c r="AC30" s="332">
        <f t="shared" si="11"/>
        <v>360</v>
      </c>
      <c r="AD30" s="330">
        <f t="shared" si="12"/>
        <v>880</v>
      </c>
      <c r="AE30" s="330">
        <f t="shared" si="13"/>
        <v>986</v>
      </c>
      <c r="AF30" s="330">
        <f t="shared" si="14"/>
        <v>0</v>
      </c>
      <c r="AG30" s="333"/>
      <c r="AI30" s="34" t="s">
        <v>216</v>
      </c>
      <c r="AJ30" s="34">
        <v>4</v>
      </c>
      <c r="AK30" s="34">
        <v>4</v>
      </c>
      <c r="AL30" s="34">
        <v>4</v>
      </c>
      <c r="AM30" s="34">
        <v>13</v>
      </c>
    </row>
    <row r="31" spans="1:39" ht="69.95" customHeight="1">
      <c r="A31" s="322">
        <f t="shared" si="15"/>
        <v>21</v>
      </c>
      <c r="B31" s="323" t="s">
        <v>217</v>
      </c>
      <c r="C31" s="336" t="s">
        <v>218</v>
      </c>
      <c r="D31" s="335" t="s">
        <v>196</v>
      </c>
      <c r="E31" s="322" t="s">
        <v>146</v>
      </c>
      <c r="F31" s="327" t="s">
        <v>361</v>
      </c>
      <c r="G31" s="328">
        <v>7</v>
      </c>
      <c r="H31" s="328">
        <v>9</v>
      </c>
      <c r="I31" s="328">
        <v>10</v>
      </c>
      <c r="J31" s="328">
        <v>2</v>
      </c>
      <c r="K31" s="329">
        <f t="shared" si="0"/>
        <v>28</v>
      </c>
      <c r="L31" s="329">
        <v>0</v>
      </c>
      <c r="M31" s="329">
        <f t="shared" si="1"/>
        <v>28</v>
      </c>
      <c r="N31" s="328">
        <v>4</v>
      </c>
      <c r="O31" s="329">
        <f t="shared" si="2"/>
        <v>32</v>
      </c>
      <c r="P31" s="328">
        <v>12</v>
      </c>
      <c r="Q31" s="347">
        <v>0</v>
      </c>
      <c r="R31" s="330">
        <v>541</v>
      </c>
      <c r="S31" s="330">
        <v>494</v>
      </c>
      <c r="T31" s="331">
        <f t="shared" si="16"/>
        <v>1623</v>
      </c>
      <c r="U31" s="331">
        <f t="shared" si="3"/>
        <v>15148</v>
      </c>
      <c r="V31" s="331">
        <f t="shared" si="4"/>
        <v>681</v>
      </c>
      <c r="W31" s="330">
        <f t="shared" si="5"/>
        <v>1262</v>
      </c>
      <c r="X31" s="330">
        <f t="shared" si="6"/>
        <v>5049</v>
      </c>
      <c r="Y31" s="330">
        <f t="shared" si="7"/>
        <v>2424</v>
      </c>
      <c r="Z31" s="330">
        <f t="shared" si="8"/>
        <v>2164</v>
      </c>
      <c r="AA31" s="330">
        <f t="shared" si="9"/>
        <v>1140</v>
      </c>
      <c r="AB31" s="331">
        <f t="shared" si="10"/>
        <v>0</v>
      </c>
      <c r="AC31" s="332">
        <f t="shared" si="11"/>
        <v>840</v>
      </c>
      <c r="AD31" s="330">
        <f t="shared" si="12"/>
        <v>1645</v>
      </c>
      <c r="AE31" s="330">
        <f t="shared" si="13"/>
        <v>1950</v>
      </c>
      <c r="AF31" s="330">
        <f t="shared" si="14"/>
        <v>825</v>
      </c>
      <c r="AG31" s="333"/>
      <c r="AI31" s="34" t="s">
        <v>218</v>
      </c>
      <c r="AJ31" s="34">
        <v>10</v>
      </c>
      <c r="AK31" s="34">
        <v>9</v>
      </c>
      <c r="AL31" s="34">
        <v>8</v>
      </c>
      <c r="AM31" s="34">
        <v>0</v>
      </c>
    </row>
    <row r="32" spans="1:39" ht="69.95" customHeight="1">
      <c r="A32" s="322">
        <f t="shared" si="15"/>
        <v>22</v>
      </c>
      <c r="B32" s="323" t="s">
        <v>219</v>
      </c>
      <c r="C32" s="336" t="s">
        <v>220</v>
      </c>
      <c r="D32" s="335" t="s">
        <v>196</v>
      </c>
      <c r="E32" s="322" t="s">
        <v>145</v>
      </c>
      <c r="F32" s="327" t="s">
        <v>362</v>
      </c>
      <c r="G32" s="328">
        <v>9</v>
      </c>
      <c r="H32" s="328">
        <v>11</v>
      </c>
      <c r="I32" s="328">
        <v>9</v>
      </c>
      <c r="J32" s="328">
        <v>0</v>
      </c>
      <c r="K32" s="329">
        <f t="shared" si="0"/>
        <v>29</v>
      </c>
      <c r="L32" s="329">
        <v>0</v>
      </c>
      <c r="M32" s="329">
        <f t="shared" si="1"/>
        <v>29</v>
      </c>
      <c r="N32" s="328">
        <v>4</v>
      </c>
      <c r="O32" s="329">
        <f t="shared" si="2"/>
        <v>33</v>
      </c>
      <c r="P32" s="328">
        <v>16</v>
      </c>
      <c r="Q32" s="347">
        <v>0</v>
      </c>
      <c r="R32" s="330">
        <v>632</v>
      </c>
      <c r="S32" s="330">
        <v>577</v>
      </c>
      <c r="T32" s="331">
        <f t="shared" si="16"/>
        <v>2528</v>
      </c>
      <c r="U32" s="331">
        <f t="shared" si="3"/>
        <v>18328</v>
      </c>
      <c r="V32" s="331">
        <f t="shared" si="4"/>
        <v>795</v>
      </c>
      <c r="W32" s="330">
        <f t="shared" si="5"/>
        <v>1527</v>
      </c>
      <c r="X32" s="330">
        <f t="shared" si="6"/>
        <v>6109</v>
      </c>
      <c r="Y32" s="330">
        <f t="shared" si="7"/>
        <v>2932</v>
      </c>
      <c r="Z32" s="330">
        <f t="shared" si="8"/>
        <v>2528</v>
      </c>
      <c r="AA32" s="330">
        <f t="shared" si="9"/>
        <v>1250</v>
      </c>
      <c r="AB32" s="331">
        <f t="shared" si="10"/>
        <v>0</v>
      </c>
      <c r="AC32" s="332">
        <f t="shared" si="11"/>
        <v>870</v>
      </c>
      <c r="AD32" s="330">
        <f t="shared" si="12"/>
        <v>2035</v>
      </c>
      <c r="AE32" s="330">
        <f t="shared" si="13"/>
        <v>1950</v>
      </c>
      <c r="AF32" s="330">
        <f t="shared" si="14"/>
        <v>0</v>
      </c>
      <c r="AG32" s="333"/>
      <c r="AI32" s="34" t="s">
        <v>220</v>
      </c>
      <c r="AJ32" s="34">
        <v>10</v>
      </c>
      <c r="AK32" s="34">
        <v>5</v>
      </c>
      <c r="AL32" s="34">
        <v>10</v>
      </c>
      <c r="AM32" s="34">
        <v>0</v>
      </c>
    </row>
    <row r="33" spans="1:39" ht="69.95" customHeight="1">
      <c r="A33" s="322">
        <f t="shared" si="15"/>
        <v>23</v>
      </c>
      <c r="B33" s="323" t="s">
        <v>221</v>
      </c>
      <c r="C33" s="324" t="s">
        <v>222</v>
      </c>
      <c r="D33" s="325" t="s">
        <v>182</v>
      </c>
      <c r="E33" s="326" t="s">
        <v>146</v>
      </c>
      <c r="F33" s="327" t="s">
        <v>361</v>
      </c>
      <c r="G33" s="328">
        <v>4</v>
      </c>
      <c r="H33" s="328">
        <v>6</v>
      </c>
      <c r="I33" s="328">
        <v>4</v>
      </c>
      <c r="J33" s="328">
        <v>0</v>
      </c>
      <c r="K33" s="329">
        <f t="shared" si="0"/>
        <v>14</v>
      </c>
      <c r="L33" s="329">
        <v>0</v>
      </c>
      <c r="M33" s="329">
        <f t="shared" si="1"/>
        <v>14</v>
      </c>
      <c r="N33" s="328">
        <v>4</v>
      </c>
      <c r="O33" s="329">
        <f t="shared" si="2"/>
        <v>18</v>
      </c>
      <c r="P33" s="328">
        <v>0</v>
      </c>
      <c r="Q33" s="347">
        <v>0</v>
      </c>
      <c r="R33" s="330">
        <v>541</v>
      </c>
      <c r="S33" s="330">
        <v>494</v>
      </c>
      <c r="T33" s="331">
        <f t="shared" si="16"/>
        <v>0</v>
      </c>
      <c r="U33" s="331">
        <f t="shared" si="3"/>
        <v>7574</v>
      </c>
      <c r="V33" s="331">
        <f t="shared" si="4"/>
        <v>0</v>
      </c>
      <c r="W33" s="330">
        <f t="shared" si="5"/>
        <v>631</v>
      </c>
      <c r="X33" s="330">
        <f t="shared" si="6"/>
        <v>2524</v>
      </c>
      <c r="Y33" s="330">
        <f t="shared" si="7"/>
        <v>1212</v>
      </c>
      <c r="Z33" s="330">
        <f t="shared" si="8"/>
        <v>2164</v>
      </c>
      <c r="AA33" s="330">
        <f t="shared" si="9"/>
        <v>600</v>
      </c>
      <c r="AB33" s="331">
        <f t="shared" si="10"/>
        <v>0</v>
      </c>
      <c r="AC33" s="332">
        <f t="shared" si="11"/>
        <v>420</v>
      </c>
      <c r="AD33" s="330">
        <f t="shared" si="12"/>
        <v>846</v>
      </c>
      <c r="AE33" s="330">
        <f t="shared" si="13"/>
        <v>985</v>
      </c>
      <c r="AF33" s="330">
        <f t="shared" si="14"/>
        <v>388</v>
      </c>
      <c r="AG33" s="333"/>
      <c r="AI33" s="34" t="s">
        <v>222</v>
      </c>
      <c r="AJ33" s="34">
        <v>7</v>
      </c>
      <c r="AK33" s="34">
        <v>6</v>
      </c>
      <c r="AL33" s="34">
        <v>6</v>
      </c>
      <c r="AM33" s="34">
        <v>0</v>
      </c>
    </row>
    <row r="34" spans="1:39" ht="69.95" customHeight="1">
      <c r="A34" s="322">
        <f t="shared" si="15"/>
        <v>24</v>
      </c>
      <c r="B34" s="323" t="s">
        <v>223</v>
      </c>
      <c r="C34" s="336" t="s">
        <v>426</v>
      </c>
      <c r="D34" s="335" t="s">
        <v>196</v>
      </c>
      <c r="E34" s="322" t="s">
        <v>146</v>
      </c>
      <c r="F34" s="327" t="s">
        <v>361</v>
      </c>
      <c r="G34" s="328">
        <v>0</v>
      </c>
      <c r="H34" s="328">
        <v>0</v>
      </c>
      <c r="I34" s="328">
        <v>0</v>
      </c>
      <c r="J34" s="328">
        <v>23</v>
      </c>
      <c r="K34" s="329">
        <f t="shared" si="0"/>
        <v>23</v>
      </c>
      <c r="L34" s="329">
        <v>0</v>
      </c>
      <c r="M34" s="329">
        <f t="shared" si="1"/>
        <v>23</v>
      </c>
      <c r="N34" s="328">
        <v>4</v>
      </c>
      <c r="O34" s="329">
        <f t="shared" si="2"/>
        <v>27</v>
      </c>
      <c r="P34" s="328">
        <v>0</v>
      </c>
      <c r="Q34" s="347">
        <v>0</v>
      </c>
      <c r="R34" s="330">
        <v>541</v>
      </c>
      <c r="S34" s="330">
        <v>494</v>
      </c>
      <c r="T34" s="331">
        <f t="shared" si="16"/>
        <v>0</v>
      </c>
      <c r="U34" s="331">
        <f t="shared" si="3"/>
        <v>12443</v>
      </c>
      <c r="V34" s="331">
        <f t="shared" si="4"/>
        <v>622</v>
      </c>
      <c r="W34" s="330">
        <f t="shared" si="5"/>
        <v>1037</v>
      </c>
      <c r="X34" s="330">
        <f t="shared" si="6"/>
        <v>4147</v>
      </c>
      <c r="Y34" s="330">
        <f t="shared" si="7"/>
        <v>1991</v>
      </c>
      <c r="Z34" s="330">
        <f t="shared" si="8"/>
        <v>2164</v>
      </c>
      <c r="AA34" s="330">
        <f t="shared" si="9"/>
        <v>0</v>
      </c>
      <c r="AB34" s="331">
        <f t="shared" si="10"/>
        <v>0</v>
      </c>
      <c r="AC34" s="332">
        <f t="shared" si="11"/>
        <v>690</v>
      </c>
      <c r="AD34" s="330">
        <f t="shared" si="12"/>
        <v>1269</v>
      </c>
      <c r="AE34" s="330">
        <f t="shared" si="13"/>
        <v>1618</v>
      </c>
      <c r="AF34" s="330">
        <f t="shared" si="14"/>
        <v>604</v>
      </c>
      <c r="AG34" s="333"/>
      <c r="AI34" s="34" t="s">
        <v>426</v>
      </c>
      <c r="AJ34" s="34">
        <v>0</v>
      </c>
      <c r="AK34" s="34">
        <v>0</v>
      </c>
      <c r="AL34" s="34">
        <v>0</v>
      </c>
      <c r="AM34" s="34">
        <v>25</v>
      </c>
    </row>
    <row r="35" spans="1:39" ht="69.95" customHeight="1">
      <c r="A35" s="322">
        <f t="shared" si="15"/>
        <v>25</v>
      </c>
      <c r="B35" s="323" t="s">
        <v>224</v>
      </c>
      <c r="C35" s="324" t="s">
        <v>134</v>
      </c>
      <c r="D35" s="325" t="s">
        <v>182</v>
      </c>
      <c r="E35" s="326" t="s">
        <v>145</v>
      </c>
      <c r="F35" s="327" t="s">
        <v>362</v>
      </c>
      <c r="G35" s="328">
        <v>0</v>
      </c>
      <c r="H35" s="328">
        <v>0</v>
      </c>
      <c r="I35" s="328">
        <v>0</v>
      </c>
      <c r="J35" s="328">
        <v>21</v>
      </c>
      <c r="K35" s="329">
        <f t="shared" si="0"/>
        <v>21</v>
      </c>
      <c r="L35" s="329">
        <v>0</v>
      </c>
      <c r="M35" s="329">
        <f t="shared" si="1"/>
        <v>21</v>
      </c>
      <c r="N35" s="328">
        <v>4</v>
      </c>
      <c r="O35" s="329">
        <f t="shared" si="2"/>
        <v>25</v>
      </c>
      <c r="P35" s="328">
        <v>0</v>
      </c>
      <c r="Q35" s="347">
        <v>0</v>
      </c>
      <c r="R35" s="330">
        <v>632</v>
      </c>
      <c r="S35" s="330">
        <v>577</v>
      </c>
      <c r="T35" s="331">
        <f t="shared" si="16"/>
        <v>0</v>
      </c>
      <c r="U35" s="331">
        <f t="shared" si="3"/>
        <v>13272</v>
      </c>
      <c r="V35" s="331">
        <f t="shared" si="4"/>
        <v>664</v>
      </c>
      <c r="W35" s="330">
        <f t="shared" si="5"/>
        <v>1106</v>
      </c>
      <c r="X35" s="330">
        <f t="shared" si="6"/>
        <v>4424</v>
      </c>
      <c r="Y35" s="330">
        <f t="shared" si="7"/>
        <v>2124</v>
      </c>
      <c r="Z35" s="330">
        <f t="shared" si="8"/>
        <v>2528</v>
      </c>
      <c r="AA35" s="330">
        <f t="shared" si="9"/>
        <v>0</v>
      </c>
      <c r="AB35" s="331">
        <f t="shared" si="10"/>
        <v>0</v>
      </c>
      <c r="AC35" s="332">
        <f t="shared" si="11"/>
        <v>630</v>
      </c>
      <c r="AD35" s="330">
        <f t="shared" si="12"/>
        <v>1375</v>
      </c>
      <c r="AE35" s="330">
        <f t="shared" si="13"/>
        <v>1725</v>
      </c>
      <c r="AF35" s="330">
        <f t="shared" si="14"/>
        <v>0</v>
      </c>
      <c r="AG35" s="333"/>
      <c r="AI35" s="34" t="s">
        <v>134</v>
      </c>
      <c r="AJ35" s="34">
        <v>0</v>
      </c>
      <c r="AK35" s="34">
        <v>0</v>
      </c>
      <c r="AL35" s="34">
        <v>0</v>
      </c>
      <c r="AM35" s="34">
        <v>23</v>
      </c>
    </row>
    <row r="36" spans="1:39" ht="69.95" customHeight="1">
      <c r="A36" s="322">
        <f t="shared" si="15"/>
        <v>26</v>
      </c>
      <c r="B36" s="323" t="s">
        <v>225</v>
      </c>
      <c r="C36" s="324" t="s">
        <v>226</v>
      </c>
      <c r="D36" s="325" t="s">
        <v>182</v>
      </c>
      <c r="E36" s="326" t="s">
        <v>145</v>
      </c>
      <c r="F36" s="327" t="s">
        <v>362</v>
      </c>
      <c r="G36" s="328">
        <v>10</v>
      </c>
      <c r="H36" s="328">
        <v>8</v>
      </c>
      <c r="I36" s="328">
        <v>9</v>
      </c>
      <c r="J36" s="328">
        <v>0</v>
      </c>
      <c r="K36" s="329">
        <f t="shared" si="0"/>
        <v>27</v>
      </c>
      <c r="L36" s="329">
        <v>0</v>
      </c>
      <c r="M36" s="329">
        <f t="shared" si="1"/>
        <v>27</v>
      </c>
      <c r="N36" s="328">
        <v>4</v>
      </c>
      <c r="O36" s="329">
        <f t="shared" si="2"/>
        <v>31</v>
      </c>
      <c r="P36" s="328">
        <v>0</v>
      </c>
      <c r="Q36" s="347">
        <v>0</v>
      </c>
      <c r="R36" s="330">
        <v>632</v>
      </c>
      <c r="S36" s="330">
        <v>577</v>
      </c>
      <c r="T36" s="331">
        <f t="shared" si="16"/>
        <v>0</v>
      </c>
      <c r="U36" s="331">
        <f t="shared" si="3"/>
        <v>17064</v>
      </c>
      <c r="V36" s="331">
        <f t="shared" si="4"/>
        <v>795</v>
      </c>
      <c r="W36" s="330">
        <f t="shared" si="5"/>
        <v>1421</v>
      </c>
      <c r="X36" s="330">
        <f t="shared" si="6"/>
        <v>5687</v>
      </c>
      <c r="Y36" s="330">
        <f t="shared" si="7"/>
        <v>2730</v>
      </c>
      <c r="Z36" s="330">
        <f t="shared" si="8"/>
        <v>2528</v>
      </c>
      <c r="AA36" s="330">
        <f t="shared" si="9"/>
        <v>1170</v>
      </c>
      <c r="AB36" s="331">
        <f t="shared" si="10"/>
        <v>0</v>
      </c>
      <c r="AC36" s="332">
        <f t="shared" si="11"/>
        <v>810</v>
      </c>
      <c r="AD36" s="330">
        <f t="shared" si="12"/>
        <v>1705</v>
      </c>
      <c r="AE36" s="330">
        <f t="shared" si="13"/>
        <v>1950</v>
      </c>
      <c r="AF36" s="330">
        <f t="shared" si="14"/>
        <v>0</v>
      </c>
      <c r="AG36" s="333"/>
      <c r="AI36" s="34" t="s">
        <v>226</v>
      </c>
      <c r="AJ36" s="34">
        <v>8</v>
      </c>
      <c r="AK36" s="34">
        <v>9</v>
      </c>
      <c r="AL36" s="34">
        <v>8</v>
      </c>
      <c r="AM36" s="34">
        <v>0</v>
      </c>
    </row>
    <row r="37" spans="1:39" ht="69.95" customHeight="1">
      <c r="A37" s="322">
        <f t="shared" si="15"/>
        <v>27</v>
      </c>
      <c r="B37" s="323" t="s">
        <v>227</v>
      </c>
      <c r="C37" s="324" t="s">
        <v>228</v>
      </c>
      <c r="D37" s="325" t="s">
        <v>369</v>
      </c>
      <c r="E37" s="326" t="s">
        <v>146</v>
      </c>
      <c r="F37" s="327" t="s">
        <v>361</v>
      </c>
      <c r="G37" s="328">
        <v>0</v>
      </c>
      <c r="H37" s="328">
        <v>1</v>
      </c>
      <c r="I37" s="328">
        <v>0</v>
      </c>
      <c r="J37" s="328">
        <v>22</v>
      </c>
      <c r="K37" s="329">
        <f t="shared" si="0"/>
        <v>23</v>
      </c>
      <c r="L37" s="329">
        <v>0</v>
      </c>
      <c r="M37" s="329">
        <f t="shared" si="1"/>
        <v>23</v>
      </c>
      <c r="N37" s="328">
        <v>4</v>
      </c>
      <c r="O37" s="329">
        <f t="shared" si="2"/>
        <v>27</v>
      </c>
      <c r="P37" s="328">
        <v>0</v>
      </c>
      <c r="Q37" s="347">
        <v>0</v>
      </c>
      <c r="R37" s="330">
        <v>541</v>
      </c>
      <c r="S37" s="330">
        <v>494</v>
      </c>
      <c r="T37" s="331">
        <f t="shared" si="16"/>
        <v>0</v>
      </c>
      <c r="U37" s="331">
        <f t="shared" si="3"/>
        <v>12443</v>
      </c>
      <c r="V37" s="331">
        <f t="shared" si="4"/>
        <v>622</v>
      </c>
      <c r="W37" s="330">
        <f t="shared" si="5"/>
        <v>1037</v>
      </c>
      <c r="X37" s="330">
        <f t="shared" si="6"/>
        <v>4147</v>
      </c>
      <c r="Y37" s="330">
        <f t="shared" si="7"/>
        <v>1991</v>
      </c>
      <c r="Z37" s="330">
        <f t="shared" si="8"/>
        <v>2164</v>
      </c>
      <c r="AA37" s="330">
        <f t="shared" si="9"/>
        <v>40</v>
      </c>
      <c r="AB37" s="331">
        <f t="shared" si="10"/>
        <v>0</v>
      </c>
      <c r="AC37" s="332">
        <f t="shared" si="11"/>
        <v>690</v>
      </c>
      <c r="AD37" s="330">
        <f t="shared" si="12"/>
        <v>1269</v>
      </c>
      <c r="AE37" s="330">
        <f t="shared" si="13"/>
        <v>1618</v>
      </c>
      <c r="AF37" s="330">
        <f t="shared" si="14"/>
        <v>606</v>
      </c>
      <c r="AG37" s="333"/>
      <c r="AI37" s="34" t="s">
        <v>228</v>
      </c>
      <c r="AJ37" s="34">
        <v>0</v>
      </c>
      <c r="AK37" s="34">
        <v>0</v>
      </c>
      <c r="AL37" s="34">
        <v>0</v>
      </c>
      <c r="AM37" s="34">
        <v>25</v>
      </c>
    </row>
    <row r="38" spans="1:39" ht="69.95" customHeight="1">
      <c r="A38" s="322">
        <f t="shared" si="15"/>
        <v>28</v>
      </c>
      <c r="B38" s="323" t="s">
        <v>229</v>
      </c>
      <c r="C38" s="336" t="s">
        <v>230</v>
      </c>
      <c r="D38" s="335" t="s">
        <v>196</v>
      </c>
      <c r="E38" s="322" t="s">
        <v>146</v>
      </c>
      <c r="F38" s="327" t="s">
        <v>361</v>
      </c>
      <c r="G38" s="328">
        <v>5</v>
      </c>
      <c r="H38" s="328">
        <v>5</v>
      </c>
      <c r="I38" s="328">
        <v>4</v>
      </c>
      <c r="J38" s="328">
        <v>11</v>
      </c>
      <c r="K38" s="329">
        <f t="shared" si="0"/>
        <v>25</v>
      </c>
      <c r="L38" s="329">
        <v>0</v>
      </c>
      <c r="M38" s="329">
        <f t="shared" si="1"/>
        <v>25</v>
      </c>
      <c r="N38" s="328">
        <v>4</v>
      </c>
      <c r="O38" s="329">
        <f t="shared" si="2"/>
        <v>29</v>
      </c>
      <c r="P38" s="328">
        <v>0</v>
      </c>
      <c r="Q38" s="347">
        <v>0</v>
      </c>
      <c r="R38" s="330">
        <v>541</v>
      </c>
      <c r="S38" s="330">
        <v>494</v>
      </c>
      <c r="T38" s="331">
        <f t="shared" si="16"/>
        <v>0</v>
      </c>
      <c r="U38" s="331">
        <f t="shared" si="3"/>
        <v>13525</v>
      </c>
      <c r="V38" s="331">
        <f t="shared" si="4"/>
        <v>676</v>
      </c>
      <c r="W38" s="330">
        <f t="shared" si="5"/>
        <v>1127</v>
      </c>
      <c r="X38" s="330">
        <f t="shared" si="6"/>
        <v>4508</v>
      </c>
      <c r="Y38" s="330">
        <f t="shared" si="7"/>
        <v>2164</v>
      </c>
      <c r="Z38" s="330">
        <f t="shared" si="8"/>
        <v>2164</v>
      </c>
      <c r="AA38" s="330">
        <f t="shared" si="9"/>
        <v>600</v>
      </c>
      <c r="AB38" s="331">
        <f t="shared" si="10"/>
        <v>0</v>
      </c>
      <c r="AC38" s="332">
        <f t="shared" si="11"/>
        <v>750</v>
      </c>
      <c r="AD38" s="330">
        <f t="shared" si="12"/>
        <v>1363</v>
      </c>
      <c r="AE38" s="330">
        <f t="shared" si="13"/>
        <v>1758</v>
      </c>
      <c r="AF38" s="330">
        <f t="shared" si="14"/>
        <v>676</v>
      </c>
      <c r="AG38" s="333"/>
      <c r="AI38" s="34" t="s">
        <v>230</v>
      </c>
      <c r="AJ38" s="34">
        <v>4</v>
      </c>
      <c r="AK38" s="34">
        <v>4</v>
      </c>
      <c r="AL38" s="34">
        <v>6</v>
      </c>
      <c r="AM38" s="34">
        <v>13</v>
      </c>
    </row>
    <row r="39" spans="1:39" ht="69.95" customHeight="1">
      <c r="A39" s="322">
        <f t="shared" si="15"/>
        <v>29</v>
      </c>
      <c r="B39" s="323" t="s">
        <v>231</v>
      </c>
      <c r="C39" s="336" t="s">
        <v>232</v>
      </c>
      <c r="D39" s="335" t="s">
        <v>182</v>
      </c>
      <c r="E39" s="322" t="s">
        <v>146</v>
      </c>
      <c r="F39" s="327" t="s">
        <v>361</v>
      </c>
      <c r="G39" s="328">
        <v>8</v>
      </c>
      <c r="H39" s="328">
        <v>9</v>
      </c>
      <c r="I39" s="328">
        <v>8</v>
      </c>
      <c r="J39" s="328">
        <v>0</v>
      </c>
      <c r="K39" s="329">
        <f t="shared" si="0"/>
        <v>25</v>
      </c>
      <c r="L39" s="329">
        <v>0</v>
      </c>
      <c r="M39" s="329">
        <f t="shared" si="1"/>
        <v>25</v>
      </c>
      <c r="N39" s="328">
        <v>4</v>
      </c>
      <c r="O39" s="329">
        <f t="shared" si="2"/>
        <v>29</v>
      </c>
      <c r="P39" s="328">
        <v>0</v>
      </c>
      <c r="Q39" s="347">
        <v>0</v>
      </c>
      <c r="R39" s="330">
        <v>541</v>
      </c>
      <c r="S39" s="330">
        <v>494</v>
      </c>
      <c r="T39" s="331">
        <f t="shared" si="16"/>
        <v>0</v>
      </c>
      <c r="U39" s="331">
        <f t="shared" si="3"/>
        <v>13525</v>
      </c>
      <c r="V39" s="331">
        <f t="shared" si="4"/>
        <v>676</v>
      </c>
      <c r="W39" s="330">
        <f t="shared" si="5"/>
        <v>1127</v>
      </c>
      <c r="X39" s="330">
        <f t="shared" si="6"/>
        <v>4508</v>
      </c>
      <c r="Y39" s="330">
        <f t="shared" si="7"/>
        <v>2164</v>
      </c>
      <c r="Z39" s="330">
        <f t="shared" si="8"/>
        <v>2164</v>
      </c>
      <c r="AA39" s="330">
        <f t="shared" si="9"/>
        <v>1080</v>
      </c>
      <c r="AB39" s="331">
        <f t="shared" si="10"/>
        <v>0</v>
      </c>
      <c r="AC39" s="332">
        <f t="shared" si="11"/>
        <v>750</v>
      </c>
      <c r="AD39" s="330">
        <f t="shared" si="12"/>
        <v>1363</v>
      </c>
      <c r="AE39" s="330">
        <f t="shared" si="13"/>
        <v>1758</v>
      </c>
      <c r="AF39" s="330">
        <f t="shared" si="14"/>
        <v>692</v>
      </c>
      <c r="AG39" s="333"/>
      <c r="AI39" s="34" t="s">
        <v>232</v>
      </c>
      <c r="AJ39" s="34">
        <v>8</v>
      </c>
      <c r="AK39" s="34">
        <v>5</v>
      </c>
      <c r="AL39" s="34">
        <v>8</v>
      </c>
      <c r="AM39" s="34">
        <v>0</v>
      </c>
    </row>
    <row r="40" spans="1:39" ht="69.95" customHeight="1">
      <c r="A40" s="322">
        <f t="shared" si="15"/>
        <v>30</v>
      </c>
      <c r="B40" s="323" t="s">
        <v>233</v>
      </c>
      <c r="C40" s="324" t="s">
        <v>234</v>
      </c>
      <c r="D40" s="325" t="s">
        <v>182</v>
      </c>
      <c r="E40" s="326" t="s">
        <v>145</v>
      </c>
      <c r="F40" s="327" t="s">
        <v>362</v>
      </c>
      <c r="G40" s="328">
        <v>9</v>
      </c>
      <c r="H40" s="328">
        <v>7</v>
      </c>
      <c r="I40" s="328">
        <v>10</v>
      </c>
      <c r="J40" s="328">
        <v>0</v>
      </c>
      <c r="K40" s="329">
        <f t="shared" si="0"/>
        <v>26</v>
      </c>
      <c r="L40" s="329">
        <v>0</v>
      </c>
      <c r="M40" s="329">
        <f t="shared" si="1"/>
        <v>26</v>
      </c>
      <c r="N40" s="328">
        <v>4</v>
      </c>
      <c r="O40" s="329">
        <f t="shared" si="2"/>
        <v>30</v>
      </c>
      <c r="P40" s="328">
        <v>0</v>
      </c>
      <c r="Q40" s="347">
        <v>0</v>
      </c>
      <c r="R40" s="330">
        <v>632</v>
      </c>
      <c r="S40" s="330">
        <v>577</v>
      </c>
      <c r="T40" s="331">
        <f t="shared" si="16"/>
        <v>0</v>
      </c>
      <c r="U40" s="331">
        <f t="shared" si="3"/>
        <v>16432</v>
      </c>
      <c r="V40" s="331">
        <f t="shared" si="4"/>
        <v>795</v>
      </c>
      <c r="W40" s="330">
        <f t="shared" si="5"/>
        <v>1369</v>
      </c>
      <c r="X40" s="330">
        <f t="shared" si="6"/>
        <v>5477</v>
      </c>
      <c r="Y40" s="330">
        <f t="shared" si="7"/>
        <v>2629</v>
      </c>
      <c r="Z40" s="330">
        <f t="shared" si="8"/>
        <v>2528</v>
      </c>
      <c r="AA40" s="330">
        <f t="shared" si="9"/>
        <v>1140</v>
      </c>
      <c r="AB40" s="331">
        <f t="shared" si="10"/>
        <v>0</v>
      </c>
      <c r="AC40" s="332">
        <f t="shared" si="11"/>
        <v>780</v>
      </c>
      <c r="AD40" s="330">
        <f t="shared" si="12"/>
        <v>1650</v>
      </c>
      <c r="AE40" s="330">
        <f t="shared" si="13"/>
        <v>1950</v>
      </c>
      <c r="AF40" s="330">
        <f t="shared" si="14"/>
        <v>0</v>
      </c>
      <c r="AG40" s="333"/>
      <c r="AI40" s="34" t="s">
        <v>234</v>
      </c>
      <c r="AJ40" s="34">
        <v>8</v>
      </c>
      <c r="AK40" s="34">
        <v>10</v>
      </c>
      <c r="AL40" s="34">
        <v>8</v>
      </c>
      <c r="AM40" s="34">
        <v>0</v>
      </c>
    </row>
    <row r="41" spans="1:39" ht="69.95" customHeight="1">
      <c r="A41" s="322">
        <f t="shared" si="15"/>
        <v>31</v>
      </c>
      <c r="B41" s="323" t="s">
        <v>235</v>
      </c>
      <c r="C41" s="336" t="s">
        <v>236</v>
      </c>
      <c r="D41" s="335" t="s">
        <v>196</v>
      </c>
      <c r="E41" s="322" t="s">
        <v>144</v>
      </c>
      <c r="F41" s="327" t="s">
        <v>363</v>
      </c>
      <c r="G41" s="328">
        <v>9</v>
      </c>
      <c r="H41" s="328">
        <v>8</v>
      </c>
      <c r="I41" s="328">
        <v>10</v>
      </c>
      <c r="J41" s="328">
        <v>0</v>
      </c>
      <c r="K41" s="329">
        <f t="shared" si="0"/>
        <v>27</v>
      </c>
      <c r="L41" s="329">
        <v>0</v>
      </c>
      <c r="M41" s="329">
        <f t="shared" si="1"/>
        <v>27</v>
      </c>
      <c r="N41" s="328">
        <v>4</v>
      </c>
      <c r="O41" s="329">
        <f t="shared" si="2"/>
        <v>31</v>
      </c>
      <c r="P41" s="328">
        <v>0</v>
      </c>
      <c r="Q41" s="347">
        <v>0</v>
      </c>
      <c r="R41" s="330">
        <v>760</v>
      </c>
      <c r="S41" s="330">
        <v>695</v>
      </c>
      <c r="T41" s="331">
        <f t="shared" si="16"/>
        <v>0</v>
      </c>
      <c r="U41" s="331">
        <f t="shared" si="3"/>
        <v>20520</v>
      </c>
      <c r="V41" s="331">
        <f t="shared" si="4"/>
        <v>956</v>
      </c>
      <c r="W41" s="330">
        <f t="shared" si="5"/>
        <v>1709</v>
      </c>
      <c r="X41" s="330">
        <f t="shared" si="6"/>
        <v>6839</v>
      </c>
      <c r="Y41" s="330">
        <f t="shared" si="7"/>
        <v>3283</v>
      </c>
      <c r="Z41" s="330">
        <f t="shared" si="8"/>
        <v>3040</v>
      </c>
      <c r="AA41" s="330">
        <f t="shared" si="9"/>
        <v>1180</v>
      </c>
      <c r="AB41" s="331">
        <f t="shared" si="10"/>
        <v>0</v>
      </c>
      <c r="AC41" s="332">
        <f t="shared" si="11"/>
        <v>810</v>
      </c>
      <c r="AD41" s="330">
        <f t="shared" si="12"/>
        <v>2015</v>
      </c>
      <c r="AE41" s="330">
        <f t="shared" si="13"/>
        <v>1950</v>
      </c>
      <c r="AF41" s="330">
        <f t="shared" si="14"/>
        <v>0</v>
      </c>
      <c r="AG41" s="333"/>
      <c r="AI41" s="34" t="s">
        <v>236</v>
      </c>
      <c r="AJ41" s="34">
        <v>8</v>
      </c>
      <c r="AK41" s="34">
        <v>10</v>
      </c>
      <c r="AL41" s="34">
        <v>8</v>
      </c>
      <c r="AM41" s="34">
        <v>0</v>
      </c>
    </row>
    <row r="42" spans="1:39" ht="69.95" customHeight="1">
      <c r="A42" s="322">
        <f t="shared" si="15"/>
        <v>32</v>
      </c>
      <c r="B42" s="323" t="s">
        <v>237</v>
      </c>
      <c r="C42" s="324" t="s">
        <v>238</v>
      </c>
      <c r="D42" s="325" t="s">
        <v>182</v>
      </c>
      <c r="E42" s="326" t="s">
        <v>145</v>
      </c>
      <c r="F42" s="327" t="s">
        <v>362</v>
      </c>
      <c r="G42" s="328">
        <v>8</v>
      </c>
      <c r="H42" s="328">
        <v>9</v>
      </c>
      <c r="I42" s="328">
        <v>9</v>
      </c>
      <c r="J42" s="328">
        <v>0</v>
      </c>
      <c r="K42" s="329">
        <f t="shared" si="0"/>
        <v>26</v>
      </c>
      <c r="L42" s="329">
        <v>0</v>
      </c>
      <c r="M42" s="329">
        <f t="shared" si="1"/>
        <v>26</v>
      </c>
      <c r="N42" s="328">
        <v>4</v>
      </c>
      <c r="O42" s="329">
        <f t="shared" si="2"/>
        <v>30</v>
      </c>
      <c r="P42" s="328">
        <v>0</v>
      </c>
      <c r="Q42" s="347">
        <v>0</v>
      </c>
      <c r="R42" s="330">
        <v>632</v>
      </c>
      <c r="S42" s="330">
        <v>577</v>
      </c>
      <c r="T42" s="331">
        <f t="shared" si="16"/>
        <v>0</v>
      </c>
      <c r="U42" s="331">
        <f t="shared" si="3"/>
        <v>16432</v>
      </c>
      <c r="V42" s="331">
        <f t="shared" si="4"/>
        <v>795</v>
      </c>
      <c r="W42" s="330">
        <f t="shared" si="5"/>
        <v>1369</v>
      </c>
      <c r="X42" s="330">
        <f t="shared" si="6"/>
        <v>5477</v>
      </c>
      <c r="Y42" s="330">
        <f t="shared" si="7"/>
        <v>2629</v>
      </c>
      <c r="Z42" s="330">
        <f t="shared" si="8"/>
        <v>2528</v>
      </c>
      <c r="AA42" s="330">
        <f t="shared" si="9"/>
        <v>1130</v>
      </c>
      <c r="AB42" s="331">
        <f t="shared" si="10"/>
        <v>0</v>
      </c>
      <c r="AC42" s="332">
        <f t="shared" si="11"/>
        <v>780</v>
      </c>
      <c r="AD42" s="330">
        <f t="shared" si="12"/>
        <v>1650</v>
      </c>
      <c r="AE42" s="330">
        <f t="shared" si="13"/>
        <v>1950</v>
      </c>
      <c r="AF42" s="330">
        <f t="shared" si="14"/>
        <v>0</v>
      </c>
      <c r="AG42" s="333"/>
      <c r="AI42" s="34" t="s">
        <v>238</v>
      </c>
      <c r="AJ42" s="34">
        <v>10</v>
      </c>
      <c r="AK42" s="34">
        <v>8</v>
      </c>
      <c r="AL42" s="34">
        <v>8</v>
      </c>
      <c r="AM42" s="34">
        <v>1</v>
      </c>
    </row>
    <row r="43" spans="1:39" ht="69.95" customHeight="1">
      <c r="A43" s="322">
        <f t="shared" si="15"/>
        <v>33</v>
      </c>
      <c r="B43" s="323" t="s">
        <v>239</v>
      </c>
      <c r="C43" s="324" t="s">
        <v>240</v>
      </c>
      <c r="D43" s="325" t="s">
        <v>182</v>
      </c>
      <c r="E43" s="326" t="s">
        <v>145</v>
      </c>
      <c r="F43" s="327" t="s">
        <v>362</v>
      </c>
      <c r="G43" s="328">
        <v>10</v>
      </c>
      <c r="H43" s="328">
        <v>8</v>
      </c>
      <c r="I43" s="328">
        <v>7</v>
      </c>
      <c r="J43" s="328">
        <v>1</v>
      </c>
      <c r="K43" s="329">
        <f t="shared" si="0"/>
        <v>26</v>
      </c>
      <c r="L43" s="329">
        <v>0</v>
      </c>
      <c r="M43" s="329">
        <f t="shared" si="1"/>
        <v>26</v>
      </c>
      <c r="N43" s="328">
        <v>4</v>
      </c>
      <c r="O43" s="329">
        <f t="shared" si="2"/>
        <v>30</v>
      </c>
      <c r="P43" s="328">
        <v>0</v>
      </c>
      <c r="Q43" s="347">
        <v>0</v>
      </c>
      <c r="R43" s="330">
        <v>632</v>
      </c>
      <c r="S43" s="330">
        <v>577</v>
      </c>
      <c r="T43" s="331">
        <f t="shared" si="16"/>
        <v>0</v>
      </c>
      <c r="U43" s="331">
        <f t="shared" si="3"/>
        <v>16432</v>
      </c>
      <c r="V43" s="331">
        <f t="shared" si="4"/>
        <v>795</v>
      </c>
      <c r="W43" s="330">
        <f t="shared" si="5"/>
        <v>1369</v>
      </c>
      <c r="X43" s="330">
        <f t="shared" si="6"/>
        <v>5477</v>
      </c>
      <c r="Y43" s="330">
        <f t="shared" si="7"/>
        <v>2629</v>
      </c>
      <c r="Z43" s="330">
        <f t="shared" si="8"/>
        <v>2528</v>
      </c>
      <c r="AA43" s="330">
        <f t="shared" si="9"/>
        <v>1070</v>
      </c>
      <c r="AB43" s="331">
        <f t="shared" si="10"/>
        <v>0</v>
      </c>
      <c r="AC43" s="332">
        <f t="shared" si="11"/>
        <v>780</v>
      </c>
      <c r="AD43" s="330">
        <f t="shared" si="12"/>
        <v>1650</v>
      </c>
      <c r="AE43" s="330">
        <f t="shared" si="13"/>
        <v>1950</v>
      </c>
      <c r="AF43" s="330">
        <f t="shared" si="14"/>
        <v>0</v>
      </c>
      <c r="AG43" s="333"/>
      <c r="AI43" s="34" t="s">
        <v>240</v>
      </c>
      <c r="AJ43" s="34">
        <v>8</v>
      </c>
      <c r="AK43" s="34">
        <v>9</v>
      </c>
      <c r="AL43" s="34">
        <v>7</v>
      </c>
      <c r="AM43" s="34">
        <v>0</v>
      </c>
    </row>
    <row r="44" spans="1:39" ht="69.95" customHeight="1">
      <c r="A44" s="322">
        <f t="shared" si="15"/>
        <v>34</v>
      </c>
      <c r="B44" s="323" t="s">
        <v>241</v>
      </c>
      <c r="C44" s="324" t="s">
        <v>242</v>
      </c>
      <c r="D44" s="325" t="s">
        <v>182</v>
      </c>
      <c r="E44" s="326" t="s">
        <v>146</v>
      </c>
      <c r="F44" s="327" t="s">
        <v>361</v>
      </c>
      <c r="G44" s="328">
        <v>10</v>
      </c>
      <c r="H44" s="328">
        <v>9</v>
      </c>
      <c r="I44" s="328">
        <v>8</v>
      </c>
      <c r="J44" s="328">
        <v>0</v>
      </c>
      <c r="K44" s="329">
        <f t="shared" si="0"/>
        <v>27</v>
      </c>
      <c r="L44" s="329">
        <v>0</v>
      </c>
      <c r="M44" s="329">
        <f t="shared" si="1"/>
        <v>27</v>
      </c>
      <c r="N44" s="328">
        <v>4</v>
      </c>
      <c r="O44" s="329">
        <f t="shared" si="2"/>
        <v>31</v>
      </c>
      <c r="P44" s="328">
        <v>0</v>
      </c>
      <c r="Q44" s="347">
        <v>0</v>
      </c>
      <c r="R44" s="330">
        <v>541</v>
      </c>
      <c r="S44" s="330">
        <v>494</v>
      </c>
      <c r="T44" s="331">
        <f t="shared" si="16"/>
        <v>0</v>
      </c>
      <c r="U44" s="331">
        <f t="shared" si="3"/>
        <v>14607</v>
      </c>
      <c r="V44" s="331">
        <f t="shared" si="4"/>
        <v>681</v>
      </c>
      <c r="W44" s="330">
        <f t="shared" si="5"/>
        <v>1217</v>
      </c>
      <c r="X44" s="330">
        <f t="shared" si="6"/>
        <v>4869</v>
      </c>
      <c r="Y44" s="330">
        <f t="shared" si="7"/>
        <v>2337</v>
      </c>
      <c r="Z44" s="330">
        <f t="shared" si="8"/>
        <v>2164</v>
      </c>
      <c r="AA44" s="330">
        <f t="shared" si="9"/>
        <v>1160</v>
      </c>
      <c r="AB44" s="331">
        <f t="shared" si="10"/>
        <v>0</v>
      </c>
      <c r="AC44" s="332">
        <f t="shared" si="11"/>
        <v>810</v>
      </c>
      <c r="AD44" s="330">
        <f t="shared" si="12"/>
        <v>1457</v>
      </c>
      <c r="AE44" s="330">
        <f t="shared" si="13"/>
        <v>1899</v>
      </c>
      <c r="AF44" s="330">
        <f t="shared" si="14"/>
        <v>747</v>
      </c>
      <c r="AG44" s="333"/>
      <c r="AI44" s="34" t="s">
        <v>242</v>
      </c>
      <c r="AJ44" s="34">
        <v>8</v>
      </c>
      <c r="AK44" s="34">
        <v>8</v>
      </c>
      <c r="AL44" s="34">
        <v>9</v>
      </c>
      <c r="AM44" s="34">
        <v>0</v>
      </c>
    </row>
    <row r="45" spans="1:39" ht="69.95" customHeight="1">
      <c r="A45" s="322">
        <f t="shared" si="15"/>
        <v>35</v>
      </c>
      <c r="B45" s="323" t="s">
        <v>243</v>
      </c>
      <c r="C45" s="334" t="s">
        <v>244</v>
      </c>
      <c r="D45" s="335" t="s">
        <v>196</v>
      </c>
      <c r="E45" s="322" t="s">
        <v>146</v>
      </c>
      <c r="F45" s="327" t="s">
        <v>361</v>
      </c>
      <c r="G45" s="328">
        <v>0</v>
      </c>
      <c r="H45" s="328">
        <v>16</v>
      </c>
      <c r="I45" s="328">
        <v>0</v>
      </c>
      <c r="J45" s="328">
        <v>4</v>
      </c>
      <c r="K45" s="329">
        <f t="shared" si="0"/>
        <v>20</v>
      </c>
      <c r="L45" s="329">
        <v>0</v>
      </c>
      <c r="M45" s="329">
        <f t="shared" si="1"/>
        <v>20</v>
      </c>
      <c r="N45" s="328">
        <v>4</v>
      </c>
      <c r="O45" s="329">
        <f t="shared" si="2"/>
        <v>24</v>
      </c>
      <c r="P45" s="328">
        <v>0</v>
      </c>
      <c r="Q45" s="347">
        <v>0</v>
      </c>
      <c r="R45" s="330">
        <v>541</v>
      </c>
      <c r="S45" s="330">
        <v>494</v>
      </c>
      <c r="T45" s="331">
        <f t="shared" si="16"/>
        <v>0</v>
      </c>
      <c r="U45" s="331">
        <f t="shared" si="3"/>
        <v>10820</v>
      </c>
      <c r="V45" s="331">
        <f t="shared" si="4"/>
        <v>541</v>
      </c>
      <c r="W45" s="330">
        <f t="shared" si="5"/>
        <v>901</v>
      </c>
      <c r="X45" s="330">
        <f t="shared" si="6"/>
        <v>3606</v>
      </c>
      <c r="Y45" s="330">
        <f t="shared" si="7"/>
        <v>1731</v>
      </c>
      <c r="Z45" s="330">
        <f t="shared" si="8"/>
        <v>2164</v>
      </c>
      <c r="AA45" s="330">
        <f t="shared" si="9"/>
        <v>640</v>
      </c>
      <c r="AB45" s="331">
        <f t="shared" si="10"/>
        <v>0</v>
      </c>
      <c r="AC45" s="332">
        <f t="shared" si="11"/>
        <v>600</v>
      </c>
      <c r="AD45" s="330">
        <f t="shared" si="12"/>
        <v>1128</v>
      </c>
      <c r="AE45" s="330">
        <f t="shared" si="13"/>
        <v>1407</v>
      </c>
      <c r="AF45" s="330">
        <f t="shared" si="14"/>
        <v>546</v>
      </c>
      <c r="AG45" s="333"/>
      <c r="AI45" s="34" t="s">
        <v>244</v>
      </c>
      <c r="AJ45" s="34">
        <v>0</v>
      </c>
      <c r="AK45" s="34">
        <v>22</v>
      </c>
      <c r="AL45" s="34">
        <v>0</v>
      </c>
      <c r="AM45" s="34">
        <v>5</v>
      </c>
    </row>
    <row r="46" spans="1:39" ht="69.95" customHeight="1">
      <c r="A46" s="322">
        <f t="shared" si="15"/>
        <v>36</v>
      </c>
      <c r="B46" s="323" t="s">
        <v>245</v>
      </c>
      <c r="C46" s="336" t="s">
        <v>246</v>
      </c>
      <c r="D46" s="335" t="s">
        <v>196</v>
      </c>
      <c r="E46" s="322" t="s">
        <v>356</v>
      </c>
      <c r="F46" s="327" t="s">
        <v>143</v>
      </c>
      <c r="G46" s="328">
        <v>0</v>
      </c>
      <c r="H46" s="328">
        <v>9</v>
      </c>
      <c r="I46" s="328">
        <v>0</v>
      </c>
      <c r="J46" s="328">
        <v>14</v>
      </c>
      <c r="K46" s="329">
        <f t="shared" si="0"/>
        <v>23</v>
      </c>
      <c r="L46" s="329">
        <v>0</v>
      </c>
      <c r="M46" s="329">
        <f t="shared" si="1"/>
        <v>23</v>
      </c>
      <c r="N46" s="328">
        <v>4</v>
      </c>
      <c r="O46" s="329">
        <f t="shared" si="2"/>
        <v>27</v>
      </c>
      <c r="P46" s="328">
        <v>8</v>
      </c>
      <c r="Q46" s="347">
        <v>1</v>
      </c>
      <c r="R46" s="330">
        <v>893</v>
      </c>
      <c r="S46" s="331">
        <v>816</v>
      </c>
      <c r="T46" s="331">
        <f t="shared" si="16"/>
        <v>1786</v>
      </c>
      <c r="U46" s="331">
        <f t="shared" si="3"/>
        <v>20539</v>
      </c>
      <c r="V46" s="331">
        <f t="shared" si="4"/>
        <v>1027</v>
      </c>
      <c r="W46" s="330">
        <f t="shared" si="5"/>
        <v>1711</v>
      </c>
      <c r="X46" s="330">
        <f t="shared" si="6"/>
        <v>6846</v>
      </c>
      <c r="Y46" s="330">
        <f t="shared" si="7"/>
        <v>3286</v>
      </c>
      <c r="Z46" s="330">
        <f t="shared" si="8"/>
        <v>3572</v>
      </c>
      <c r="AA46" s="330">
        <f t="shared" si="9"/>
        <v>360</v>
      </c>
      <c r="AB46" s="331">
        <f t="shared" si="10"/>
        <v>893</v>
      </c>
      <c r="AC46" s="332">
        <f t="shared" si="11"/>
        <v>690</v>
      </c>
      <c r="AD46" s="330">
        <f t="shared" si="12"/>
        <v>2233</v>
      </c>
      <c r="AE46" s="330">
        <f t="shared" si="13"/>
        <v>1950</v>
      </c>
      <c r="AF46" s="330">
        <f t="shared" si="14"/>
        <v>0</v>
      </c>
      <c r="AG46" s="333"/>
      <c r="AI46" s="34" t="s">
        <v>246</v>
      </c>
      <c r="AJ46" s="34">
        <v>0</v>
      </c>
      <c r="AK46" s="34">
        <v>15</v>
      </c>
      <c r="AL46" s="34">
        <v>0</v>
      </c>
      <c r="AM46" s="34">
        <v>12</v>
      </c>
    </row>
    <row r="47" spans="1:39" ht="69.95" customHeight="1">
      <c r="A47" s="322">
        <f t="shared" si="15"/>
        <v>37</v>
      </c>
      <c r="B47" s="323" t="s">
        <v>247</v>
      </c>
      <c r="C47" s="338" t="s">
        <v>248</v>
      </c>
      <c r="D47" s="325" t="s">
        <v>369</v>
      </c>
      <c r="E47" s="322" t="s">
        <v>146</v>
      </c>
      <c r="F47" s="327" t="s">
        <v>361</v>
      </c>
      <c r="G47" s="328">
        <v>8</v>
      </c>
      <c r="H47" s="328">
        <v>10</v>
      </c>
      <c r="I47" s="328">
        <v>8</v>
      </c>
      <c r="J47" s="328">
        <v>0</v>
      </c>
      <c r="K47" s="339">
        <f t="shared" si="0"/>
        <v>26</v>
      </c>
      <c r="L47" s="329">
        <v>0</v>
      </c>
      <c r="M47" s="329">
        <f t="shared" si="1"/>
        <v>26</v>
      </c>
      <c r="N47" s="328">
        <v>4</v>
      </c>
      <c r="O47" s="329">
        <f t="shared" si="2"/>
        <v>30</v>
      </c>
      <c r="P47" s="328">
        <v>0</v>
      </c>
      <c r="Q47" s="347">
        <v>0</v>
      </c>
      <c r="R47" s="330">
        <v>541</v>
      </c>
      <c r="S47" s="330">
        <v>494</v>
      </c>
      <c r="T47" s="331">
        <f t="shared" si="16"/>
        <v>0</v>
      </c>
      <c r="U47" s="331">
        <f t="shared" si="3"/>
        <v>14066</v>
      </c>
      <c r="V47" s="331">
        <f t="shared" si="4"/>
        <v>681</v>
      </c>
      <c r="W47" s="330">
        <f t="shared" si="5"/>
        <v>1172</v>
      </c>
      <c r="X47" s="330">
        <f t="shared" si="6"/>
        <v>4688</v>
      </c>
      <c r="Y47" s="330">
        <f t="shared" si="7"/>
        <v>2251</v>
      </c>
      <c r="Z47" s="330">
        <f t="shared" si="8"/>
        <v>2164</v>
      </c>
      <c r="AA47" s="330">
        <f t="shared" si="9"/>
        <v>1120</v>
      </c>
      <c r="AB47" s="331">
        <f t="shared" si="10"/>
        <v>0</v>
      </c>
      <c r="AC47" s="332">
        <f t="shared" si="11"/>
        <v>780</v>
      </c>
      <c r="AD47" s="330">
        <f t="shared" si="12"/>
        <v>1410</v>
      </c>
      <c r="AE47" s="330">
        <f t="shared" si="13"/>
        <v>1829</v>
      </c>
      <c r="AF47" s="330">
        <f t="shared" si="14"/>
        <v>720</v>
      </c>
      <c r="AG47" s="333"/>
      <c r="AI47" s="34" t="s">
        <v>248</v>
      </c>
      <c r="AJ47" s="34">
        <v>9</v>
      </c>
      <c r="AK47" s="34">
        <v>8</v>
      </c>
      <c r="AL47" s="34">
        <v>9</v>
      </c>
      <c r="AM47" s="34">
        <v>1</v>
      </c>
    </row>
    <row r="48" spans="1:39" ht="69.95" customHeight="1">
      <c r="A48" s="322">
        <f t="shared" si="15"/>
        <v>38</v>
      </c>
      <c r="B48" s="323" t="s">
        <v>249</v>
      </c>
      <c r="C48" s="336" t="s">
        <v>250</v>
      </c>
      <c r="D48" s="335" t="s">
        <v>196</v>
      </c>
      <c r="E48" s="322" t="s">
        <v>144</v>
      </c>
      <c r="F48" s="327" t="s">
        <v>363</v>
      </c>
      <c r="G48" s="328">
        <v>8</v>
      </c>
      <c r="H48" s="328">
        <v>10</v>
      </c>
      <c r="I48" s="328">
        <v>9</v>
      </c>
      <c r="J48" s="328">
        <v>0</v>
      </c>
      <c r="K48" s="329">
        <f t="shared" si="0"/>
        <v>27</v>
      </c>
      <c r="L48" s="329">
        <v>0</v>
      </c>
      <c r="M48" s="329">
        <f t="shared" si="1"/>
        <v>27</v>
      </c>
      <c r="N48" s="328">
        <v>4</v>
      </c>
      <c r="O48" s="329">
        <f t="shared" si="2"/>
        <v>31</v>
      </c>
      <c r="P48" s="328">
        <v>0</v>
      </c>
      <c r="Q48" s="347">
        <v>0</v>
      </c>
      <c r="R48" s="330">
        <v>760</v>
      </c>
      <c r="S48" s="330">
        <v>695</v>
      </c>
      <c r="T48" s="331">
        <f t="shared" si="16"/>
        <v>0</v>
      </c>
      <c r="U48" s="331">
        <f t="shared" si="3"/>
        <v>20520</v>
      </c>
      <c r="V48" s="331">
        <f t="shared" si="4"/>
        <v>956</v>
      </c>
      <c r="W48" s="330">
        <f t="shared" si="5"/>
        <v>1709</v>
      </c>
      <c r="X48" s="330">
        <f t="shared" si="6"/>
        <v>6839</v>
      </c>
      <c r="Y48" s="330">
        <f t="shared" si="7"/>
        <v>3283</v>
      </c>
      <c r="Z48" s="330">
        <f t="shared" si="8"/>
        <v>3040</v>
      </c>
      <c r="AA48" s="330">
        <f t="shared" si="9"/>
        <v>1170</v>
      </c>
      <c r="AB48" s="331">
        <f t="shared" si="10"/>
        <v>0</v>
      </c>
      <c r="AC48" s="332">
        <f t="shared" si="11"/>
        <v>810</v>
      </c>
      <c r="AD48" s="330">
        <f t="shared" si="12"/>
        <v>2015</v>
      </c>
      <c r="AE48" s="330">
        <f t="shared" si="13"/>
        <v>1950</v>
      </c>
      <c r="AF48" s="330">
        <f t="shared" si="14"/>
        <v>0</v>
      </c>
      <c r="AG48" s="333"/>
      <c r="AI48" s="34" t="s">
        <v>250</v>
      </c>
      <c r="AJ48" s="34">
        <v>10</v>
      </c>
      <c r="AK48" s="34">
        <v>8</v>
      </c>
      <c r="AL48" s="34">
        <v>6</v>
      </c>
      <c r="AM48" s="34">
        <v>0</v>
      </c>
    </row>
    <row r="49" spans="1:39" ht="69.95" customHeight="1">
      <c r="A49" s="322">
        <f t="shared" si="15"/>
        <v>39</v>
      </c>
      <c r="B49" s="323" t="s">
        <v>251</v>
      </c>
      <c r="C49" s="324" t="s">
        <v>252</v>
      </c>
      <c r="D49" s="325" t="s">
        <v>182</v>
      </c>
      <c r="E49" s="326" t="s">
        <v>144</v>
      </c>
      <c r="F49" s="327" t="s">
        <v>363</v>
      </c>
      <c r="G49" s="328">
        <v>8</v>
      </c>
      <c r="H49" s="328">
        <v>9</v>
      </c>
      <c r="I49" s="328">
        <v>9</v>
      </c>
      <c r="J49" s="328">
        <v>0</v>
      </c>
      <c r="K49" s="329">
        <f t="shared" si="0"/>
        <v>26</v>
      </c>
      <c r="L49" s="329">
        <v>0</v>
      </c>
      <c r="M49" s="329">
        <f t="shared" si="1"/>
        <v>26</v>
      </c>
      <c r="N49" s="328">
        <v>4</v>
      </c>
      <c r="O49" s="329">
        <f t="shared" si="2"/>
        <v>30</v>
      </c>
      <c r="P49" s="328">
        <v>0</v>
      </c>
      <c r="Q49" s="347">
        <v>0</v>
      </c>
      <c r="R49" s="330">
        <v>760</v>
      </c>
      <c r="S49" s="330">
        <v>695</v>
      </c>
      <c r="T49" s="331">
        <f t="shared" si="16"/>
        <v>0</v>
      </c>
      <c r="U49" s="331">
        <f t="shared" si="3"/>
        <v>19760</v>
      </c>
      <c r="V49" s="331">
        <f t="shared" si="4"/>
        <v>956</v>
      </c>
      <c r="W49" s="330">
        <f t="shared" si="5"/>
        <v>1646</v>
      </c>
      <c r="X49" s="330">
        <f t="shared" si="6"/>
        <v>6586</v>
      </c>
      <c r="Y49" s="330">
        <f t="shared" si="7"/>
        <v>3162</v>
      </c>
      <c r="Z49" s="330">
        <f t="shared" si="8"/>
        <v>3040</v>
      </c>
      <c r="AA49" s="330">
        <f t="shared" si="9"/>
        <v>1130</v>
      </c>
      <c r="AB49" s="331">
        <f t="shared" si="10"/>
        <v>0</v>
      </c>
      <c r="AC49" s="332">
        <f t="shared" si="11"/>
        <v>780</v>
      </c>
      <c r="AD49" s="330">
        <f t="shared" si="12"/>
        <v>1950</v>
      </c>
      <c r="AE49" s="330">
        <f t="shared" si="13"/>
        <v>1950</v>
      </c>
      <c r="AF49" s="330">
        <f t="shared" si="14"/>
        <v>0</v>
      </c>
      <c r="AG49" s="333"/>
      <c r="AI49" s="34" t="s">
        <v>252</v>
      </c>
      <c r="AJ49" s="34">
        <v>10</v>
      </c>
      <c r="AK49" s="34">
        <v>8</v>
      </c>
      <c r="AL49" s="34">
        <v>8</v>
      </c>
      <c r="AM49" s="34">
        <v>0</v>
      </c>
    </row>
    <row r="50" spans="1:39" ht="69.95" customHeight="1">
      <c r="A50" s="322">
        <f t="shared" si="15"/>
        <v>40</v>
      </c>
      <c r="B50" s="323" t="s">
        <v>253</v>
      </c>
      <c r="C50" s="324" t="s">
        <v>254</v>
      </c>
      <c r="D50" s="325" t="s">
        <v>182</v>
      </c>
      <c r="E50" s="326" t="s">
        <v>145</v>
      </c>
      <c r="F50" s="327" t="s">
        <v>362</v>
      </c>
      <c r="G50" s="328">
        <v>8</v>
      </c>
      <c r="H50" s="328">
        <v>7</v>
      </c>
      <c r="I50" s="328">
        <v>9</v>
      </c>
      <c r="J50" s="328">
        <v>0</v>
      </c>
      <c r="K50" s="329">
        <f t="shared" si="0"/>
        <v>24</v>
      </c>
      <c r="L50" s="329">
        <v>0</v>
      </c>
      <c r="M50" s="329">
        <f t="shared" si="1"/>
        <v>24</v>
      </c>
      <c r="N50" s="328">
        <v>4</v>
      </c>
      <c r="O50" s="329">
        <f t="shared" si="2"/>
        <v>28</v>
      </c>
      <c r="P50" s="328">
        <v>0</v>
      </c>
      <c r="Q50" s="328">
        <v>0</v>
      </c>
      <c r="R50" s="330">
        <v>632</v>
      </c>
      <c r="S50" s="330">
        <v>577</v>
      </c>
      <c r="T50" s="331">
        <f t="shared" si="16"/>
        <v>0</v>
      </c>
      <c r="U50" s="331">
        <f t="shared" si="3"/>
        <v>15168</v>
      </c>
      <c r="V50" s="331">
        <f t="shared" si="4"/>
        <v>758</v>
      </c>
      <c r="W50" s="330">
        <f t="shared" si="5"/>
        <v>1263</v>
      </c>
      <c r="X50" s="330">
        <f t="shared" si="6"/>
        <v>5055</v>
      </c>
      <c r="Y50" s="330">
        <f t="shared" si="7"/>
        <v>2427</v>
      </c>
      <c r="Z50" s="330">
        <f t="shared" si="8"/>
        <v>2528</v>
      </c>
      <c r="AA50" s="330">
        <f t="shared" si="9"/>
        <v>1050</v>
      </c>
      <c r="AB50" s="331">
        <f t="shared" si="10"/>
        <v>0</v>
      </c>
      <c r="AC50" s="332">
        <f t="shared" si="11"/>
        <v>720</v>
      </c>
      <c r="AD50" s="330">
        <f t="shared" si="12"/>
        <v>1540</v>
      </c>
      <c r="AE50" s="330">
        <f t="shared" si="13"/>
        <v>1950</v>
      </c>
      <c r="AF50" s="330">
        <f t="shared" si="14"/>
        <v>0</v>
      </c>
      <c r="AG50" s="333"/>
      <c r="AI50" s="34" t="s">
        <v>254</v>
      </c>
      <c r="AJ50" s="34">
        <v>5</v>
      </c>
      <c r="AK50" s="34">
        <v>6</v>
      </c>
      <c r="AL50" s="34">
        <v>5</v>
      </c>
      <c r="AM50" s="34">
        <v>0</v>
      </c>
    </row>
    <row r="51" spans="1:39" ht="69.95" customHeight="1">
      <c r="A51" s="322">
        <f t="shared" si="15"/>
        <v>41</v>
      </c>
      <c r="B51" s="323" t="s">
        <v>255</v>
      </c>
      <c r="C51" s="324" t="s">
        <v>256</v>
      </c>
      <c r="D51" s="325" t="s">
        <v>182</v>
      </c>
      <c r="E51" s="326" t="s">
        <v>145</v>
      </c>
      <c r="F51" s="327" t="s">
        <v>362</v>
      </c>
      <c r="G51" s="328">
        <v>9</v>
      </c>
      <c r="H51" s="328">
        <v>8</v>
      </c>
      <c r="I51" s="328">
        <v>10</v>
      </c>
      <c r="J51" s="328">
        <v>0</v>
      </c>
      <c r="K51" s="329">
        <f t="shared" si="0"/>
        <v>27</v>
      </c>
      <c r="L51" s="329">
        <v>0</v>
      </c>
      <c r="M51" s="329">
        <f t="shared" si="1"/>
        <v>27</v>
      </c>
      <c r="N51" s="328">
        <v>4</v>
      </c>
      <c r="O51" s="329">
        <f t="shared" si="2"/>
        <v>31</v>
      </c>
      <c r="P51" s="328">
        <v>0</v>
      </c>
      <c r="Q51" s="328">
        <v>0</v>
      </c>
      <c r="R51" s="330">
        <v>632</v>
      </c>
      <c r="S51" s="330">
        <v>577</v>
      </c>
      <c r="T51" s="331">
        <f t="shared" si="16"/>
        <v>0</v>
      </c>
      <c r="U51" s="331">
        <f t="shared" si="3"/>
        <v>17064</v>
      </c>
      <c r="V51" s="331">
        <f t="shared" si="4"/>
        <v>795</v>
      </c>
      <c r="W51" s="330">
        <f t="shared" si="5"/>
        <v>1421</v>
      </c>
      <c r="X51" s="330">
        <f t="shared" si="6"/>
        <v>5687</v>
      </c>
      <c r="Y51" s="330">
        <f t="shared" si="7"/>
        <v>2730</v>
      </c>
      <c r="Z51" s="330">
        <f t="shared" si="8"/>
        <v>2528</v>
      </c>
      <c r="AA51" s="330">
        <f t="shared" si="9"/>
        <v>1180</v>
      </c>
      <c r="AB51" s="331">
        <f t="shared" si="10"/>
        <v>0</v>
      </c>
      <c r="AC51" s="332">
        <f t="shared" si="11"/>
        <v>810</v>
      </c>
      <c r="AD51" s="330">
        <f t="shared" si="12"/>
        <v>1705</v>
      </c>
      <c r="AE51" s="330">
        <f t="shared" si="13"/>
        <v>1950</v>
      </c>
      <c r="AF51" s="330">
        <f t="shared" si="14"/>
        <v>0</v>
      </c>
      <c r="AG51" s="333"/>
      <c r="AI51" s="34" t="s">
        <v>256</v>
      </c>
      <c r="AJ51" s="34">
        <v>8</v>
      </c>
      <c r="AK51" s="34">
        <v>10</v>
      </c>
      <c r="AL51" s="34">
        <v>8</v>
      </c>
      <c r="AM51" s="34">
        <v>0</v>
      </c>
    </row>
    <row r="52" spans="1:39" ht="69.95" customHeight="1">
      <c r="A52" s="322">
        <f t="shared" si="15"/>
        <v>42</v>
      </c>
      <c r="B52" s="323" t="s">
        <v>257</v>
      </c>
      <c r="C52" s="334" t="s">
        <v>256</v>
      </c>
      <c r="D52" s="335" t="s">
        <v>196</v>
      </c>
      <c r="E52" s="322" t="s">
        <v>144</v>
      </c>
      <c r="F52" s="327" t="s">
        <v>363</v>
      </c>
      <c r="G52" s="328">
        <v>8</v>
      </c>
      <c r="H52" s="328">
        <v>6</v>
      </c>
      <c r="I52" s="328">
        <v>5</v>
      </c>
      <c r="J52" s="328">
        <v>0</v>
      </c>
      <c r="K52" s="329">
        <f t="shared" si="0"/>
        <v>19</v>
      </c>
      <c r="L52" s="329">
        <v>0</v>
      </c>
      <c r="M52" s="329">
        <f t="shared" si="1"/>
        <v>19</v>
      </c>
      <c r="N52" s="328">
        <v>4</v>
      </c>
      <c r="O52" s="329">
        <f t="shared" si="2"/>
        <v>23</v>
      </c>
      <c r="P52" s="328">
        <v>0</v>
      </c>
      <c r="Q52" s="328">
        <v>1</v>
      </c>
      <c r="R52" s="330">
        <v>760</v>
      </c>
      <c r="S52" s="330">
        <v>695</v>
      </c>
      <c r="T52" s="331">
        <f t="shared" si="16"/>
        <v>0</v>
      </c>
      <c r="U52" s="331">
        <f t="shared" si="3"/>
        <v>14440</v>
      </c>
      <c r="V52" s="331">
        <f t="shared" si="4"/>
        <v>0</v>
      </c>
      <c r="W52" s="330">
        <f t="shared" si="5"/>
        <v>1203</v>
      </c>
      <c r="X52" s="330">
        <f t="shared" si="6"/>
        <v>4813</v>
      </c>
      <c r="Y52" s="330">
        <f t="shared" si="7"/>
        <v>2310</v>
      </c>
      <c r="Z52" s="330">
        <f t="shared" si="8"/>
        <v>3040</v>
      </c>
      <c r="AA52" s="330">
        <f t="shared" si="9"/>
        <v>810</v>
      </c>
      <c r="AB52" s="331">
        <f t="shared" si="10"/>
        <v>760</v>
      </c>
      <c r="AC52" s="332">
        <f t="shared" si="11"/>
        <v>570</v>
      </c>
      <c r="AD52" s="330">
        <f t="shared" si="12"/>
        <v>1495</v>
      </c>
      <c r="AE52" s="330">
        <f t="shared" si="13"/>
        <v>1877</v>
      </c>
      <c r="AF52" s="330">
        <f t="shared" si="14"/>
        <v>0</v>
      </c>
      <c r="AG52" s="333"/>
      <c r="AI52" s="34" t="s">
        <v>256</v>
      </c>
      <c r="AJ52" s="34">
        <v>8</v>
      </c>
      <c r="AK52" s="34">
        <v>8</v>
      </c>
      <c r="AL52" s="34">
        <v>10</v>
      </c>
      <c r="AM52" s="34">
        <v>0</v>
      </c>
    </row>
    <row r="53" spans="1:39" ht="69.95" customHeight="1">
      <c r="A53" s="322">
        <f t="shared" si="15"/>
        <v>43</v>
      </c>
      <c r="B53" s="323" t="s">
        <v>258</v>
      </c>
      <c r="C53" s="324" t="s">
        <v>259</v>
      </c>
      <c r="D53" s="325" t="s">
        <v>182</v>
      </c>
      <c r="E53" s="326" t="s">
        <v>146</v>
      </c>
      <c r="F53" s="327" t="s">
        <v>361</v>
      </c>
      <c r="G53" s="328">
        <v>0</v>
      </c>
      <c r="H53" s="328">
        <v>0</v>
      </c>
      <c r="I53" s="328">
        <v>0</v>
      </c>
      <c r="J53" s="328">
        <v>12</v>
      </c>
      <c r="K53" s="329">
        <f t="shared" si="0"/>
        <v>12</v>
      </c>
      <c r="L53" s="329">
        <v>0</v>
      </c>
      <c r="M53" s="329">
        <f t="shared" si="1"/>
        <v>12</v>
      </c>
      <c r="N53" s="328">
        <v>4</v>
      </c>
      <c r="O53" s="329">
        <f t="shared" si="2"/>
        <v>16</v>
      </c>
      <c r="P53" s="328">
        <v>0</v>
      </c>
      <c r="Q53" s="328">
        <v>0</v>
      </c>
      <c r="R53" s="330">
        <v>541</v>
      </c>
      <c r="S53" s="330">
        <v>494</v>
      </c>
      <c r="T53" s="331">
        <f t="shared" si="16"/>
        <v>0</v>
      </c>
      <c r="U53" s="331">
        <f t="shared" si="3"/>
        <v>6492</v>
      </c>
      <c r="V53" s="331">
        <f t="shared" si="4"/>
        <v>0</v>
      </c>
      <c r="W53" s="330">
        <f t="shared" si="5"/>
        <v>541</v>
      </c>
      <c r="X53" s="330">
        <f t="shared" si="6"/>
        <v>2164</v>
      </c>
      <c r="Y53" s="330">
        <f t="shared" si="7"/>
        <v>1039</v>
      </c>
      <c r="Z53" s="330">
        <f t="shared" si="8"/>
        <v>2164</v>
      </c>
      <c r="AA53" s="330">
        <f t="shared" si="9"/>
        <v>0</v>
      </c>
      <c r="AB53" s="331">
        <f t="shared" si="10"/>
        <v>0</v>
      </c>
      <c r="AC53" s="332">
        <f t="shared" si="11"/>
        <v>360</v>
      </c>
      <c r="AD53" s="330">
        <f t="shared" si="12"/>
        <v>752</v>
      </c>
      <c r="AE53" s="330">
        <f t="shared" si="13"/>
        <v>844</v>
      </c>
      <c r="AF53" s="330">
        <f t="shared" si="14"/>
        <v>316</v>
      </c>
      <c r="AG53" s="333"/>
      <c r="AI53" s="34" t="s">
        <v>259</v>
      </c>
      <c r="AJ53" s="34">
        <v>0</v>
      </c>
      <c r="AK53" s="34">
        <v>0</v>
      </c>
      <c r="AL53" s="34">
        <v>0</v>
      </c>
      <c r="AM53" s="34">
        <v>24</v>
      </c>
    </row>
    <row r="54" spans="1:39" ht="69.95" customHeight="1">
      <c r="A54" s="322">
        <f t="shared" si="15"/>
        <v>44</v>
      </c>
      <c r="B54" s="323" t="s">
        <v>260</v>
      </c>
      <c r="C54" s="324" t="s">
        <v>261</v>
      </c>
      <c r="D54" s="325" t="s">
        <v>182</v>
      </c>
      <c r="E54" s="326" t="s">
        <v>145</v>
      </c>
      <c r="F54" s="327" t="s">
        <v>362</v>
      </c>
      <c r="G54" s="328">
        <v>3</v>
      </c>
      <c r="H54" s="328">
        <v>2</v>
      </c>
      <c r="I54" s="328">
        <v>5</v>
      </c>
      <c r="J54" s="328">
        <v>0</v>
      </c>
      <c r="K54" s="329">
        <f t="shared" si="0"/>
        <v>10</v>
      </c>
      <c r="L54" s="329">
        <v>0</v>
      </c>
      <c r="M54" s="329">
        <f t="shared" si="1"/>
        <v>10</v>
      </c>
      <c r="N54" s="328">
        <v>4</v>
      </c>
      <c r="O54" s="329">
        <f t="shared" si="2"/>
        <v>14</v>
      </c>
      <c r="P54" s="328">
        <v>0</v>
      </c>
      <c r="Q54" s="328">
        <v>0</v>
      </c>
      <c r="R54" s="330">
        <v>632</v>
      </c>
      <c r="S54" s="330">
        <v>577</v>
      </c>
      <c r="T54" s="331">
        <f t="shared" si="16"/>
        <v>0</v>
      </c>
      <c r="U54" s="331">
        <f t="shared" si="3"/>
        <v>6320</v>
      </c>
      <c r="V54" s="331">
        <f t="shared" si="4"/>
        <v>0</v>
      </c>
      <c r="W54" s="330">
        <f t="shared" si="5"/>
        <v>526</v>
      </c>
      <c r="X54" s="330">
        <f t="shared" si="6"/>
        <v>2106</v>
      </c>
      <c r="Y54" s="330">
        <f t="shared" si="7"/>
        <v>1011</v>
      </c>
      <c r="Z54" s="330">
        <f t="shared" si="8"/>
        <v>2528</v>
      </c>
      <c r="AA54" s="330">
        <f t="shared" si="9"/>
        <v>450</v>
      </c>
      <c r="AB54" s="331">
        <f t="shared" si="10"/>
        <v>0</v>
      </c>
      <c r="AC54" s="332">
        <f t="shared" si="11"/>
        <v>300</v>
      </c>
      <c r="AD54" s="330">
        <f t="shared" si="12"/>
        <v>770</v>
      </c>
      <c r="AE54" s="330">
        <f t="shared" si="13"/>
        <v>822</v>
      </c>
      <c r="AF54" s="330">
        <f t="shared" si="14"/>
        <v>0</v>
      </c>
      <c r="AG54" s="333"/>
      <c r="AI54" s="34" t="s">
        <v>261</v>
      </c>
      <c r="AJ54" s="34">
        <v>0</v>
      </c>
      <c r="AK54" s="34">
        <v>0</v>
      </c>
      <c r="AL54" s="34">
        <v>0</v>
      </c>
      <c r="AM54" s="34">
        <v>19</v>
      </c>
    </row>
    <row r="55" spans="1:39" ht="69.95" customHeight="1">
      <c r="A55" s="322">
        <f t="shared" si="15"/>
        <v>45</v>
      </c>
      <c r="B55" s="323" t="s">
        <v>262</v>
      </c>
      <c r="C55" s="336" t="s">
        <v>263</v>
      </c>
      <c r="D55" s="335" t="s">
        <v>196</v>
      </c>
      <c r="E55" s="322" t="s">
        <v>145</v>
      </c>
      <c r="F55" s="327" t="s">
        <v>362</v>
      </c>
      <c r="G55" s="328">
        <v>0</v>
      </c>
      <c r="H55" s="328">
        <v>0</v>
      </c>
      <c r="I55" s="328">
        <v>0</v>
      </c>
      <c r="J55" s="328">
        <v>24</v>
      </c>
      <c r="K55" s="329">
        <f t="shared" si="0"/>
        <v>24</v>
      </c>
      <c r="L55" s="329">
        <v>0</v>
      </c>
      <c r="M55" s="329">
        <f t="shared" si="1"/>
        <v>24</v>
      </c>
      <c r="N55" s="328">
        <v>4</v>
      </c>
      <c r="O55" s="329">
        <f t="shared" si="2"/>
        <v>28</v>
      </c>
      <c r="P55" s="328">
        <v>0</v>
      </c>
      <c r="Q55" s="328">
        <v>0</v>
      </c>
      <c r="R55" s="330">
        <v>632</v>
      </c>
      <c r="S55" s="330">
        <v>577</v>
      </c>
      <c r="T55" s="331">
        <f t="shared" si="16"/>
        <v>0</v>
      </c>
      <c r="U55" s="331">
        <f t="shared" si="3"/>
        <v>15168</v>
      </c>
      <c r="V55" s="331">
        <f t="shared" si="4"/>
        <v>758</v>
      </c>
      <c r="W55" s="330">
        <f t="shared" si="5"/>
        <v>1263</v>
      </c>
      <c r="X55" s="330">
        <f t="shared" si="6"/>
        <v>5055</v>
      </c>
      <c r="Y55" s="330">
        <f t="shared" si="7"/>
        <v>2427</v>
      </c>
      <c r="Z55" s="330">
        <f t="shared" si="8"/>
        <v>2528</v>
      </c>
      <c r="AA55" s="330">
        <f t="shared" si="9"/>
        <v>0</v>
      </c>
      <c r="AB55" s="331">
        <f t="shared" si="10"/>
        <v>0</v>
      </c>
      <c r="AC55" s="332">
        <f t="shared" si="11"/>
        <v>720</v>
      </c>
      <c r="AD55" s="330">
        <f t="shared" si="12"/>
        <v>1540</v>
      </c>
      <c r="AE55" s="330">
        <f t="shared" si="13"/>
        <v>1950</v>
      </c>
      <c r="AF55" s="330">
        <f t="shared" si="14"/>
        <v>0</v>
      </c>
      <c r="AG55" s="333"/>
      <c r="AI55" s="34" t="s">
        <v>263</v>
      </c>
      <c r="AJ55" s="34">
        <v>0</v>
      </c>
      <c r="AK55" s="34">
        <v>0</v>
      </c>
      <c r="AL55" s="34">
        <v>0</v>
      </c>
      <c r="AM55" s="34">
        <v>25</v>
      </c>
    </row>
    <row r="56" spans="1:39" ht="69.95" customHeight="1">
      <c r="A56" s="322">
        <f t="shared" si="15"/>
        <v>46</v>
      </c>
      <c r="B56" s="323" t="s">
        <v>427</v>
      </c>
      <c r="C56" s="336" t="s">
        <v>428</v>
      </c>
      <c r="D56" s="335" t="s">
        <v>196</v>
      </c>
      <c r="E56" s="322" t="s">
        <v>146</v>
      </c>
      <c r="F56" s="327" t="s">
        <v>361</v>
      </c>
      <c r="G56" s="328">
        <v>0</v>
      </c>
      <c r="H56" s="328">
        <v>1</v>
      </c>
      <c r="I56" s="328">
        <v>0</v>
      </c>
      <c r="J56" s="328">
        <v>17</v>
      </c>
      <c r="K56" s="329">
        <f t="shared" si="0"/>
        <v>18</v>
      </c>
      <c r="L56" s="329">
        <v>0</v>
      </c>
      <c r="M56" s="329">
        <f t="shared" si="1"/>
        <v>18</v>
      </c>
      <c r="N56" s="328">
        <v>4</v>
      </c>
      <c r="O56" s="329">
        <f t="shared" si="2"/>
        <v>22</v>
      </c>
      <c r="P56" s="328">
        <v>0</v>
      </c>
      <c r="Q56" s="328">
        <v>4</v>
      </c>
      <c r="R56" s="330">
        <v>541</v>
      </c>
      <c r="S56" s="330">
        <v>494</v>
      </c>
      <c r="T56" s="331">
        <f t="shared" si="16"/>
        <v>0</v>
      </c>
      <c r="U56" s="331">
        <f>ROUND(R56*(K56+L56),0)</f>
        <v>9738</v>
      </c>
      <c r="V56" s="331">
        <f t="shared" si="4"/>
        <v>0</v>
      </c>
      <c r="W56" s="330">
        <f t="shared" si="5"/>
        <v>811</v>
      </c>
      <c r="X56" s="330">
        <f t="shared" si="6"/>
        <v>3246</v>
      </c>
      <c r="Y56" s="330">
        <f t="shared" si="7"/>
        <v>1558</v>
      </c>
      <c r="Z56" s="330">
        <f t="shared" si="8"/>
        <v>2164</v>
      </c>
      <c r="AA56" s="330">
        <f t="shared" si="9"/>
        <v>40</v>
      </c>
      <c r="AB56" s="331">
        <f t="shared" si="10"/>
        <v>2164</v>
      </c>
      <c r="AC56" s="332">
        <f t="shared" si="11"/>
        <v>540</v>
      </c>
      <c r="AD56" s="330">
        <f t="shared" si="12"/>
        <v>1034</v>
      </c>
      <c r="AE56" s="330">
        <f t="shared" si="13"/>
        <v>1266</v>
      </c>
      <c r="AF56" s="330">
        <f t="shared" si="14"/>
        <v>474</v>
      </c>
      <c r="AG56" s="333"/>
      <c r="AI56" s="34" t="s">
        <v>428</v>
      </c>
      <c r="AJ56" s="34">
        <v>0</v>
      </c>
      <c r="AK56" s="34">
        <v>0</v>
      </c>
      <c r="AL56" s="34">
        <v>0</v>
      </c>
      <c r="AM56" s="34">
        <v>0</v>
      </c>
    </row>
    <row r="57" spans="1:39" ht="69.95" customHeight="1">
      <c r="A57" s="322">
        <f t="shared" si="15"/>
        <v>47</v>
      </c>
      <c r="B57" s="323" t="s">
        <v>264</v>
      </c>
      <c r="C57" s="334" t="s">
        <v>265</v>
      </c>
      <c r="D57" s="335" t="s">
        <v>369</v>
      </c>
      <c r="E57" s="322" t="s">
        <v>146</v>
      </c>
      <c r="F57" s="327" t="s">
        <v>361</v>
      </c>
      <c r="G57" s="328">
        <v>8</v>
      </c>
      <c r="H57" s="328">
        <v>8</v>
      </c>
      <c r="I57" s="328">
        <v>10</v>
      </c>
      <c r="J57" s="328">
        <v>0</v>
      </c>
      <c r="K57" s="329">
        <f t="shared" si="0"/>
        <v>26</v>
      </c>
      <c r="L57" s="329">
        <v>0</v>
      </c>
      <c r="M57" s="329">
        <f t="shared" si="1"/>
        <v>26</v>
      </c>
      <c r="N57" s="328">
        <v>4</v>
      </c>
      <c r="O57" s="329">
        <f t="shared" si="2"/>
        <v>30</v>
      </c>
      <c r="P57" s="328">
        <v>0</v>
      </c>
      <c r="Q57" s="328">
        <v>0</v>
      </c>
      <c r="R57" s="330">
        <v>541</v>
      </c>
      <c r="S57" s="330">
        <v>494</v>
      </c>
      <c r="T57" s="331">
        <f t="shared" si="16"/>
        <v>0</v>
      </c>
      <c r="U57" s="331">
        <f t="shared" si="3"/>
        <v>14066</v>
      </c>
      <c r="V57" s="331">
        <f t="shared" si="4"/>
        <v>681</v>
      </c>
      <c r="W57" s="330">
        <f t="shared" si="5"/>
        <v>1172</v>
      </c>
      <c r="X57" s="330">
        <f t="shared" si="6"/>
        <v>4688</v>
      </c>
      <c r="Y57" s="330">
        <f t="shared" si="7"/>
        <v>2251</v>
      </c>
      <c r="Z57" s="330">
        <f t="shared" si="8"/>
        <v>2164</v>
      </c>
      <c r="AA57" s="330">
        <f t="shared" si="9"/>
        <v>1140</v>
      </c>
      <c r="AB57" s="331">
        <f t="shared" si="10"/>
        <v>0</v>
      </c>
      <c r="AC57" s="332">
        <f t="shared" si="11"/>
        <v>780</v>
      </c>
      <c r="AD57" s="330">
        <f t="shared" si="12"/>
        <v>1410</v>
      </c>
      <c r="AE57" s="330">
        <f t="shared" si="13"/>
        <v>1829</v>
      </c>
      <c r="AF57" s="330">
        <f t="shared" si="14"/>
        <v>720</v>
      </c>
      <c r="AG57" s="333"/>
      <c r="AI57" s="34" t="s">
        <v>265</v>
      </c>
      <c r="AJ57" s="34">
        <v>8</v>
      </c>
      <c r="AK57" s="34">
        <v>9</v>
      </c>
      <c r="AL57" s="34">
        <v>8</v>
      </c>
      <c r="AM57" s="34">
        <v>0</v>
      </c>
    </row>
    <row r="58" spans="1:39" ht="69.95" customHeight="1">
      <c r="A58" s="322">
        <f t="shared" si="15"/>
        <v>48</v>
      </c>
      <c r="B58" s="323" t="s">
        <v>266</v>
      </c>
      <c r="C58" s="324" t="s">
        <v>267</v>
      </c>
      <c r="D58" s="325" t="s">
        <v>182</v>
      </c>
      <c r="E58" s="326" t="s">
        <v>146</v>
      </c>
      <c r="F58" s="327" t="s">
        <v>361</v>
      </c>
      <c r="G58" s="328">
        <v>8</v>
      </c>
      <c r="H58" s="328">
        <v>7</v>
      </c>
      <c r="I58" s="328">
        <v>10</v>
      </c>
      <c r="J58" s="328">
        <v>0</v>
      </c>
      <c r="K58" s="329">
        <f t="shared" si="0"/>
        <v>25</v>
      </c>
      <c r="L58" s="329">
        <v>0</v>
      </c>
      <c r="M58" s="329">
        <f t="shared" si="1"/>
        <v>25</v>
      </c>
      <c r="N58" s="328">
        <v>4</v>
      </c>
      <c r="O58" s="329">
        <f t="shared" si="2"/>
        <v>29</v>
      </c>
      <c r="P58" s="328">
        <v>0</v>
      </c>
      <c r="Q58" s="328">
        <v>1</v>
      </c>
      <c r="R58" s="330">
        <v>541</v>
      </c>
      <c r="S58" s="330">
        <v>494</v>
      </c>
      <c r="T58" s="331">
        <f t="shared" si="16"/>
        <v>0</v>
      </c>
      <c r="U58" s="331">
        <f t="shared" si="3"/>
        <v>13525</v>
      </c>
      <c r="V58" s="331">
        <f t="shared" si="4"/>
        <v>676</v>
      </c>
      <c r="W58" s="330">
        <f t="shared" si="5"/>
        <v>1127</v>
      </c>
      <c r="X58" s="330">
        <f t="shared" si="6"/>
        <v>4508</v>
      </c>
      <c r="Y58" s="330">
        <f t="shared" si="7"/>
        <v>2164</v>
      </c>
      <c r="Z58" s="330">
        <f t="shared" si="8"/>
        <v>2164</v>
      </c>
      <c r="AA58" s="330">
        <f t="shared" si="9"/>
        <v>1100</v>
      </c>
      <c r="AB58" s="331">
        <f t="shared" si="10"/>
        <v>541</v>
      </c>
      <c r="AC58" s="332">
        <f t="shared" si="11"/>
        <v>750</v>
      </c>
      <c r="AD58" s="330">
        <f t="shared" si="12"/>
        <v>1363</v>
      </c>
      <c r="AE58" s="330">
        <f t="shared" si="13"/>
        <v>1758</v>
      </c>
      <c r="AF58" s="330">
        <f t="shared" si="14"/>
        <v>693</v>
      </c>
      <c r="AG58" s="333"/>
      <c r="AI58" s="34" t="s">
        <v>267</v>
      </c>
      <c r="AJ58" s="34">
        <v>8</v>
      </c>
      <c r="AK58" s="34">
        <v>9</v>
      </c>
      <c r="AL58" s="34">
        <v>8</v>
      </c>
      <c r="AM58" s="34">
        <v>0</v>
      </c>
    </row>
    <row r="59" spans="1:39" ht="69.95" customHeight="1">
      <c r="A59" s="322">
        <f t="shared" si="15"/>
        <v>49</v>
      </c>
      <c r="B59" s="323" t="s">
        <v>268</v>
      </c>
      <c r="C59" s="338" t="s">
        <v>269</v>
      </c>
      <c r="D59" s="335" t="s">
        <v>369</v>
      </c>
      <c r="E59" s="322" t="s">
        <v>144</v>
      </c>
      <c r="F59" s="327" t="s">
        <v>363</v>
      </c>
      <c r="G59" s="328">
        <v>7</v>
      </c>
      <c r="H59" s="328">
        <v>9</v>
      </c>
      <c r="I59" s="328">
        <v>10</v>
      </c>
      <c r="J59" s="328">
        <v>1</v>
      </c>
      <c r="K59" s="329">
        <f t="shared" si="0"/>
        <v>27</v>
      </c>
      <c r="L59" s="329">
        <v>0</v>
      </c>
      <c r="M59" s="329">
        <f t="shared" si="1"/>
        <v>27</v>
      </c>
      <c r="N59" s="328">
        <v>4</v>
      </c>
      <c r="O59" s="329">
        <f t="shared" si="2"/>
        <v>31</v>
      </c>
      <c r="P59" s="328">
        <v>0</v>
      </c>
      <c r="Q59" s="328">
        <v>0</v>
      </c>
      <c r="R59" s="330">
        <v>760</v>
      </c>
      <c r="S59" s="330">
        <v>695</v>
      </c>
      <c r="T59" s="331">
        <f t="shared" si="16"/>
        <v>0</v>
      </c>
      <c r="U59" s="331">
        <f t="shared" si="3"/>
        <v>20520</v>
      </c>
      <c r="V59" s="331">
        <f t="shared" si="4"/>
        <v>956</v>
      </c>
      <c r="W59" s="330">
        <f t="shared" si="5"/>
        <v>1709</v>
      </c>
      <c r="X59" s="330">
        <f t="shared" si="6"/>
        <v>6839</v>
      </c>
      <c r="Y59" s="330">
        <f t="shared" si="7"/>
        <v>3283</v>
      </c>
      <c r="Z59" s="330">
        <f t="shared" si="8"/>
        <v>3040</v>
      </c>
      <c r="AA59" s="330">
        <f t="shared" si="9"/>
        <v>1140</v>
      </c>
      <c r="AB59" s="331">
        <f t="shared" si="10"/>
        <v>0</v>
      </c>
      <c r="AC59" s="332">
        <f t="shared" si="11"/>
        <v>810</v>
      </c>
      <c r="AD59" s="330">
        <f t="shared" si="12"/>
        <v>2015</v>
      </c>
      <c r="AE59" s="330">
        <f t="shared" si="13"/>
        <v>1950</v>
      </c>
      <c r="AF59" s="330">
        <f t="shared" si="14"/>
        <v>0</v>
      </c>
      <c r="AG59" s="333"/>
      <c r="AI59" s="34" t="s">
        <v>269</v>
      </c>
      <c r="AJ59" s="34">
        <v>9</v>
      </c>
      <c r="AK59" s="34">
        <v>9</v>
      </c>
      <c r="AL59" s="34">
        <v>8</v>
      </c>
      <c r="AM59" s="34">
        <v>0</v>
      </c>
    </row>
    <row r="60" spans="1:39" ht="69.95" customHeight="1">
      <c r="A60" s="322">
        <f t="shared" si="15"/>
        <v>50</v>
      </c>
      <c r="B60" s="323" t="s">
        <v>270</v>
      </c>
      <c r="C60" s="338" t="s">
        <v>271</v>
      </c>
      <c r="D60" s="325" t="s">
        <v>196</v>
      </c>
      <c r="E60" s="322" t="s">
        <v>146</v>
      </c>
      <c r="F60" s="327" t="s">
        <v>361</v>
      </c>
      <c r="G60" s="328">
        <v>5</v>
      </c>
      <c r="H60" s="328">
        <v>5</v>
      </c>
      <c r="I60" s="328">
        <v>3</v>
      </c>
      <c r="J60" s="328">
        <v>11</v>
      </c>
      <c r="K60" s="329">
        <f t="shared" si="0"/>
        <v>24</v>
      </c>
      <c r="L60" s="329">
        <v>0</v>
      </c>
      <c r="M60" s="329">
        <f t="shared" si="1"/>
        <v>24</v>
      </c>
      <c r="N60" s="328">
        <v>4</v>
      </c>
      <c r="O60" s="329">
        <f t="shared" si="2"/>
        <v>28</v>
      </c>
      <c r="P60" s="328">
        <v>0</v>
      </c>
      <c r="Q60" s="328">
        <v>1</v>
      </c>
      <c r="R60" s="330">
        <v>541</v>
      </c>
      <c r="S60" s="330">
        <v>494</v>
      </c>
      <c r="T60" s="331">
        <f t="shared" si="16"/>
        <v>0</v>
      </c>
      <c r="U60" s="331">
        <f t="shared" si="3"/>
        <v>12984</v>
      </c>
      <c r="V60" s="331">
        <f t="shared" si="4"/>
        <v>649</v>
      </c>
      <c r="W60" s="330">
        <f t="shared" si="5"/>
        <v>1082</v>
      </c>
      <c r="X60" s="330">
        <f t="shared" si="6"/>
        <v>4328</v>
      </c>
      <c r="Y60" s="330">
        <f t="shared" si="7"/>
        <v>2077</v>
      </c>
      <c r="Z60" s="330">
        <f t="shared" si="8"/>
        <v>2164</v>
      </c>
      <c r="AA60" s="330">
        <f t="shared" si="9"/>
        <v>550</v>
      </c>
      <c r="AB60" s="331">
        <f t="shared" si="10"/>
        <v>541</v>
      </c>
      <c r="AC60" s="332">
        <f t="shared" si="11"/>
        <v>720</v>
      </c>
      <c r="AD60" s="330">
        <f t="shared" si="12"/>
        <v>1316</v>
      </c>
      <c r="AE60" s="330">
        <f t="shared" si="13"/>
        <v>1688</v>
      </c>
      <c r="AF60" s="330">
        <f t="shared" si="14"/>
        <v>649</v>
      </c>
      <c r="AG60" s="333"/>
      <c r="AI60" s="34" t="s">
        <v>271</v>
      </c>
      <c r="AJ60" s="34">
        <v>5</v>
      </c>
      <c r="AK60" s="34">
        <v>4</v>
      </c>
      <c r="AL60" s="34">
        <v>4</v>
      </c>
      <c r="AM60" s="34">
        <v>13</v>
      </c>
    </row>
    <row r="61" spans="1:39" ht="69.95" customHeight="1">
      <c r="A61" s="322">
        <f t="shared" si="15"/>
        <v>51</v>
      </c>
      <c r="B61" s="323" t="s">
        <v>272</v>
      </c>
      <c r="C61" s="336" t="s">
        <v>273</v>
      </c>
      <c r="D61" s="335" t="s">
        <v>196</v>
      </c>
      <c r="E61" s="322" t="s">
        <v>145</v>
      </c>
      <c r="F61" s="327" t="s">
        <v>362</v>
      </c>
      <c r="G61" s="328">
        <v>2</v>
      </c>
      <c r="H61" s="328">
        <v>14</v>
      </c>
      <c r="I61" s="328">
        <v>0</v>
      </c>
      <c r="J61" s="328">
        <v>12</v>
      </c>
      <c r="K61" s="329">
        <f t="shared" si="0"/>
        <v>28</v>
      </c>
      <c r="L61" s="329">
        <v>0</v>
      </c>
      <c r="M61" s="329">
        <f t="shared" si="1"/>
        <v>28</v>
      </c>
      <c r="N61" s="328">
        <v>4</v>
      </c>
      <c r="O61" s="329">
        <f t="shared" si="2"/>
        <v>32</v>
      </c>
      <c r="P61" s="328">
        <v>12</v>
      </c>
      <c r="Q61" s="328">
        <v>0</v>
      </c>
      <c r="R61" s="330">
        <v>632</v>
      </c>
      <c r="S61" s="330">
        <v>577</v>
      </c>
      <c r="T61" s="331">
        <f t="shared" si="16"/>
        <v>1896</v>
      </c>
      <c r="U61" s="331">
        <f t="shared" si="3"/>
        <v>17696</v>
      </c>
      <c r="V61" s="331">
        <f t="shared" si="4"/>
        <v>795</v>
      </c>
      <c r="W61" s="330">
        <f t="shared" si="5"/>
        <v>1474</v>
      </c>
      <c r="X61" s="330">
        <f t="shared" si="6"/>
        <v>5898</v>
      </c>
      <c r="Y61" s="330">
        <f t="shared" si="7"/>
        <v>2831</v>
      </c>
      <c r="Z61" s="330">
        <f t="shared" si="8"/>
        <v>2528</v>
      </c>
      <c r="AA61" s="330">
        <f t="shared" si="9"/>
        <v>640</v>
      </c>
      <c r="AB61" s="331">
        <f t="shared" si="10"/>
        <v>0</v>
      </c>
      <c r="AC61" s="332">
        <f t="shared" si="11"/>
        <v>840</v>
      </c>
      <c r="AD61" s="330">
        <f t="shared" si="12"/>
        <v>1925</v>
      </c>
      <c r="AE61" s="330">
        <f t="shared" si="13"/>
        <v>1950</v>
      </c>
      <c r="AF61" s="330">
        <f t="shared" si="14"/>
        <v>0</v>
      </c>
      <c r="AG61" s="333"/>
      <c r="AI61" s="34" t="s">
        <v>273</v>
      </c>
      <c r="AJ61" s="34">
        <v>1</v>
      </c>
      <c r="AK61" s="34">
        <v>9</v>
      </c>
      <c r="AL61" s="34">
        <v>0</v>
      </c>
      <c r="AM61" s="34">
        <v>18</v>
      </c>
    </row>
    <row r="62" spans="1:39" ht="69.95" customHeight="1">
      <c r="A62" s="322">
        <f t="shared" si="15"/>
        <v>52</v>
      </c>
      <c r="B62" s="323" t="s">
        <v>274</v>
      </c>
      <c r="C62" s="324" t="s">
        <v>275</v>
      </c>
      <c r="D62" s="325" t="s">
        <v>182</v>
      </c>
      <c r="E62" s="326" t="s">
        <v>146</v>
      </c>
      <c r="F62" s="327" t="s">
        <v>361</v>
      </c>
      <c r="G62" s="328">
        <v>0</v>
      </c>
      <c r="H62" s="328">
        <v>0</v>
      </c>
      <c r="I62" s="328">
        <v>0</v>
      </c>
      <c r="J62" s="328">
        <v>18</v>
      </c>
      <c r="K62" s="329">
        <f t="shared" si="0"/>
        <v>18</v>
      </c>
      <c r="L62" s="329">
        <v>0</v>
      </c>
      <c r="M62" s="329">
        <f t="shared" si="1"/>
        <v>18</v>
      </c>
      <c r="N62" s="328">
        <v>4</v>
      </c>
      <c r="O62" s="329">
        <f t="shared" si="2"/>
        <v>22</v>
      </c>
      <c r="P62" s="328">
        <v>0</v>
      </c>
      <c r="Q62" s="328">
        <v>0</v>
      </c>
      <c r="R62" s="330">
        <v>541</v>
      </c>
      <c r="S62" s="330">
        <v>494</v>
      </c>
      <c r="T62" s="331">
        <f t="shared" si="16"/>
        <v>0</v>
      </c>
      <c r="U62" s="331">
        <f t="shared" si="3"/>
        <v>9738</v>
      </c>
      <c r="V62" s="331">
        <f t="shared" si="4"/>
        <v>0</v>
      </c>
      <c r="W62" s="330">
        <f t="shared" si="5"/>
        <v>811</v>
      </c>
      <c r="X62" s="330">
        <f t="shared" si="6"/>
        <v>3246</v>
      </c>
      <c r="Y62" s="330">
        <f t="shared" si="7"/>
        <v>1558</v>
      </c>
      <c r="Z62" s="330">
        <f t="shared" si="8"/>
        <v>2164</v>
      </c>
      <c r="AA62" s="330">
        <f t="shared" si="9"/>
        <v>0</v>
      </c>
      <c r="AB62" s="331">
        <f t="shared" si="10"/>
        <v>0</v>
      </c>
      <c r="AC62" s="332">
        <f t="shared" si="11"/>
        <v>540</v>
      </c>
      <c r="AD62" s="330">
        <f t="shared" si="12"/>
        <v>1034</v>
      </c>
      <c r="AE62" s="330">
        <f t="shared" si="13"/>
        <v>1266</v>
      </c>
      <c r="AF62" s="330">
        <f t="shared" si="14"/>
        <v>473</v>
      </c>
      <c r="AG62" s="333"/>
      <c r="AI62" s="34" t="s">
        <v>275</v>
      </c>
      <c r="AJ62" s="34">
        <v>8</v>
      </c>
      <c r="AK62" s="34">
        <v>9</v>
      </c>
      <c r="AL62" s="34">
        <v>7</v>
      </c>
      <c r="AM62" s="34">
        <v>0</v>
      </c>
    </row>
    <row r="63" spans="1:39" ht="69.95" customHeight="1">
      <c r="A63" s="322">
        <f t="shared" si="15"/>
        <v>53</v>
      </c>
      <c r="B63" s="323" t="s">
        <v>276</v>
      </c>
      <c r="C63" s="336" t="s">
        <v>277</v>
      </c>
      <c r="D63" s="335" t="s">
        <v>196</v>
      </c>
      <c r="E63" s="322" t="s">
        <v>145</v>
      </c>
      <c r="F63" s="327" t="s">
        <v>362</v>
      </c>
      <c r="G63" s="328">
        <v>8</v>
      </c>
      <c r="H63" s="328">
        <v>10</v>
      </c>
      <c r="I63" s="328">
        <v>9</v>
      </c>
      <c r="J63" s="328">
        <v>1</v>
      </c>
      <c r="K63" s="329">
        <f t="shared" si="0"/>
        <v>28</v>
      </c>
      <c r="L63" s="329">
        <v>0</v>
      </c>
      <c r="M63" s="329">
        <f t="shared" si="1"/>
        <v>28</v>
      </c>
      <c r="N63" s="328">
        <v>4</v>
      </c>
      <c r="O63" s="329">
        <f t="shared" si="2"/>
        <v>32</v>
      </c>
      <c r="P63" s="328">
        <v>0</v>
      </c>
      <c r="Q63" s="328">
        <v>0</v>
      </c>
      <c r="R63" s="330">
        <v>632</v>
      </c>
      <c r="S63" s="330">
        <v>577</v>
      </c>
      <c r="T63" s="331">
        <f t="shared" si="16"/>
        <v>0</v>
      </c>
      <c r="U63" s="331">
        <f t="shared" si="3"/>
        <v>17696</v>
      </c>
      <c r="V63" s="331">
        <f t="shared" si="4"/>
        <v>795</v>
      </c>
      <c r="W63" s="330">
        <f t="shared" si="5"/>
        <v>1474</v>
      </c>
      <c r="X63" s="330">
        <f t="shared" si="6"/>
        <v>5898</v>
      </c>
      <c r="Y63" s="330">
        <f t="shared" si="7"/>
        <v>2831</v>
      </c>
      <c r="Z63" s="330">
        <f t="shared" si="8"/>
        <v>2528</v>
      </c>
      <c r="AA63" s="330">
        <f t="shared" si="9"/>
        <v>1170</v>
      </c>
      <c r="AB63" s="331">
        <f t="shared" si="10"/>
        <v>0</v>
      </c>
      <c r="AC63" s="332">
        <f t="shared" si="11"/>
        <v>840</v>
      </c>
      <c r="AD63" s="330">
        <f t="shared" si="12"/>
        <v>1760</v>
      </c>
      <c r="AE63" s="330">
        <f t="shared" si="13"/>
        <v>1950</v>
      </c>
      <c r="AF63" s="330">
        <f t="shared" si="14"/>
        <v>0</v>
      </c>
      <c r="AG63" s="333"/>
      <c r="AI63" s="34" t="s">
        <v>277</v>
      </c>
      <c r="AJ63" s="34">
        <v>10</v>
      </c>
      <c r="AK63" s="34">
        <v>8</v>
      </c>
      <c r="AL63" s="34">
        <v>9</v>
      </c>
      <c r="AM63" s="34">
        <v>0</v>
      </c>
    </row>
    <row r="64" spans="1:39" ht="69.95" customHeight="1">
      <c r="A64" s="322">
        <f t="shared" si="15"/>
        <v>54</v>
      </c>
      <c r="B64" s="323" t="s">
        <v>278</v>
      </c>
      <c r="C64" s="324" t="s">
        <v>279</v>
      </c>
      <c r="D64" s="325" t="s">
        <v>182</v>
      </c>
      <c r="E64" s="326" t="s">
        <v>145</v>
      </c>
      <c r="F64" s="327" t="s">
        <v>362</v>
      </c>
      <c r="G64" s="328">
        <v>8</v>
      </c>
      <c r="H64" s="328">
        <v>7</v>
      </c>
      <c r="I64" s="328">
        <v>9</v>
      </c>
      <c r="J64" s="328">
        <v>0</v>
      </c>
      <c r="K64" s="329">
        <f t="shared" si="0"/>
        <v>24</v>
      </c>
      <c r="L64" s="329">
        <v>0</v>
      </c>
      <c r="M64" s="329">
        <f t="shared" si="1"/>
        <v>24</v>
      </c>
      <c r="N64" s="328">
        <v>4</v>
      </c>
      <c r="O64" s="329">
        <f t="shared" si="2"/>
        <v>28</v>
      </c>
      <c r="P64" s="328">
        <v>0</v>
      </c>
      <c r="Q64" s="328">
        <v>0</v>
      </c>
      <c r="R64" s="330">
        <v>632</v>
      </c>
      <c r="S64" s="330">
        <v>577</v>
      </c>
      <c r="T64" s="331">
        <f t="shared" si="16"/>
        <v>0</v>
      </c>
      <c r="U64" s="331">
        <f t="shared" si="3"/>
        <v>15168</v>
      </c>
      <c r="V64" s="331">
        <f t="shared" si="4"/>
        <v>758</v>
      </c>
      <c r="W64" s="330">
        <f t="shared" si="5"/>
        <v>1263</v>
      </c>
      <c r="X64" s="330">
        <f t="shared" si="6"/>
        <v>5055</v>
      </c>
      <c r="Y64" s="330">
        <f t="shared" si="7"/>
        <v>2427</v>
      </c>
      <c r="Z64" s="330">
        <f t="shared" si="8"/>
        <v>2528</v>
      </c>
      <c r="AA64" s="330">
        <f t="shared" si="9"/>
        <v>1050</v>
      </c>
      <c r="AB64" s="331">
        <f t="shared" si="10"/>
        <v>0</v>
      </c>
      <c r="AC64" s="332">
        <f t="shared" si="11"/>
        <v>720</v>
      </c>
      <c r="AD64" s="330">
        <f t="shared" si="12"/>
        <v>1540</v>
      </c>
      <c r="AE64" s="330">
        <f t="shared" si="13"/>
        <v>1950</v>
      </c>
      <c r="AF64" s="330">
        <f t="shared" si="14"/>
        <v>0</v>
      </c>
      <c r="AG64" s="333"/>
      <c r="AI64" s="34" t="s">
        <v>279</v>
      </c>
      <c r="AJ64" s="34">
        <v>9</v>
      </c>
      <c r="AK64" s="34">
        <v>9</v>
      </c>
      <c r="AL64" s="34">
        <v>8</v>
      </c>
      <c r="AM64" s="34">
        <v>0</v>
      </c>
    </row>
    <row r="65" spans="1:39" ht="69.95" customHeight="1">
      <c r="A65" s="322">
        <f t="shared" si="15"/>
        <v>55</v>
      </c>
      <c r="B65" s="323" t="s">
        <v>280</v>
      </c>
      <c r="C65" s="324" t="s">
        <v>281</v>
      </c>
      <c r="D65" s="325" t="s">
        <v>182</v>
      </c>
      <c r="E65" s="326" t="s">
        <v>144</v>
      </c>
      <c r="F65" s="327" t="s">
        <v>363</v>
      </c>
      <c r="G65" s="328">
        <v>8</v>
      </c>
      <c r="H65" s="328">
        <v>9</v>
      </c>
      <c r="I65" s="328">
        <v>9</v>
      </c>
      <c r="J65" s="328">
        <v>0</v>
      </c>
      <c r="K65" s="329">
        <f t="shared" si="0"/>
        <v>26</v>
      </c>
      <c r="L65" s="329">
        <v>0</v>
      </c>
      <c r="M65" s="329">
        <f t="shared" si="1"/>
        <v>26</v>
      </c>
      <c r="N65" s="328">
        <v>4</v>
      </c>
      <c r="O65" s="329">
        <f t="shared" si="2"/>
        <v>30</v>
      </c>
      <c r="P65" s="328">
        <v>0</v>
      </c>
      <c r="Q65" s="328">
        <v>0</v>
      </c>
      <c r="R65" s="330">
        <v>760</v>
      </c>
      <c r="S65" s="330">
        <v>695</v>
      </c>
      <c r="T65" s="331">
        <f t="shared" si="16"/>
        <v>0</v>
      </c>
      <c r="U65" s="331">
        <f t="shared" si="3"/>
        <v>19760</v>
      </c>
      <c r="V65" s="331">
        <f t="shared" si="4"/>
        <v>956</v>
      </c>
      <c r="W65" s="330">
        <f t="shared" si="5"/>
        <v>1646</v>
      </c>
      <c r="X65" s="330">
        <f t="shared" si="6"/>
        <v>6586</v>
      </c>
      <c r="Y65" s="330">
        <f t="shared" si="7"/>
        <v>3162</v>
      </c>
      <c r="Z65" s="330">
        <f t="shared" si="8"/>
        <v>3040</v>
      </c>
      <c r="AA65" s="330">
        <f t="shared" si="9"/>
        <v>1130</v>
      </c>
      <c r="AB65" s="331">
        <f t="shared" si="10"/>
        <v>0</v>
      </c>
      <c r="AC65" s="332">
        <f t="shared" si="11"/>
        <v>780</v>
      </c>
      <c r="AD65" s="330">
        <f t="shared" si="12"/>
        <v>1950</v>
      </c>
      <c r="AE65" s="330">
        <f t="shared" si="13"/>
        <v>1950</v>
      </c>
      <c r="AF65" s="330">
        <f t="shared" si="14"/>
        <v>0</v>
      </c>
      <c r="AG65" s="333"/>
      <c r="AI65" s="34" t="s">
        <v>281</v>
      </c>
      <c r="AJ65" s="34">
        <v>10</v>
      </c>
      <c r="AK65" s="34">
        <v>8</v>
      </c>
      <c r="AL65" s="34">
        <v>8</v>
      </c>
      <c r="AM65" s="34">
        <v>0</v>
      </c>
    </row>
    <row r="66" spans="1:39" ht="69.95" customHeight="1">
      <c r="A66" s="322">
        <f t="shared" si="15"/>
        <v>56</v>
      </c>
      <c r="B66" s="323" t="s">
        <v>282</v>
      </c>
      <c r="C66" s="324" t="s">
        <v>283</v>
      </c>
      <c r="D66" s="325" t="s">
        <v>182</v>
      </c>
      <c r="E66" s="326" t="s">
        <v>145</v>
      </c>
      <c r="F66" s="327" t="s">
        <v>362</v>
      </c>
      <c r="G66" s="328">
        <v>10</v>
      </c>
      <c r="H66" s="328">
        <v>8</v>
      </c>
      <c r="I66" s="328">
        <v>9</v>
      </c>
      <c r="J66" s="328">
        <v>0</v>
      </c>
      <c r="K66" s="329">
        <f t="shared" si="0"/>
        <v>27</v>
      </c>
      <c r="L66" s="329">
        <v>0</v>
      </c>
      <c r="M66" s="329">
        <f t="shared" si="1"/>
        <v>27</v>
      </c>
      <c r="N66" s="328">
        <v>4</v>
      </c>
      <c r="O66" s="329">
        <f t="shared" si="2"/>
        <v>31</v>
      </c>
      <c r="P66" s="328">
        <v>0</v>
      </c>
      <c r="Q66" s="328">
        <v>0</v>
      </c>
      <c r="R66" s="330">
        <v>632</v>
      </c>
      <c r="S66" s="330">
        <v>577</v>
      </c>
      <c r="T66" s="331">
        <f t="shared" si="16"/>
        <v>0</v>
      </c>
      <c r="U66" s="331">
        <f t="shared" si="3"/>
        <v>17064</v>
      </c>
      <c r="V66" s="331">
        <f t="shared" si="4"/>
        <v>795</v>
      </c>
      <c r="W66" s="330">
        <f t="shared" si="5"/>
        <v>1421</v>
      </c>
      <c r="X66" s="330">
        <f t="shared" si="6"/>
        <v>5687</v>
      </c>
      <c r="Y66" s="330">
        <f t="shared" si="7"/>
        <v>2730</v>
      </c>
      <c r="Z66" s="330">
        <f t="shared" si="8"/>
        <v>2528</v>
      </c>
      <c r="AA66" s="330">
        <f t="shared" si="9"/>
        <v>1170</v>
      </c>
      <c r="AB66" s="331">
        <f t="shared" si="10"/>
        <v>0</v>
      </c>
      <c r="AC66" s="332">
        <f t="shared" si="11"/>
        <v>810</v>
      </c>
      <c r="AD66" s="330">
        <f t="shared" si="12"/>
        <v>1705</v>
      </c>
      <c r="AE66" s="330">
        <f t="shared" si="13"/>
        <v>1950</v>
      </c>
      <c r="AF66" s="330">
        <f t="shared" si="14"/>
        <v>0</v>
      </c>
      <c r="AG66" s="333"/>
      <c r="AI66" s="34" t="s">
        <v>283</v>
      </c>
      <c r="AJ66" s="34">
        <v>8</v>
      </c>
      <c r="AK66" s="34">
        <v>9</v>
      </c>
      <c r="AL66" s="34">
        <v>8</v>
      </c>
      <c r="AM66" s="34">
        <v>0</v>
      </c>
    </row>
    <row r="67" spans="1:39" ht="69.95" customHeight="1">
      <c r="A67" s="322">
        <f t="shared" si="15"/>
        <v>57</v>
      </c>
      <c r="B67" s="323" t="s">
        <v>284</v>
      </c>
      <c r="C67" s="324" t="s">
        <v>285</v>
      </c>
      <c r="D67" s="325" t="s">
        <v>182</v>
      </c>
      <c r="E67" s="326" t="s">
        <v>145</v>
      </c>
      <c r="F67" s="327" t="s">
        <v>362</v>
      </c>
      <c r="G67" s="328">
        <v>8</v>
      </c>
      <c r="H67" s="328">
        <v>9</v>
      </c>
      <c r="I67" s="328">
        <v>9</v>
      </c>
      <c r="J67" s="328">
        <v>0</v>
      </c>
      <c r="K67" s="329">
        <f t="shared" si="0"/>
        <v>26</v>
      </c>
      <c r="L67" s="329">
        <v>0</v>
      </c>
      <c r="M67" s="329">
        <f t="shared" si="1"/>
        <v>26</v>
      </c>
      <c r="N67" s="328">
        <v>4</v>
      </c>
      <c r="O67" s="329">
        <f t="shared" si="2"/>
        <v>30</v>
      </c>
      <c r="P67" s="328">
        <v>0</v>
      </c>
      <c r="Q67" s="328">
        <v>0</v>
      </c>
      <c r="R67" s="330">
        <v>632</v>
      </c>
      <c r="S67" s="330">
        <v>577</v>
      </c>
      <c r="T67" s="331">
        <f t="shared" si="16"/>
        <v>0</v>
      </c>
      <c r="U67" s="331">
        <f t="shared" si="3"/>
        <v>16432</v>
      </c>
      <c r="V67" s="331">
        <f t="shared" si="4"/>
        <v>795</v>
      </c>
      <c r="W67" s="330">
        <f t="shared" si="5"/>
        <v>1369</v>
      </c>
      <c r="X67" s="330">
        <f t="shared" si="6"/>
        <v>5477</v>
      </c>
      <c r="Y67" s="330">
        <f t="shared" si="7"/>
        <v>2629</v>
      </c>
      <c r="Z67" s="330">
        <f t="shared" si="8"/>
        <v>2528</v>
      </c>
      <c r="AA67" s="330">
        <f t="shared" si="9"/>
        <v>1130</v>
      </c>
      <c r="AB67" s="331">
        <f t="shared" si="10"/>
        <v>0</v>
      </c>
      <c r="AC67" s="332">
        <f t="shared" si="11"/>
        <v>780</v>
      </c>
      <c r="AD67" s="330">
        <f t="shared" si="12"/>
        <v>1650</v>
      </c>
      <c r="AE67" s="330">
        <f t="shared" si="13"/>
        <v>1950</v>
      </c>
      <c r="AF67" s="330">
        <f t="shared" si="14"/>
        <v>0</v>
      </c>
      <c r="AG67" s="333"/>
      <c r="AI67" s="34" t="s">
        <v>285</v>
      </c>
      <c r="AJ67" s="34">
        <v>8</v>
      </c>
      <c r="AK67" s="34">
        <v>10</v>
      </c>
      <c r="AL67" s="34">
        <v>8</v>
      </c>
      <c r="AM67" s="34">
        <v>0</v>
      </c>
    </row>
    <row r="68" spans="1:39" ht="69.95" customHeight="1">
      <c r="A68" s="322">
        <f t="shared" si="15"/>
        <v>58</v>
      </c>
      <c r="B68" s="323" t="s">
        <v>286</v>
      </c>
      <c r="C68" s="324" t="s">
        <v>287</v>
      </c>
      <c r="D68" s="325" t="s">
        <v>182</v>
      </c>
      <c r="E68" s="326" t="s">
        <v>146</v>
      </c>
      <c r="F68" s="327" t="s">
        <v>361</v>
      </c>
      <c r="G68" s="328">
        <v>18</v>
      </c>
      <c r="H68" s="328">
        <v>0</v>
      </c>
      <c r="I68" s="328">
        <v>0</v>
      </c>
      <c r="J68" s="328">
        <v>2</v>
      </c>
      <c r="K68" s="329">
        <f t="shared" si="0"/>
        <v>20</v>
      </c>
      <c r="L68" s="329">
        <v>0</v>
      </c>
      <c r="M68" s="329">
        <f t="shared" si="1"/>
        <v>20</v>
      </c>
      <c r="N68" s="328">
        <v>4</v>
      </c>
      <c r="O68" s="329">
        <f t="shared" si="2"/>
        <v>24</v>
      </c>
      <c r="P68" s="328">
        <v>0</v>
      </c>
      <c r="Q68" s="328">
        <v>0</v>
      </c>
      <c r="R68" s="330">
        <v>541</v>
      </c>
      <c r="S68" s="330">
        <v>494</v>
      </c>
      <c r="T68" s="331">
        <f t="shared" si="16"/>
        <v>0</v>
      </c>
      <c r="U68" s="331">
        <f t="shared" si="3"/>
        <v>10820</v>
      </c>
      <c r="V68" s="331">
        <f t="shared" si="4"/>
        <v>541</v>
      </c>
      <c r="W68" s="330">
        <f t="shared" si="5"/>
        <v>901</v>
      </c>
      <c r="X68" s="330">
        <f t="shared" si="6"/>
        <v>3606</v>
      </c>
      <c r="Y68" s="330">
        <f t="shared" si="7"/>
        <v>1731</v>
      </c>
      <c r="Z68" s="330">
        <f t="shared" si="8"/>
        <v>2164</v>
      </c>
      <c r="AA68" s="330">
        <f t="shared" si="9"/>
        <v>720</v>
      </c>
      <c r="AB68" s="331">
        <f t="shared" si="10"/>
        <v>0</v>
      </c>
      <c r="AC68" s="332">
        <f t="shared" si="11"/>
        <v>600</v>
      </c>
      <c r="AD68" s="330">
        <f t="shared" si="12"/>
        <v>1128</v>
      </c>
      <c r="AE68" s="330">
        <f t="shared" si="13"/>
        <v>1407</v>
      </c>
      <c r="AF68" s="330">
        <f t="shared" si="14"/>
        <v>549</v>
      </c>
      <c r="AG68" s="333"/>
      <c r="AI68" s="34" t="s">
        <v>287</v>
      </c>
      <c r="AJ68" s="34">
        <v>0</v>
      </c>
      <c r="AK68" s="34">
        <v>0</v>
      </c>
      <c r="AL68" s="34">
        <v>0</v>
      </c>
      <c r="AM68" s="34">
        <v>0</v>
      </c>
    </row>
    <row r="69" spans="1:39" ht="69.95" customHeight="1">
      <c r="A69" s="322">
        <f t="shared" si="15"/>
        <v>59</v>
      </c>
      <c r="B69" s="323" t="s">
        <v>288</v>
      </c>
      <c r="C69" s="336" t="s">
        <v>135</v>
      </c>
      <c r="D69" s="335" t="s">
        <v>196</v>
      </c>
      <c r="E69" s="322" t="s">
        <v>145</v>
      </c>
      <c r="F69" s="327" t="s">
        <v>362</v>
      </c>
      <c r="G69" s="328">
        <v>9</v>
      </c>
      <c r="H69" s="328">
        <v>7</v>
      </c>
      <c r="I69" s="328">
        <v>6</v>
      </c>
      <c r="J69" s="328">
        <v>0</v>
      </c>
      <c r="K69" s="329">
        <f t="shared" si="0"/>
        <v>22</v>
      </c>
      <c r="L69" s="329">
        <v>0</v>
      </c>
      <c r="M69" s="329">
        <f t="shared" si="1"/>
        <v>22</v>
      </c>
      <c r="N69" s="328">
        <v>4</v>
      </c>
      <c r="O69" s="329">
        <f t="shared" si="2"/>
        <v>26</v>
      </c>
      <c r="P69" s="328">
        <v>0</v>
      </c>
      <c r="Q69" s="328">
        <v>0</v>
      </c>
      <c r="R69" s="330">
        <v>632</v>
      </c>
      <c r="S69" s="330">
        <v>577</v>
      </c>
      <c r="T69" s="331">
        <f t="shared" si="16"/>
        <v>0</v>
      </c>
      <c r="U69" s="331">
        <f t="shared" si="3"/>
        <v>13904</v>
      </c>
      <c r="V69" s="331">
        <f t="shared" si="4"/>
        <v>695</v>
      </c>
      <c r="W69" s="330">
        <f t="shared" si="5"/>
        <v>1158</v>
      </c>
      <c r="X69" s="330">
        <f t="shared" si="6"/>
        <v>4634</v>
      </c>
      <c r="Y69" s="330">
        <f t="shared" si="7"/>
        <v>2225</v>
      </c>
      <c r="Z69" s="330">
        <f t="shared" si="8"/>
        <v>2528</v>
      </c>
      <c r="AA69" s="330">
        <f t="shared" si="9"/>
        <v>940</v>
      </c>
      <c r="AB69" s="331">
        <f t="shared" si="10"/>
        <v>0</v>
      </c>
      <c r="AC69" s="332">
        <f t="shared" si="11"/>
        <v>660</v>
      </c>
      <c r="AD69" s="330">
        <f t="shared" si="12"/>
        <v>1430</v>
      </c>
      <c r="AE69" s="330">
        <f t="shared" si="13"/>
        <v>1808</v>
      </c>
      <c r="AF69" s="330">
        <f t="shared" si="14"/>
        <v>0</v>
      </c>
      <c r="AG69" s="333"/>
      <c r="AI69" s="34" t="s">
        <v>135</v>
      </c>
      <c r="AJ69" s="34">
        <v>10</v>
      </c>
      <c r="AK69" s="34">
        <v>8</v>
      </c>
      <c r="AL69" s="34">
        <v>8</v>
      </c>
      <c r="AM69" s="34">
        <v>0</v>
      </c>
    </row>
    <row r="70" spans="1:39" ht="69.95" customHeight="1">
      <c r="A70" s="322">
        <f t="shared" si="15"/>
        <v>60</v>
      </c>
      <c r="B70" s="323" t="s">
        <v>289</v>
      </c>
      <c r="C70" s="334" t="s">
        <v>290</v>
      </c>
      <c r="D70" s="335" t="s">
        <v>369</v>
      </c>
      <c r="E70" s="322" t="s">
        <v>146</v>
      </c>
      <c r="F70" s="327" t="s">
        <v>361</v>
      </c>
      <c r="G70" s="328">
        <v>5</v>
      </c>
      <c r="H70" s="328">
        <v>9</v>
      </c>
      <c r="I70" s="328">
        <v>4</v>
      </c>
      <c r="J70" s="328">
        <v>7</v>
      </c>
      <c r="K70" s="329">
        <f t="shared" si="0"/>
        <v>25</v>
      </c>
      <c r="L70" s="329">
        <v>0</v>
      </c>
      <c r="M70" s="329">
        <f t="shared" si="1"/>
        <v>25</v>
      </c>
      <c r="N70" s="328">
        <v>4</v>
      </c>
      <c r="O70" s="329">
        <f t="shared" si="2"/>
        <v>29</v>
      </c>
      <c r="P70" s="328">
        <v>0</v>
      </c>
      <c r="Q70" s="328">
        <v>0</v>
      </c>
      <c r="R70" s="330">
        <v>541</v>
      </c>
      <c r="S70" s="330">
        <v>494</v>
      </c>
      <c r="T70" s="331">
        <f t="shared" si="16"/>
        <v>0</v>
      </c>
      <c r="U70" s="331">
        <f t="shared" si="3"/>
        <v>13525</v>
      </c>
      <c r="V70" s="331">
        <f t="shared" si="4"/>
        <v>676</v>
      </c>
      <c r="W70" s="330">
        <f t="shared" si="5"/>
        <v>1127</v>
      </c>
      <c r="X70" s="330">
        <f t="shared" si="6"/>
        <v>4508</v>
      </c>
      <c r="Y70" s="330">
        <f t="shared" si="7"/>
        <v>2164</v>
      </c>
      <c r="Z70" s="330">
        <f t="shared" si="8"/>
        <v>2164</v>
      </c>
      <c r="AA70" s="330">
        <f t="shared" si="9"/>
        <v>760</v>
      </c>
      <c r="AB70" s="331">
        <f t="shared" si="10"/>
        <v>0</v>
      </c>
      <c r="AC70" s="332">
        <f t="shared" si="11"/>
        <v>750</v>
      </c>
      <c r="AD70" s="330">
        <f t="shared" si="12"/>
        <v>1363</v>
      </c>
      <c r="AE70" s="330">
        <f t="shared" si="13"/>
        <v>1758</v>
      </c>
      <c r="AF70" s="330">
        <f t="shared" si="14"/>
        <v>682</v>
      </c>
      <c r="AG70" s="333"/>
      <c r="AI70" s="34" t="s">
        <v>290</v>
      </c>
      <c r="AJ70" s="34">
        <v>4</v>
      </c>
      <c r="AK70" s="34">
        <v>12</v>
      </c>
      <c r="AL70" s="34">
        <v>4</v>
      </c>
      <c r="AM70" s="34">
        <v>5</v>
      </c>
    </row>
    <row r="71" spans="1:39" ht="69.95" customHeight="1">
      <c r="A71" s="322">
        <f t="shared" si="15"/>
        <v>61</v>
      </c>
      <c r="B71" s="323" t="s">
        <v>291</v>
      </c>
      <c r="C71" s="324" t="s">
        <v>429</v>
      </c>
      <c r="D71" s="325" t="s">
        <v>182</v>
      </c>
      <c r="E71" s="326" t="s">
        <v>146</v>
      </c>
      <c r="F71" s="327" t="s">
        <v>361</v>
      </c>
      <c r="G71" s="328">
        <v>0</v>
      </c>
      <c r="H71" s="328">
        <v>0</v>
      </c>
      <c r="I71" s="328">
        <v>0</v>
      </c>
      <c r="J71" s="328">
        <v>16</v>
      </c>
      <c r="K71" s="329">
        <f t="shared" si="0"/>
        <v>16</v>
      </c>
      <c r="L71" s="329">
        <v>0</v>
      </c>
      <c r="M71" s="329">
        <f t="shared" si="1"/>
        <v>16</v>
      </c>
      <c r="N71" s="328">
        <v>4</v>
      </c>
      <c r="O71" s="329">
        <f t="shared" si="2"/>
        <v>20</v>
      </c>
      <c r="P71" s="328">
        <v>0</v>
      </c>
      <c r="Q71" s="328">
        <v>0</v>
      </c>
      <c r="R71" s="330">
        <v>541</v>
      </c>
      <c r="S71" s="330">
        <v>494</v>
      </c>
      <c r="T71" s="331">
        <f t="shared" si="16"/>
        <v>0</v>
      </c>
      <c r="U71" s="331">
        <f t="shared" si="3"/>
        <v>8656</v>
      </c>
      <c r="V71" s="331">
        <f t="shared" si="4"/>
        <v>0</v>
      </c>
      <c r="W71" s="330">
        <f t="shared" si="5"/>
        <v>721</v>
      </c>
      <c r="X71" s="330">
        <f t="shared" si="6"/>
        <v>2885</v>
      </c>
      <c r="Y71" s="330">
        <f t="shared" si="7"/>
        <v>1385</v>
      </c>
      <c r="Z71" s="330">
        <f t="shared" si="8"/>
        <v>2164</v>
      </c>
      <c r="AA71" s="330">
        <f t="shared" si="9"/>
        <v>0</v>
      </c>
      <c r="AB71" s="331">
        <f t="shared" si="10"/>
        <v>0</v>
      </c>
      <c r="AC71" s="332">
        <f t="shared" si="11"/>
        <v>480</v>
      </c>
      <c r="AD71" s="330">
        <f t="shared" si="12"/>
        <v>940</v>
      </c>
      <c r="AE71" s="330">
        <f t="shared" si="13"/>
        <v>1125</v>
      </c>
      <c r="AF71" s="330">
        <f t="shared" si="14"/>
        <v>421</v>
      </c>
      <c r="AG71" s="333"/>
      <c r="AI71" s="34" t="s">
        <v>429</v>
      </c>
      <c r="AJ71" s="34">
        <v>0</v>
      </c>
      <c r="AK71" s="34">
        <v>0</v>
      </c>
      <c r="AL71" s="34">
        <v>0</v>
      </c>
      <c r="AM71" s="34">
        <v>19</v>
      </c>
    </row>
    <row r="72" spans="1:39" ht="69.95" customHeight="1">
      <c r="A72" s="322">
        <f t="shared" si="15"/>
        <v>62</v>
      </c>
      <c r="B72" s="323" t="s">
        <v>292</v>
      </c>
      <c r="C72" s="324" t="s">
        <v>293</v>
      </c>
      <c r="D72" s="325" t="s">
        <v>182</v>
      </c>
      <c r="E72" s="326" t="s">
        <v>145</v>
      </c>
      <c r="F72" s="327" t="s">
        <v>362</v>
      </c>
      <c r="G72" s="328">
        <v>0</v>
      </c>
      <c r="H72" s="328">
        <v>0</v>
      </c>
      <c r="I72" s="328">
        <v>0</v>
      </c>
      <c r="J72" s="328">
        <v>19</v>
      </c>
      <c r="K72" s="329">
        <f t="shared" si="0"/>
        <v>19</v>
      </c>
      <c r="L72" s="329">
        <v>0</v>
      </c>
      <c r="M72" s="329">
        <f t="shared" si="1"/>
        <v>19</v>
      </c>
      <c r="N72" s="328">
        <v>4</v>
      </c>
      <c r="O72" s="329">
        <f t="shared" si="2"/>
        <v>23</v>
      </c>
      <c r="P72" s="328">
        <v>0</v>
      </c>
      <c r="Q72" s="328">
        <v>0</v>
      </c>
      <c r="R72" s="330">
        <v>632</v>
      </c>
      <c r="S72" s="330">
        <v>577</v>
      </c>
      <c r="T72" s="331">
        <f t="shared" si="16"/>
        <v>0</v>
      </c>
      <c r="U72" s="331">
        <f t="shared" si="3"/>
        <v>12008</v>
      </c>
      <c r="V72" s="331">
        <f t="shared" si="4"/>
        <v>0</v>
      </c>
      <c r="W72" s="330">
        <f t="shared" si="5"/>
        <v>1000</v>
      </c>
      <c r="X72" s="330">
        <f t="shared" si="6"/>
        <v>4002</v>
      </c>
      <c r="Y72" s="330">
        <f t="shared" si="7"/>
        <v>1921</v>
      </c>
      <c r="Z72" s="330">
        <f t="shared" si="8"/>
        <v>2528</v>
      </c>
      <c r="AA72" s="330">
        <f t="shared" si="9"/>
        <v>0</v>
      </c>
      <c r="AB72" s="331">
        <f t="shared" si="10"/>
        <v>0</v>
      </c>
      <c r="AC72" s="332">
        <f t="shared" si="11"/>
        <v>570</v>
      </c>
      <c r="AD72" s="330">
        <f t="shared" si="12"/>
        <v>1265</v>
      </c>
      <c r="AE72" s="330">
        <f t="shared" si="13"/>
        <v>1561</v>
      </c>
      <c r="AF72" s="330">
        <f t="shared" si="14"/>
        <v>0</v>
      </c>
      <c r="AG72" s="333"/>
      <c r="AI72" s="34" t="s">
        <v>293</v>
      </c>
      <c r="AJ72" s="34">
        <v>0</v>
      </c>
      <c r="AK72" s="34">
        <v>0</v>
      </c>
      <c r="AL72" s="34">
        <v>0</v>
      </c>
      <c r="AM72" s="34">
        <v>20</v>
      </c>
    </row>
    <row r="73" spans="1:39" ht="69.95" customHeight="1">
      <c r="A73" s="322">
        <f t="shared" si="15"/>
        <v>63</v>
      </c>
      <c r="B73" s="323" t="s">
        <v>294</v>
      </c>
      <c r="C73" s="336" t="s">
        <v>295</v>
      </c>
      <c r="D73" s="335" t="s">
        <v>182</v>
      </c>
      <c r="E73" s="322" t="s">
        <v>144</v>
      </c>
      <c r="F73" s="327" t="s">
        <v>363</v>
      </c>
      <c r="G73" s="328">
        <v>4</v>
      </c>
      <c r="H73" s="328">
        <v>6</v>
      </c>
      <c r="I73" s="328">
        <v>3</v>
      </c>
      <c r="J73" s="328">
        <v>0</v>
      </c>
      <c r="K73" s="329">
        <f t="shared" si="0"/>
        <v>13</v>
      </c>
      <c r="L73" s="329">
        <v>0</v>
      </c>
      <c r="M73" s="329">
        <f t="shared" si="1"/>
        <v>13</v>
      </c>
      <c r="N73" s="328">
        <v>4</v>
      </c>
      <c r="O73" s="329">
        <f t="shared" si="2"/>
        <v>17</v>
      </c>
      <c r="P73" s="328">
        <v>2</v>
      </c>
      <c r="Q73" s="328">
        <v>0</v>
      </c>
      <c r="R73" s="330">
        <v>760</v>
      </c>
      <c r="S73" s="330">
        <v>695</v>
      </c>
      <c r="T73" s="331">
        <f t="shared" si="16"/>
        <v>380</v>
      </c>
      <c r="U73" s="331">
        <f t="shared" si="3"/>
        <v>9880</v>
      </c>
      <c r="V73" s="331">
        <f t="shared" si="4"/>
        <v>0</v>
      </c>
      <c r="W73" s="330">
        <f t="shared" si="5"/>
        <v>823</v>
      </c>
      <c r="X73" s="330">
        <f t="shared" si="6"/>
        <v>3293</v>
      </c>
      <c r="Y73" s="330">
        <f t="shared" si="7"/>
        <v>1581</v>
      </c>
      <c r="Z73" s="330">
        <f t="shared" si="8"/>
        <v>3040</v>
      </c>
      <c r="AA73" s="330">
        <f t="shared" si="17" ref="AA73:AA103">((SUM(G73:H73))*40)+((I73)*50)</f>
        <v>550</v>
      </c>
      <c r="AB73" s="331">
        <f t="shared" si="10"/>
        <v>0</v>
      </c>
      <c r="AC73" s="332">
        <f t="shared" si="11"/>
        <v>390</v>
      </c>
      <c r="AD73" s="330">
        <f t="shared" si="12"/>
        <v>1138</v>
      </c>
      <c r="AE73" s="330">
        <f t="shared" si="13"/>
        <v>1284</v>
      </c>
      <c r="AF73" s="330">
        <f t="shared" si="14"/>
        <v>0</v>
      </c>
      <c r="AG73" s="333"/>
      <c r="AI73" s="34" t="s">
        <v>295</v>
      </c>
      <c r="AJ73" s="34">
        <v>7</v>
      </c>
      <c r="AK73" s="34">
        <v>9</v>
      </c>
      <c r="AL73" s="34">
        <v>6</v>
      </c>
      <c r="AM73" s="34">
        <v>0</v>
      </c>
    </row>
    <row r="74" spans="1:39" ht="69.95" customHeight="1">
      <c r="A74" s="322">
        <f t="shared" si="15"/>
        <v>64</v>
      </c>
      <c r="B74" s="323" t="s">
        <v>296</v>
      </c>
      <c r="C74" s="324" t="s">
        <v>297</v>
      </c>
      <c r="D74" s="325" t="s">
        <v>196</v>
      </c>
      <c r="E74" s="326" t="s">
        <v>146</v>
      </c>
      <c r="F74" s="327" t="s">
        <v>361</v>
      </c>
      <c r="G74" s="328">
        <v>9</v>
      </c>
      <c r="H74" s="328">
        <v>8</v>
      </c>
      <c r="I74" s="328">
        <v>6</v>
      </c>
      <c r="J74" s="328">
        <v>0</v>
      </c>
      <c r="K74" s="329">
        <f t="shared" si="0"/>
        <v>23</v>
      </c>
      <c r="L74" s="329">
        <v>0</v>
      </c>
      <c r="M74" s="329">
        <f t="shared" si="1"/>
        <v>23</v>
      </c>
      <c r="N74" s="328">
        <v>4</v>
      </c>
      <c r="O74" s="329">
        <f t="shared" si="2"/>
        <v>27</v>
      </c>
      <c r="P74" s="328">
        <v>0</v>
      </c>
      <c r="Q74" s="328">
        <v>0</v>
      </c>
      <c r="R74" s="330">
        <v>541</v>
      </c>
      <c r="S74" s="330">
        <v>494</v>
      </c>
      <c r="T74" s="331">
        <f t="shared" si="16"/>
        <v>0</v>
      </c>
      <c r="U74" s="331">
        <f t="shared" si="3"/>
        <v>12443</v>
      </c>
      <c r="V74" s="331">
        <f t="shared" si="4"/>
        <v>622</v>
      </c>
      <c r="W74" s="330">
        <f t="shared" si="5"/>
        <v>1037</v>
      </c>
      <c r="X74" s="330">
        <f t="shared" si="6"/>
        <v>4147</v>
      </c>
      <c r="Y74" s="330">
        <f t="shared" si="7"/>
        <v>1991</v>
      </c>
      <c r="Z74" s="330">
        <f t="shared" si="8"/>
        <v>2164</v>
      </c>
      <c r="AA74" s="330">
        <f t="shared" si="17"/>
        <v>980</v>
      </c>
      <c r="AB74" s="331">
        <f t="shared" si="10"/>
        <v>0</v>
      </c>
      <c r="AC74" s="332">
        <f t="shared" si="11"/>
        <v>690</v>
      </c>
      <c r="AD74" s="330">
        <f t="shared" si="12"/>
        <v>1269</v>
      </c>
      <c r="AE74" s="330">
        <f t="shared" si="13"/>
        <v>1618</v>
      </c>
      <c r="AF74" s="330">
        <f t="shared" si="14"/>
        <v>636</v>
      </c>
      <c r="AG74" s="333"/>
      <c r="AI74" s="34" t="s">
        <v>297</v>
      </c>
      <c r="AJ74" s="34">
        <v>8</v>
      </c>
      <c r="AK74" s="34">
        <v>10</v>
      </c>
      <c r="AL74" s="34">
        <v>8</v>
      </c>
      <c r="AM74" s="34">
        <v>0</v>
      </c>
    </row>
    <row r="75" spans="1:39" ht="69.95" customHeight="1">
      <c r="A75" s="322">
        <f t="shared" si="15"/>
        <v>65</v>
      </c>
      <c r="B75" s="323" t="s">
        <v>298</v>
      </c>
      <c r="C75" s="336" t="s">
        <v>299</v>
      </c>
      <c r="D75" s="335" t="s">
        <v>196</v>
      </c>
      <c r="E75" s="322" t="s">
        <v>356</v>
      </c>
      <c r="F75" s="327" t="s">
        <v>143</v>
      </c>
      <c r="G75" s="328">
        <v>0</v>
      </c>
      <c r="H75" s="328">
        <v>13</v>
      </c>
      <c r="I75" s="328">
        <v>0</v>
      </c>
      <c r="J75" s="328">
        <v>12</v>
      </c>
      <c r="K75" s="329">
        <f t="shared" si="0"/>
        <v>25</v>
      </c>
      <c r="L75" s="329">
        <v>0</v>
      </c>
      <c r="M75" s="329">
        <f t="shared" si="1"/>
        <v>25</v>
      </c>
      <c r="N75" s="328">
        <v>4</v>
      </c>
      <c r="O75" s="329">
        <f t="shared" si="2"/>
        <v>29</v>
      </c>
      <c r="P75" s="328">
        <v>0</v>
      </c>
      <c r="Q75" s="328">
        <v>0</v>
      </c>
      <c r="R75" s="330">
        <v>893</v>
      </c>
      <c r="S75" s="330">
        <v>816</v>
      </c>
      <c r="T75" s="331">
        <f t="shared" si="16"/>
        <v>0</v>
      </c>
      <c r="U75" s="331">
        <f t="shared" si="18" ref="U75:U102">ROUND(R75*(K75+L75),0)</f>
        <v>22325</v>
      </c>
      <c r="V75" s="331">
        <f t="shared" si="4"/>
        <v>1116</v>
      </c>
      <c r="W75" s="330">
        <f t="shared" si="5"/>
        <v>1860</v>
      </c>
      <c r="X75" s="330">
        <f t="shared" si="6"/>
        <v>7441</v>
      </c>
      <c r="Y75" s="330">
        <f t="shared" si="7"/>
        <v>3572</v>
      </c>
      <c r="Z75" s="330">
        <f t="shared" si="8"/>
        <v>3572</v>
      </c>
      <c r="AA75" s="330">
        <f t="shared" si="17"/>
        <v>520</v>
      </c>
      <c r="AB75" s="331">
        <f t="shared" si="10"/>
        <v>0</v>
      </c>
      <c r="AC75" s="332">
        <f t="shared" si="11"/>
        <v>750</v>
      </c>
      <c r="AD75" s="330">
        <f t="shared" si="12"/>
        <v>2233</v>
      </c>
      <c r="AE75" s="330">
        <f t="shared" si="13"/>
        <v>1950</v>
      </c>
      <c r="AF75" s="330">
        <f t="shared" si="14"/>
        <v>0</v>
      </c>
      <c r="AG75" s="333"/>
      <c r="AI75" s="34" t="s">
        <v>299</v>
      </c>
      <c r="AJ75" s="34">
        <v>0</v>
      </c>
      <c r="AK75" s="34">
        <v>7</v>
      </c>
      <c r="AL75" s="34">
        <v>0</v>
      </c>
      <c r="AM75" s="34">
        <v>18</v>
      </c>
    </row>
    <row r="76" spans="1:39" ht="69.95" customHeight="1">
      <c r="A76" s="322">
        <f t="shared" si="15"/>
        <v>66</v>
      </c>
      <c r="B76" s="323" t="s">
        <v>300</v>
      </c>
      <c r="C76" s="338" t="s">
        <v>301</v>
      </c>
      <c r="D76" s="325" t="s">
        <v>196</v>
      </c>
      <c r="E76" s="322" t="s">
        <v>146</v>
      </c>
      <c r="F76" s="327" t="s">
        <v>361</v>
      </c>
      <c r="G76" s="328">
        <v>7</v>
      </c>
      <c r="H76" s="328">
        <v>6</v>
      </c>
      <c r="I76" s="328">
        <v>7</v>
      </c>
      <c r="J76" s="328">
        <v>0</v>
      </c>
      <c r="K76" s="329">
        <f t="shared" si="19" ref="K76:K101">SUM(G76:J76)</f>
        <v>20</v>
      </c>
      <c r="L76" s="329">
        <v>0</v>
      </c>
      <c r="M76" s="329">
        <f t="shared" si="20" ref="M76:M103">K76+L76</f>
        <v>20</v>
      </c>
      <c r="N76" s="328">
        <v>4</v>
      </c>
      <c r="O76" s="329">
        <f t="shared" si="21" ref="O76:O102">SUM(M76+N76)</f>
        <v>24</v>
      </c>
      <c r="P76" s="328">
        <v>0</v>
      </c>
      <c r="Q76" s="328">
        <v>0</v>
      </c>
      <c r="R76" s="330">
        <v>541</v>
      </c>
      <c r="S76" s="330">
        <v>494</v>
      </c>
      <c r="T76" s="331">
        <f t="shared" si="22" ref="T76:T102">ROUND((R76/8*2)*P76,0)</f>
        <v>0</v>
      </c>
      <c r="U76" s="331">
        <f t="shared" si="18"/>
        <v>10820</v>
      </c>
      <c r="V76" s="331">
        <f t="shared" si="23" ref="V76:V103">ROUND(IF(M76&lt;20,0,IF(M76&lt;26,(M76/20)*R76,1.258*R76)),0)</f>
        <v>541</v>
      </c>
      <c r="W76" s="330">
        <f t="shared" si="24" ref="W76:W103">ROUND(K76*R76*8.33%,0)</f>
        <v>901</v>
      </c>
      <c r="X76" s="330">
        <f t="shared" si="25" ref="X76:X103">ROUND(K76*R76*33.33%,0)</f>
        <v>3606</v>
      </c>
      <c r="Y76" s="330">
        <f t="shared" si="26" ref="Y76:Y103">ROUND(K76*R76*16%,0)</f>
        <v>1731</v>
      </c>
      <c r="Z76" s="330">
        <f t="shared" si="27" ref="Z76:Z103">R76*(N76+L76)</f>
        <v>2164</v>
      </c>
      <c r="AA76" s="330">
        <f t="shared" si="17"/>
        <v>870</v>
      </c>
      <c r="AB76" s="331">
        <f t="shared" si="28" ref="AB76:AB103">Q76*R76</f>
        <v>0</v>
      </c>
      <c r="AC76" s="332">
        <f t="shared" si="29" ref="AC76:AC103">M76*30</f>
        <v>600</v>
      </c>
      <c r="AD76" s="330">
        <f t="shared" si="30" ref="AD76:AD102">ROUND(((R76-S76)*O76)+(T76-((S76/8)*2)*P76),0)</f>
        <v>1128</v>
      </c>
      <c r="AE76" s="330">
        <f t="shared" si="31" ref="AE76:AE103">ROUND(IF((U76)&gt;15000,15000*13%,(U76)*13%),0)</f>
        <v>1407</v>
      </c>
      <c r="AF76" s="330">
        <f t="shared" si="32" ref="AF76:AF103">ROUNDUP(IF(F76="UNSKILLED",SUM(U76+T76+X76+Y76+AA76)*3.25%,0),0)</f>
        <v>554</v>
      </c>
      <c r="AG76" s="333"/>
      <c r="AI76" s="34" t="s">
        <v>301</v>
      </c>
      <c r="AJ76" s="34">
        <v>8</v>
      </c>
      <c r="AK76" s="34">
        <v>8</v>
      </c>
      <c r="AL76" s="34">
        <v>8</v>
      </c>
      <c r="AM76" s="34">
        <v>0</v>
      </c>
    </row>
    <row r="77" spans="1:39" ht="69.95" customHeight="1">
      <c r="A77" s="322">
        <f t="shared" si="33" ref="A77:A103">A76+1</f>
        <v>67</v>
      </c>
      <c r="B77" s="323" t="s">
        <v>302</v>
      </c>
      <c r="C77" s="324" t="s">
        <v>303</v>
      </c>
      <c r="D77" s="325" t="s">
        <v>182</v>
      </c>
      <c r="E77" s="326" t="s">
        <v>146</v>
      </c>
      <c r="F77" s="327" t="s">
        <v>361</v>
      </c>
      <c r="G77" s="328">
        <v>7</v>
      </c>
      <c r="H77" s="328">
        <v>11</v>
      </c>
      <c r="I77" s="328">
        <v>7</v>
      </c>
      <c r="J77" s="328">
        <v>0</v>
      </c>
      <c r="K77" s="329">
        <f t="shared" si="19"/>
        <v>25</v>
      </c>
      <c r="L77" s="329">
        <v>0</v>
      </c>
      <c r="M77" s="329">
        <f t="shared" si="20"/>
        <v>25</v>
      </c>
      <c r="N77" s="328">
        <v>4</v>
      </c>
      <c r="O77" s="329">
        <f t="shared" si="21"/>
        <v>29</v>
      </c>
      <c r="P77" s="328">
        <v>0</v>
      </c>
      <c r="Q77" s="328">
        <v>0</v>
      </c>
      <c r="R77" s="330">
        <v>541</v>
      </c>
      <c r="S77" s="330">
        <v>494</v>
      </c>
      <c r="T77" s="331">
        <f t="shared" si="22"/>
        <v>0</v>
      </c>
      <c r="U77" s="331">
        <f t="shared" si="18"/>
        <v>13525</v>
      </c>
      <c r="V77" s="331">
        <f t="shared" si="23"/>
        <v>676</v>
      </c>
      <c r="W77" s="330">
        <f t="shared" si="24"/>
        <v>1127</v>
      </c>
      <c r="X77" s="330">
        <f t="shared" si="25"/>
        <v>4508</v>
      </c>
      <c r="Y77" s="330">
        <f t="shared" si="26"/>
        <v>2164</v>
      </c>
      <c r="Z77" s="330">
        <f t="shared" si="27"/>
        <v>2164</v>
      </c>
      <c r="AA77" s="330">
        <f t="shared" si="17"/>
        <v>1070</v>
      </c>
      <c r="AB77" s="331">
        <f t="shared" si="28"/>
        <v>0</v>
      </c>
      <c r="AC77" s="332">
        <f t="shared" si="29"/>
        <v>750</v>
      </c>
      <c r="AD77" s="330">
        <f t="shared" si="30"/>
        <v>1363</v>
      </c>
      <c r="AE77" s="330">
        <f t="shared" si="31"/>
        <v>1758</v>
      </c>
      <c r="AF77" s="330">
        <f t="shared" si="32"/>
        <v>692</v>
      </c>
      <c r="AG77" s="333"/>
      <c r="AI77" s="34" t="s">
        <v>303</v>
      </c>
      <c r="AJ77" s="34">
        <v>9</v>
      </c>
      <c r="AK77" s="34">
        <v>9</v>
      </c>
      <c r="AL77" s="34">
        <v>8</v>
      </c>
      <c r="AM77" s="34">
        <v>0</v>
      </c>
    </row>
    <row r="78" spans="1:39" ht="69.95" customHeight="1">
      <c r="A78" s="322">
        <f t="shared" si="33"/>
        <v>68</v>
      </c>
      <c r="B78" s="323" t="s">
        <v>304</v>
      </c>
      <c r="C78" s="324" t="s">
        <v>305</v>
      </c>
      <c r="D78" s="325" t="s">
        <v>182</v>
      </c>
      <c r="E78" s="326" t="s">
        <v>146</v>
      </c>
      <c r="F78" s="327" t="s">
        <v>361</v>
      </c>
      <c r="G78" s="328">
        <v>9</v>
      </c>
      <c r="H78" s="328">
        <v>8</v>
      </c>
      <c r="I78" s="328">
        <v>8</v>
      </c>
      <c r="J78" s="328">
        <v>0</v>
      </c>
      <c r="K78" s="329">
        <f t="shared" si="19"/>
        <v>25</v>
      </c>
      <c r="L78" s="329">
        <v>0</v>
      </c>
      <c r="M78" s="329">
        <f t="shared" si="20"/>
        <v>25</v>
      </c>
      <c r="N78" s="328">
        <v>4</v>
      </c>
      <c r="O78" s="329">
        <f t="shared" si="21"/>
        <v>29</v>
      </c>
      <c r="P78" s="328">
        <v>0</v>
      </c>
      <c r="Q78" s="328">
        <v>0</v>
      </c>
      <c r="R78" s="330">
        <v>541</v>
      </c>
      <c r="S78" s="330">
        <v>494</v>
      </c>
      <c r="T78" s="331">
        <f t="shared" si="22"/>
        <v>0</v>
      </c>
      <c r="U78" s="331">
        <f t="shared" si="18"/>
        <v>13525</v>
      </c>
      <c r="V78" s="331">
        <f t="shared" si="23"/>
        <v>676</v>
      </c>
      <c r="W78" s="330">
        <f t="shared" si="24"/>
        <v>1127</v>
      </c>
      <c r="X78" s="330">
        <f t="shared" si="25"/>
        <v>4508</v>
      </c>
      <c r="Y78" s="330">
        <f t="shared" si="26"/>
        <v>2164</v>
      </c>
      <c r="Z78" s="330">
        <f t="shared" si="27"/>
        <v>2164</v>
      </c>
      <c r="AA78" s="330">
        <f t="shared" si="17"/>
        <v>1080</v>
      </c>
      <c r="AB78" s="331">
        <f t="shared" si="28"/>
        <v>0</v>
      </c>
      <c r="AC78" s="332">
        <f t="shared" si="29"/>
        <v>750</v>
      </c>
      <c r="AD78" s="330">
        <f t="shared" si="30"/>
        <v>1363</v>
      </c>
      <c r="AE78" s="330">
        <f t="shared" si="31"/>
        <v>1758</v>
      </c>
      <c r="AF78" s="330">
        <f t="shared" si="32"/>
        <v>692</v>
      </c>
      <c r="AG78" s="333"/>
      <c r="AI78" s="34" t="s">
        <v>305</v>
      </c>
      <c r="AJ78" s="34">
        <v>8</v>
      </c>
      <c r="AK78" s="34">
        <v>9</v>
      </c>
      <c r="AL78" s="34">
        <v>8</v>
      </c>
      <c r="AM78" s="34">
        <v>0</v>
      </c>
    </row>
    <row r="79" spans="1:39" ht="69.95" customHeight="1">
      <c r="A79" s="322">
        <f t="shared" si="33"/>
        <v>69</v>
      </c>
      <c r="B79" s="323" t="s">
        <v>306</v>
      </c>
      <c r="C79" s="324" t="s">
        <v>307</v>
      </c>
      <c r="D79" s="325" t="s">
        <v>182</v>
      </c>
      <c r="E79" s="326" t="s">
        <v>357</v>
      </c>
      <c r="F79" s="327" t="s">
        <v>143</v>
      </c>
      <c r="G79" s="328">
        <v>12</v>
      </c>
      <c r="H79" s="328">
        <v>14</v>
      </c>
      <c r="I79" s="328">
        <v>0</v>
      </c>
      <c r="J79" s="328">
        <v>0</v>
      </c>
      <c r="K79" s="329">
        <f t="shared" si="19"/>
        <v>26</v>
      </c>
      <c r="L79" s="329">
        <v>0</v>
      </c>
      <c r="M79" s="329">
        <f t="shared" si="20"/>
        <v>26</v>
      </c>
      <c r="N79" s="328">
        <v>4</v>
      </c>
      <c r="O79" s="329">
        <f t="shared" si="21"/>
        <v>30</v>
      </c>
      <c r="P79" s="328">
        <v>0</v>
      </c>
      <c r="Q79" s="328">
        <v>0</v>
      </c>
      <c r="R79" s="330">
        <v>893</v>
      </c>
      <c r="S79" s="330">
        <v>816</v>
      </c>
      <c r="T79" s="331">
        <f t="shared" si="22"/>
        <v>0</v>
      </c>
      <c r="U79" s="331">
        <f t="shared" si="18"/>
        <v>23218</v>
      </c>
      <c r="V79" s="331">
        <f t="shared" si="23"/>
        <v>1123</v>
      </c>
      <c r="W79" s="330">
        <f t="shared" si="24"/>
        <v>1934</v>
      </c>
      <c r="X79" s="330">
        <f t="shared" si="25"/>
        <v>7739</v>
      </c>
      <c r="Y79" s="330">
        <f t="shared" si="26"/>
        <v>3715</v>
      </c>
      <c r="Z79" s="330">
        <f t="shared" si="27"/>
        <v>3572</v>
      </c>
      <c r="AA79" s="330">
        <f t="shared" si="17"/>
        <v>1040</v>
      </c>
      <c r="AB79" s="331">
        <f t="shared" si="28"/>
        <v>0</v>
      </c>
      <c r="AC79" s="332">
        <f t="shared" si="29"/>
        <v>780</v>
      </c>
      <c r="AD79" s="330">
        <f t="shared" si="30"/>
        <v>2310</v>
      </c>
      <c r="AE79" s="330">
        <f t="shared" si="31"/>
        <v>1950</v>
      </c>
      <c r="AF79" s="330">
        <f t="shared" si="32"/>
        <v>0</v>
      </c>
      <c r="AG79" s="333"/>
      <c r="AI79" s="34" t="s">
        <v>307</v>
      </c>
      <c r="AJ79" s="34">
        <v>14</v>
      </c>
      <c r="AK79" s="34">
        <v>11</v>
      </c>
      <c r="AL79" s="34">
        <v>0</v>
      </c>
      <c r="AM79" s="34">
        <v>0</v>
      </c>
    </row>
    <row r="80" spans="1:39" ht="69.95" customHeight="1">
      <c r="A80" s="322">
        <f t="shared" si="33"/>
        <v>70</v>
      </c>
      <c r="B80" s="323" t="s">
        <v>308</v>
      </c>
      <c r="C80" s="324" t="s">
        <v>136</v>
      </c>
      <c r="D80" s="325" t="s">
        <v>182</v>
      </c>
      <c r="E80" s="326" t="s">
        <v>146</v>
      </c>
      <c r="F80" s="327" t="s">
        <v>361</v>
      </c>
      <c r="G80" s="328">
        <v>7</v>
      </c>
      <c r="H80" s="328">
        <v>9</v>
      </c>
      <c r="I80" s="328">
        <v>7</v>
      </c>
      <c r="J80" s="328">
        <v>0</v>
      </c>
      <c r="K80" s="329">
        <f t="shared" si="19"/>
        <v>23</v>
      </c>
      <c r="L80" s="329">
        <v>0</v>
      </c>
      <c r="M80" s="329">
        <f t="shared" si="20"/>
        <v>23</v>
      </c>
      <c r="N80" s="328">
        <v>4</v>
      </c>
      <c r="O80" s="329">
        <f t="shared" si="21"/>
        <v>27</v>
      </c>
      <c r="P80" s="328">
        <v>0</v>
      </c>
      <c r="Q80" s="328">
        <v>0</v>
      </c>
      <c r="R80" s="330">
        <v>541</v>
      </c>
      <c r="S80" s="330">
        <v>494</v>
      </c>
      <c r="T80" s="331">
        <f t="shared" si="22"/>
        <v>0</v>
      </c>
      <c r="U80" s="331">
        <f t="shared" si="18"/>
        <v>12443</v>
      </c>
      <c r="V80" s="331">
        <f t="shared" si="23"/>
        <v>622</v>
      </c>
      <c r="W80" s="330">
        <f t="shared" si="24"/>
        <v>1037</v>
      </c>
      <c r="X80" s="330">
        <f t="shared" si="25"/>
        <v>4147</v>
      </c>
      <c r="Y80" s="330">
        <f t="shared" si="26"/>
        <v>1991</v>
      </c>
      <c r="Z80" s="330">
        <f t="shared" si="27"/>
        <v>2164</v>
      </c>
      <c r="AA80" s="330">
        <f t="shared" si="17"/>
        <v>990</v>
      </c>
      <c r="AB80" s="331">
        <f t="shared" si="28"/>
        <v>0</v>
      </c>
      <c r="AC80" s="332">
        <f t="shared" si="29"/>
        <v>690</v>
      </c>
      <c r="AD80" s="330">
        <f t="shared" si="30"/>
        <v>1269</v>
      </c>
      <c r="AE80" s="330">
        <f t="shared" si="31"/>
        <v>1618</v>
      </c>
      <c r="AF80" s="330">
        <f t="shared" si="32"/>
        <v>637</v>
      </c>
      <c r="AG80" s="333"/>
      <c r="AI80" s="34" t="s">
        <v>136</v>
      </c>
      <c r="AJ80" s="34">
        <v>8</v>
      </c>
      <c r="AK80" s="34">
        <v>8</v>
      </c>
      <c r="AL80" s="34">
        <v>7</v>
      </c>
      <c r="AM80" s="34">
        <v>0</v>
      </c>
    </row>
    <row r="81" spans="1:39" ht="69.95" customHeight="1">
      <c r="A81" s="322">
        <f t="shared" si="33"/>
        <v>71</v>
      </c>
      <c r="B81" s="323" t="s">
        <v>309</v>
      </c>
      <c r="C81" s="338" t="s">
        <v>310</v>
      </c>
      <c r="D81" s="335" t="s">
        <v>369</v>
      </c>
      <c r="E81" s="322" t="s">
        <v>144</v>
      </c>
      <c r="F81" s="327" t="s">
        <v>363</v>
      </c>
      <c r="G81" s="328">
        <v>10</v>
      </c>
      <c r="H81" s="328">
        <v>8</v>
      </c>
      <c r="I81" s="328">
        <v>8</v>
      </c>
      <c r="J81" s="328">
        <v>0</v>
      </c>
      <c r="K81" s="329">
        <f t="shared" si="19"/>
        <v>26</v>
      </c>
      <c r="L81" s="329">
        <v>0</v>
      </c>
      <c r="M81" s="329">
        <f t="shared" si="20"/>
        <v>26</v>
      </c>
      <c r="N81" s="328">
        <v>4</v>
      </c>
      <c r="O81" s="329">
        <f t="shared" si="21"/>
        <v>30</v>
      </c>
      <c r="P81" s="328">
        <v>0</v>
      </c>
      <c r="Q81" s="328">
        <v>1</v>
      </c>
      <c r="R81" s="330">
        <v>760</v>
      </c>
      <c r="S81" s="330">
        <v>695</v>
      </c>
      <c r="T81" s="331">
        <f t="shared" si="22"/>
        <v>0</v>
      </c>
      <c r="U81" s="331">
        <f t="shared" si="18"/>
        <v>19760</v>
      </c>
      <c r="V81" s="331">
        <f t="shared" si="23"/>
        <v>956</v>
      </c>
      <c r="W81" s="330">
        <f t="shared" si="24"/>
        <v>1646</v>
      </c>
      <c r="X81" s="330">
        <f t="shared" si="25"/>
        <v>6586</v>
      </c>
      <c r="Y81" s="330">
        <f t="shared" si="26"/>
        <v>3162</v>
      </c>
      <c r="Z81" s="330">
        <f t="shared" si="27"/>
        <v>3040</v>
      </c>
      <c r="AA81" s="330">
        <f t="shared" si="17"/>
        <v>1120</v>
      </c>
      <c r="AB81" s="331">
        <f t="shared" si="28"/>
        <v>760</v>
      </c>
      <c r="AC81" s="332">
        <f t="shared" si="29"/>
        <v>780</v>
      </c>
      <c r="AD81" s="330">
        <f t="shared" si="30"/>
        <v>1950</v>
      </c>
      <c r="AE81" s="330">
        <f t="shared" si="31"/>
        <v>1950</v>
      </c>
      <c r="AF81" s="330">
        <f t="shared" si="32"/>
        <v>0</v>
      </c>
      <c r="AG81" s="333"/>
      <c r="AI81" s="34" t="s">
        <v>310</v>
      </c>
      <c r="AJ81" s="34">
        <v>8</v>
      </c>
      <c r="AK81" s="34">
        <v>8</v>
      </c>
      <c r="AL81" s="34">
        <v>10</v>
      </c>
      <c r="AM81" s="34">
        <v>0</v>
      </c>
    </row>
    <row r="82" spans="1:39" ht="69.95" customHeight="1">
      <c r="A82" s="322">
        <f t="shared" si="33"/>
        <v>72</v>
      </c>
      <c r="B82" s="323" t="s">
        <v>311</v>
      </c>
      <c r="C82" s="336" t="s">
        <v>312</v>
      </c>
      <c r="D82" s="335" t="s">
        <v>196</v>
      </c>
      <c r="E82" s="322" t="s">
        <v>145</v>
      </c>
      <c r="F82" s="327" t="s">
        <v>362</v>
      </c>
      <c r="G82" s="328">
        <v>5</v>
      </c>
      <c r="H82" s="328">
        <v>8</v>
      </c>
      <c r="I82" s="328">
        <v>14</v>
      </c>
      <c r="J82" s="328">
        <v>0</v>
      </c>
      <c r="K82" s="329">
        <f t="shared" si="19"/>
        <v>27</v>
      </c>
      <c r="L82" s="329">
        <v>0</v>
      </c>
      <c r="M82" s="329">
        <f t="shared" si="20"/>
        <v>27</v>
      </c>
      <c r="N82" s="328">
        <v>4</v>
      </c>
      <c r="O82" s="329">
        <f t="shared" si="21"/>
        <v>31</v>
      </c>
      <c r="P82" s="328">
        <v>0</v>
      </c>
      <c r="Q82" s="328">
        <v>0</v>
      </c>
      <c r="R82" s="330">
        <v>632</v>
      </c>
      <c r="S82" s="330">
        <v>577</v>
      </c>
      <c r="T82" s="331">
        <f t="shared" si="22"/>
        <v>0</v>
      </c>
      <c r="U82" s="331">
        <f t="shared" si="18"/>
        <v>17064</v>
      </c>
      <c r="V82" s="331">
        <f t="shared" si="23"/>
        <v>795</v>
      </c>
      <c r="W82" s="330">
        <f t="shared" si="24"/>
        <v>1421</v>
      </c>
      <c r="X82" s="330">
        <f t="shared" si="25"/>
        <v>5687</v>
      </c>
      <c r="Y82" s="330">
        <f t="shared" si="26"/>
        <v>2730</v>
      </c>
      <c r="Z82" s="330">
        <f t="shared" si="27"/>
        <v>2528</v>
      </c>
      <c r="AA82" s="330">
        <f t="shared" si="17"/>
        <v>1220</v>
      </c>
      <c r="AB82" s="331">
        <f t="shared" si="28"/>
        <v>0</v>
      </c>
      <c r="AC82" s="332">
        <f t="shared" si="29"/>
        <v>810</v>
      </c>
      <c r="AD82" s="330">
        <f t="shared" si="30"/>
        <v>1705</v>
      </c>
      <c r="AE82" s="330">
        <f t="shared" si="31"/>
        <v>1950</v>
      </c>
      <c r="AF82" s="330">
        <f t="shared" si="32"/>
        <v>0</v>
      </c>
      <c r="AG82" s="333"/>
      <c r="AI82" s="34" t="s">
        <v>312</v>
      </c>
      <c r="AJ82" s="34">
        <v>7</v>
      </c>
      <c r="AK82" s="34">
        <v>9</v>
      </c>
      <c r="AL82" s="34">
        <v>7</v>
      </c>
      <c r="AM82" s="34">
        <v>0</v>
      </c>
    </row>
    <row r="83" spans="1:39" ht="69.95" customHeight="1">
      <c r="A83" s="322">
        <f t="shared" si="33"/>
        <v>73</v>
      </c>
      <c r="B83" s="323" t="s">
        <v>313</v>
      </c>
      <c r="C83" s="338" t="s">
        <v>314</v>
      </c>
      <c r="D83" s="335" t="s">
        <v>369</v>
      </c>
      <c r="E83" s="322" t="s">
        <v>144</v>
      </c>
      <c r="F83" s="327" t="s">
        <v>363</v>
      </c>
      <c r="G83" s="328">
        <v>11</v>
      </c>
      <c r="H83" s="328">
        <v>6</v>
      </c>
      <c r="I83" s="328">
        <v>9</v>
      </c>
      <c r="J83" s="328">
        <v>0</v>
      </c>
      <c r="K83" s="329">
        <f t="shared" si="19"/>
        <v>26</v>
      </c>
      <c r="L83" s="329">
        <v>0</v>
      </c>
      <c r="M83" s="329">
        <f t="shared" si="20"/>
        <v>26</v>
      </c>
      <c r="N83" s="328">
        <v>4</v>
      </c>
      <c r="O83" s="329">
        <f t="shared" si="21"/>
        <v>30</v>
      </c>
      <c r="P83" s="328">
        <v>0</v>
      </c>
      <c r="Q83" s="328">
        <v>1</v>
      </c>
      <c r="R83" s="330">
        <v>760</v>
      </c>
      <c r="S83" s="330">
        <v>695</v>
      </c>
      <c r="T83" s="331">
        <f t="shared" si="22"/>
        <v>0</v>
      </c>
      <c r="U83" s="331">
        <f t="shared" si="18"/>
        <v>19760</v>
      </c>
      <c r="V83" s="331">
        <f t="shared" si="23"/>
        <v>956</v>
      </c>
      <c r="W83" s="330">
        <f t="shared" si="24"/>
        <v>1646</v>
      </c>
      <c r="X83" s="330">
        <f t="shared" si="25"/>
        <v>6586</v>
      </c>
      <c r="Y83" s="330">
        <f t="shared" si="26"/>
        <v>3162</v>
      </c>
      <c r="Z83" s="330">
        <f t="shared" si="27"/>
        <v>3040</v>
      </c>
      <c r="AA83" s="330">
        <f t="shared" si="17"/>
        <v>1130</v>
      </c>
      <c r="AB83" s="331">
        <f t="shared" si="28"/>
        <v>760</v>
      </c>
      <c r="AC83" s="332">
        <f t="shared" si="29"/>
        <v>780</v>
      </c>
      <c r="AD83" s="330">
        <f t="shared" si="30"/>
        <v>1950</v>
      </c>
      <c r="AE83" s="330">
        <f t="shared" si="31"/>
        <v>1950</v>
      </c>
      <c r="AF83" s="330">
        <f t="shared" si="32"/>
        <v>0</v>
      </c>
      <c r="AG83" s="333"/>
      <c r="AI83" s="34" t="s">
        <v>314</v>
      </c>
      <c r="AJ83" s="34">
        <v>8</v>
      </c>
      <c r="AK83" s="34">
        <v>9</v>
      </c>
      <c r="AL83" s="34">
        <v>8</v>
      </c>
      <c r="AM83" s="34">
        <v>0</v>
      </c>
    </row>
    <row r="84" spans="1:39" ht="69.95" customHeight="1">
      <c r="A84" s="322">
        <f t="shared" si="33"/>
        <v>74</v>
      </c>
      <c r="B84" s="323" t="s">
        <v>315</v>
      </c>
      <c r="C84" s="336" t="s">
        <v>316</v>
      </c>
      <c r="D84" s="335" t="s">
        <v>196</v>
      </c>
      <c r="E84" s="322" t="s">
        <v>145</v>
      </c>
      <c r="F84" s="327" t="s">
        <v>362</v>
      </c>
      <c r="G84" s="328">
        <v>6</v>
      </c>
      <c r="H84" s="328">
        <v>9</v>
      </c>
      <c r="I84" s="328">
        <v>6</v>
      </c>
      <c r="J84" s="328">
        <v>0</v>
      </c>
      <c r="K84" s="329">
        <f t="shared" si="19"/>
        <v>21</v>
      </c>
      <c r="L84" s="329">
        <v>0</v>
      </c>
      <c r="M84" s="329">
        <f t="shared" si="20"/>
        <v>21</v>
      </c>
      <c r="N84" s="328">
        <v>4</v>
      </c>
      <c r="O84" s="329">
        <f t="shared" si="21"/>
        <v>25</v>
      </c>
      <c r="P84" s="328">
        <v>0</v>
      </c>
      <c r="Q84" s="328">
        <v>1</v>
      </c>
      <c r="R84" s="330">
        <v>632</v>
      </c>
      <c r="S84" s="330">
        <v>577</v>
      </c>
      <c r="T84" s="331">
        <f t="shared" si="22"/>
        <v>0</v>
      </c>
      <c r="U84" s="331">
        <f t="shared" si="18"/>
        <v>13272</v>
      </c>
      <c r="V84" s="331">
        <f t="shared" si="23"/>
        <v>664</v>
      </c>
      <c r="W84" s="330">
        <f t="shared" si="24"/>
        <v>1106</v>
      </c>
      <c r="X84" s="330">
        <f t="shared" si="25"/>
        <v>4424</v>
      </c>
      <c r="Y84" s="330">
        <f t="shared" si="26"/>
        <v>2124</v>
      </c>
      <c r="Z84" s="330">
        <f t="shared" si="27"/>
        <v>2528</v>
      </c>
      <c r="AA84" s="330">
        <f t="shared" si="17"/>
        <v>900</v>
      </c>
      <c r="AB84" s="331">
        <f t="shared" si="28"/>
        <v>632</v>
      </c>
      <c r="AC84" s="332">
        <f t="shared" si="29"/>
        <v>630</v>
      </c>
      <c r="AD84" s="330">
        <f t="shared" si="30"/>
        <v>1375</v>
      </c>
      <c r="AE84" s="330">
        <f t="shared" si="31"/>
        <v>1725</v>
      </c>
      <c r="AF84" s="330">
        <f t="shared" si="32"/>
        <v>0</v>
      </c>
      <c r="AG84" s="333"/>
      <c r="AI84" s="34" t="s">
        <v>316</v>
      </c>
      <c r="AJ84" s="34">
        <v>8</v>
      </c>
      <c r="AK84" s="34">
        <v>10</v>
      </c>
      <c r="AL84" s="34">
        <v>8</v>
      </c>
      <c r="AM84" s="34">
        <v>0</v>
      </c>
    </row>
    <row r="85" spans="1:39" ht="69.95" customHeight="1">
      <c r="A85" s="322">
        <f t="shared" si="33"/>
        <v>75</v>
      </c>
      <c r="B85" s="323" t="s">
        <v>317</v>
      </c>
      <c r="C85" s="336" t="s">
        <v>318</v>
      </c>
      <c r="D85" s="335" t="s">
        <v>196</v>
      </c>
      <c r="E85" s="322" t="s">
        <v>145</v>
      </c>
      <c r="F85" s="327" t="s">
        <v>362</v>
      </c>
      <c r="G85" s="328">
        <v>9</v>
      </c>
      <c r="H85" s="328">
        <v>8</v>
      </c>
      <c r="I85" s="328">
        <v>6</v>
      </c>
      <c r="J85" s="328">
        <v>0</v>
      </c>
      <c r="K85" s="329">
        <f t="shared" si="19"/>
        <v>23</v>
      </c>
      <c r="L85" s="329">
        <v>0</v>
      </c>
      <c r="M85" s="329">
        <f t="shared" si="20"/>
        <v>23</v>
      </c>
      <c r="N85" s="328">
        <v>4</v>
      </c>
      <c r="O85" s="329">
        <f t="shared" si="21"/>
        <v>27</v>
      </c>
      <c r="P85" s="328">
        <v>0</v>
      </c>
      <c r="Q85" s="328">
        <v>1</v>
      </c>
      <c r="R85" s="330">
        <v>632</v>
      </c>
      <c r="S85" s="330">
        <v>577</v>
      </c>
      <c r="T85" s="331">
        <f t="shared" si="22"/>
        <v>0</v>
      </c>
      <c r="U85" s="331">
        <f t="shared" si="18"/>
        <v>14536</v>
      </c>
      <c r="V85" s="331">
        <f t="shared" si="23"/>
        <v>727</v>
      </c>
      <c r="W85" s="330">
        <f t="shared" si="24"/>
        <v>1211</v>
      </c>
      <c r="X85" s="330">
        <f t="shared" si="25"/>
        <v>4845</v>
      </c>
      <c r="Y85" s="330">
        <f t="shared" si="26"/>
        <v>2326</v>
      </c>
      <c r="Z85" s="330">
        <f t="shared" si="27"/>
        <v>2528</v>
      </c>
      <c r="AA85" s="330">
        <f t="shared" si="17"/>
        <v>980</v>
      </c>
      <c r="AB85" s="331">
        <f t="shared" si="28"/>
        <v>632</v>
      </c>
      <c r="AC85" s="332">
        <f t="shared" si="29"/>
        <v>690</v>
      </c>
      <c r="AD85" s="330">
        <f t="shared" si="30"/>
        <v>1485</v>
      </c>
      <c r="AE85" s="330">
        <f t="shared" si="31"/>
        <v>1890</v>
      </c>
      <c r="AF85" s="330">
        <f t="shared" si="32"/>
        <v>0</v>
      </c>
      <c r="AG85" s="333"/>
      <c r="AI85" s="34" t="s">
        <v>318</v>
      </c>
      <c r="AJ85" s="34">
        <v>8</v>
      </c>
      <c r="AK85" s="34">
        <v>8</v>
      </c>
      <c r="AL85" s="34">
        <v>10</v>
      </c>
      <c r="AM85" s="34">
        <v>0</v>
      </c>
    </row>
    <row r="86" spans="1:39" ht="69.95" customHeight="1">
      <c r="A86" s="322">
        <f t="shared" si="33"/>
        <v>76</v>
      </c>
      <c r="B86" s="323" t="s">
        <v>319</v>
      </c>
      <c r="C86" s="334" t="s">
        <v>320</v>
      </c>
      <c r="D86" s="335" t="s">
        <v>369</v>
      </c>
      <c r="E86" s="322" t="s">
        <v>146</v>
      </c>
      <c r="F86" s="327" t="s">
        <v>361</v>
      </c>
      <c r="G86" s="328">
        <v>0</v>
      </c>
      <c r="H86" s="328">
        <v>6</v>
      </c>
      <c r="I86" s="328">
        <v>0</v>
      </c>
      <c r="J86" s="328">
        <v>17</v>
      </c>
      <c r="K86" s="329">
        <f t="shared" si="19"/>
        <v>23</v>
      </c>
      <c r="L86" s="329">
        <v>0</v>
      </c>
      <c r="M86" s="329">
        <f t="shared" si="20"/>
        <v>23</v>
      </c>
      <c r="N86" s="328">
        <v>4</v>
      </c>
      <c r="O86" s="329">
        <f t="shared" si="21"/>
        <v>27</v>
      </c>
      <c r="P86" s="328">
        <v>0</v>
      </c>
      <c r="Q86" s="328">
        <v>0</v>
      </c>
      <c r="R86" s="330">
        <v>541</v>
      </c>
      <c r="S86" s="330">
        <v>494</v>
      </c>
      <c r="T86" s="331">
        <f t="shared" si="22"/>
        <v>0</v>
      </c>
      <c r="U86" s="331">
        <f t="shared" si="18"/>
        <v>12443</v>
      </c>
      <c r="V86" s="331">
        <f t="shared" si="23"/>
        <v>622</v>
      </c>
      <c r="W86" s="330">
        <f t="shared" si="24"/>
        <v>1037</v>
      </c>
      <c r="X86" s="330">
        <f t="shared" si="25"/>
        <v>4147</v>
      </c>
      <c r="Y86" s="330">
        <f t="shared" si="26"/>
        <v>1991</v>
      </c>
      <c r="Z86" s="330">
        <f t="shared" si="27"/>
        <v>2164</v>
      </c>
      <c r="AA86" s="330">
        <f t="shared" si="17"/>
        <v>240</v>
      </c>
      <c r="AB86" s="331">
        <f t="shared" si="28"/>
        <v>0</v>
      </c>
      <c r="AC86" s="332">
        <f t="shared" si="29"/>
        <v>690</v>
      </c>
      <c r="AD86" s="330">
        <f t="shared" si="30"/>
        <v>1269</v>
      </c>
      <c r="AE86" s="330">
        <f t="shared" si="31"/>
        <v>1618</v>
      </c>
      <c r="AF86" s="330">
        <f t="shared" si="32"/>
        <v>612</v>
      </c>
      <c r="AG86" s="333"/>
      <c r="AI86" s="34" t="s">
        <v>320</v>
      </c>
      <c r="AJ86" s="34">
        <v>0</v>
      </c>
      <c r="AK86" s="34">
        <v>8</v>
      </c>
      <c r="AL86" s="34">
        <v>1</v>
      </c>
      <c r="AM86" s="34">
        <v>16</v>
      </c>
    </row>
    <row r="87" spans="1:39" ht="69.95" customHeight="1">
      <c r="A87" s="322">
        <f t="shared" si="33"/>
        <v>77</v>
      </c>
      <c r="B87" s="323" t="s">
        <v>321</v>
      </c>
      <c r="C87" s="336" t="s">
        <v>322</v>
      </c>
      <c r="D87" s="335" t="s">
        <v>196</v>
      </c>
      <c r="E87" s="322" t="s">
        <v>145</v>
      </c>
      <c r="F87" s="327" t="s">
        <v>362</v>
      </c>
      <c r="G87" s="328">
        <v>5</v>
      </c>
      <c r="H87" s="328">
        <v>5</v>
      </c>
      <c r="I87" s="328">
        <v>4</v>
      </c>
      <c r="J87" s="328">
        <v>11</v>
      </c>
      <c r="K87" s="329">
        <f t="shared" si="19"/>
        <v>25</v>
      </c>
      <c r="L87" s="329">
        <v>0</v>
      </c>
      <c r="M87" s="329">
        <f t="shared" si="20"/>
        <v>25</v>
      </c>
      <c r="N87" s="328">
        <v>4</v>
      </c>
      <c r="O87" s="329">
        <f t="shared" si="21"/>
        <v>29</v>
      </c>
      <c r="P87" s="328">
        <v>0</v>
      </c>
      <c r="Q87" s="328">
        <v>0</v>
      </c>
      <c r="R87" s="330">
        <v>632</v>
      </c>
      <c r="S87" s="330">
        <v>577</v>
      </c>
      <c r="T87" s="331">
        <f t="shared" si="22"/>
        <v>0</v>
      </c>
      <c r="U87" s="331">
        <f t="shared" si="18"/>
        <v>15800</v>
      </c>
      <c r="V87" s="331">
        <f t="shared" si="23"/>
        <v>790</v>
      </c>
      <c r="W87" s="330">
        <f t="shared" si="24"/>
        <v>1316</v>
      </c>
      <c r="X87" s="330">
        <f t="shared" si="25"/>
        <v>5266</v>
      </c>
      <c r="Y87" s="330">
        <f t="shared" si="26"/>
        <v>2528</v>
      </c>
      <c r="Z87" s="330">
        <f t="shared" si="27"/>
        <v>2528</v>
      </c>
      <c r="AA87" s="330">
        <f t="shared" si="17"/>
        <v>600</v>
      </c>
      <c r="AB87" s="331">
        <f t="shared" si="28"/>
        <v>0</v>
      </c>
      <c r="AC87" s="332">
        <f t="shared" si="29"/>
        <v>750</v>
      </c>
      <c r="AD87" s="330">
        <f t="shared" si="30"/>
        <v>1595</v>
      </c>
      <c r="AE87" s="330">
        <f t="shared" si="31"/>
        <v>1950</v>
      </c>
      <c r="AF87" s="330">
        <f t="shared" si="32"/>
        <v>0</v>
      </c>
      <c r="AG87" s="333"/>
      <c r="AI87" s="34" t="s">
        <v>322</v>
      </c>
      <c r="AJ87" s="34">
        <v>0</v>
      </c>
      <c r="AK87" s="34">
        <v>13</v>
      </c>
      <c r="AL87" s="34">
        <v>0</v>
      </c>
      <c r="AM87" s="34">
        <v>12</v>
      </c>
    </row>
    <row r="88" spans="1:39" ht="69.95" customHeight="1">
      <c r="A88" s="322">
        <f t="shared" si="33"/>
        <v>78</v>
      </c>
      <c r="B88" s="323" t="s">
        <v>323</v>
      </c>
      <c r="C88" s="324" t="s">
        <v>324</v>
      </c>
      <c r="D88" s="325" t="s">
        <v>182</v>
      </c>
      <c r="E88" s="326" t="s">
        <v>146</v>
      </c>
      <c r="F88" s="327" t="s">
        <v>361</v>
      </c>
      <c r="G88" s="328">
        <v>9</v>
      </c>
      <c r="H88" s="328">
        <v>0</v>
      </c>
      <c r="I88" s="328">
        <v>0</v>
      </c>
      <c r="J88" s="328">
        <v>14</v>
      </c>
      <c r="K88" s="329">
        <f t="shared" si="19"/>
        <v>23</v>
      </c>
      <c r="L88" s="329">
        <v>0</v>
      </c>
      <c r="M88" s="329">
        <f t="shared" si="20"/>
        <v>23</v>
      </c>
      <c r="N88" s="328">
        <v>4</v>
      </c>
      <c r="O88" s="329">
        <f t="shared" si="21"/>
        <v>27</v>
      </c>
      <c r="P88" s="328">
        <v>0</v>
      </c>
      <c r="Q88" s="328">
        <v>0</v>
      </c>
      <c r="R88" s="330">
        <v>541</v>
      </c>
      <c r="S88" s="330">
        <v>494</v>
      </c>
      <c r="T88" s="331">
        <f t="shared" si="22"/>
        <v>0</v>
      </c>
      <c r="U88" s="331">
        <f t="shared" si="18"/>
        <v>12443</v>
      </c>
      <c r="V88" s="331">
        <f t="shared" si="23"/>
        <v>622</v>
      </c>
      <c r="W88" s="330">
        <f t="shared" si="24"/>
        <v>1037</v>
      </c>
      <c r="X88" s="330">
        <f t="shared" si="25"/>
        <v>4147</v>
      </c>
      <c r="Y88" s="330">
        <f t="shared" si="26"/>
        <v>1991</v>
      </c>
      <c r="Z88" s="330">
        <f t="shared" si="27"/>
        <v>2164</v>
      </c>
      <c r="AA88" s="330">
        <f t="shared" si="17"/>
        <v>360</v>
      </c>
      <c r="AB88" s="331">
        <f t="shared" si="28"/>
        <v>0</v>
      </c>
      <c r="AC88" s="332">
        <f t="shared" si="29"/>
        <v>690</v>
      </c>
      <c r="AD88" s="330">
        <f t="shared" si="30"/>
        <v>1269</v>
      </c>
      <c r="AE88" s="330">
        <f t="shared" si="31"/>
        <v>1618</v>
      </c>
      <c r="AF88" s="330">
        <f t="shared" si="32"/>
        <v>616</v>
      </c>
      <c r="AG88" s="333"/>
      <c r="AI88" s="34" t="s">
        <v>324</v>
      </c>
      <c r="AJ88" s="34">
        <v>8</v>
      </c>
      <c r="AK88" s="34">
        <v>0</v>
      </c>
      <c r="AL88" s="34">
        <v>0</v>
      </c>
      <c r="AM88" s="34">
        <v>17</v>
      </c>
    </row>
    <row r="89" spans="1:39" ht="69.95" customHeight="1">
      <c r="A89" s="322">
        <f t="shared" si="33"/>
        <v>79</v>
      </c>
      <c r="B89" s="323" t="s">
        <v>325</v>
      </c>
      <c r="C89" s="334" t="s">
        <v>326</v>
      </c>
      <c r="D89" s="335" t="s">
        <v>369</v>
      </c>
      <c r="E89" s="322" t="s">
        <v>146</v>
      </c>
      <c r="F89" s="327" t="s">
        <v>361</v>
      </c>
      <c r="G89" s="328">
        <v>10</v>
      </c>
      <c r="H89" s="328">
        <v>8</v>
      </c>
      <c r="I89" s="328">
        <v>9</v>
      </c>
      <c r="J89" s="328">
        <v>0</v>
      </c>
      <c r="K89" s="329">
        <f t="shared" si="19"/>
        <v>27</v>
      </c>
      <c r="L89" s="329">
        <v>0</v>
      </c>
      <c r="M89" s="329">
        <f t="shared" si="20"/>
        <v>27</v>
      </c>
      <c r="N89" s="328">
        <v>4</v>
      </c>
      <c r="O89" s="329">
        <f t="shared" si="21"/>
        <v>31</v>
      </c>
      <c r="P89" s="328">
        <v>0</v>
      </c>
      <c r="Q89" s="328">
        <v>0</v>
      </c>
      <c r="R89" s="330">
        <v>541</v>
      </c>
      <c r="S89" s="330">
        <v>494</v>
      </c>
      <c r="T89" s="331">
        <f t="shared" si="22"/>
        <v>0</v>
      </c>
      <c r="U89" s="331">
        <f t="shared" si="18"/>
        <v>14607</v>
      </c>
      <c r="V89" s="331">
        <f t="shared" si="23"/>
        <v>681</v>
      </c>
      <c r="W89" s="330">
        <f t="shared" si="24"/>
        <v>1217</v>
      </c>
      <c r="X89" s="330">
        <f t="shared" si="25"/>
        <v>4869</v>
      </c>
      <c r="Y89" s="330">
        <f t="shared" si="26"/>
        <v>2337</v>
      </c>
      <c r="Z89" s="330">
        <f t="shared" si="27"/>
        <v>2164</v>
      </c>
      <c r="AA89" s="330">
        <f t="shared" si="17"/>
        <v>1170</v>
      </c>
      <c r="AB89" s="331">
        <f t="shared" si="28"/>
        <v>0</v>
      </c>
      <c r="AC89" s="332">
        <f t="shared" si="29"/>
        <v>810</v>
      </c>
      <c r="AD89" s="330">
        <f t="shared" si="30"/>
        <v>1457</v>
      </c>
      <c r="AE89" s="330">
        <f t="shared" si="31"/>
        <v>1899</v>
      </c>
      <c r="AF89" s="330">
        <f t="shared" si="32"/>
        <v>747</v>
      </c>
      <c r="AG89" s="333"/>
      <c r="AI89" s="34" t="s">
        <v>326</v>
      </c>
      <c r="AJ89" s="34">
        <v>9</v>
      </c>
      <c r="AK89" s="34">
        <v>9</v>
      </c>
      <c r="AL89" s="34">
        <v>7</v>
      </c>
      <c r="AM89" s="34">
        <v>0</v>
      </c>
    </row>
    <row r="90" spans="1:39" ht="69.95" customHeight="1">
      <c r="A90" s="322">
        <f t="shared" si="33"/>
        <v>80</v>
      </c>
      <c r="B90" s="323" t="s">
        <v>327</v>
      </c>
      <c r="C90" s="336" t="s">
        <v>328</v>
      </c>
      <c r="D90" s="325" t="s">
        <v>369</v>
      </c>
      <c r="E90" s="322" t="s">
        <v>144</v>
      </c>
      <c r="F90" s="327" t="s">
        <v>363</v>
      </c>
      <c r="G90" s="328">
        <v>0</v>
      </c>
      <c r="H90" s="328">
        <v>7</v>
      </c>
      <c r="I90" s="328">
        <v>1</v>
      </c>
      <c r="J90" s="328">
        <v>15</v>
      </c>
      <c r="K90" s="329">
        <f t="shared" si="19"/>
        <v>23</v>
      </c>
      <c r="L90" s="329">
        <v>0</v>
      </c>
      <c r="M90" s="329">
        <f t="shared" si="20"/>
        <v>23</v>
      </c>
      <c r="N90" s="328">
        <v>4</v>
      </c>
      <c r="O90" s="329">
        <f t="shared" si="21"/>
        <v>27</v>
      </c>
      <c r="P90" s="328">
        <v>0</v>
      </c>
      <c r="Q90" s="328">
        <v>0</v>
      </c>
      <c r="R90" s="330">
        <v>760</v>
      </c>
      <c r="S90" s="330">
        <v>695</v>
      </c>
      <c r="T90" s="331">
        <f t="shared" si="22"/>
        <v>0</v>
      </c>
      <c r="U90" s="331">
        <f t="shared" si="18"/>
        <v>17480</v>
      </c>
      <c r="V90" s="331">
        <f t="shared" si="23"/>
        <v>874</v>
      </c>
      <c r="W90" s="330">
        <f t="shared" si="24"/>
        <v>1456</v>
      </c>
      <c r="X90" s="330">
        <f t="shared" si="25"/>
        <v>5826</v>
      </c>
      <c r="Y90" s="330">
        <f t="shared" si="26"/>
        <v>2797</v>
      </c>
      <c r="Z90" s="330">
        <f t="shared" si="27"/>
        <v>3040</v>
      </c>
      <c r="AA90" s="330">
        <f t="shared" si="17"/>
        <v>330</v>
      </c>
      <c r="AB90" s="331">
        <f t="shared" si="28"/>
        <v>0</v>
      </c>
      <c r="AC90" s="332">
        <f t="shared" si="29"/>
        <v>690</v>
      </c>
      <c r="AD90" s="330">
        <f t="shared" si="30"/>
        <v>1755</v>
      </c>
      <c r="AE90" s="330">
        <f t="shared" si="31"/>
        <v>1950</v>
      </c>
      <c r="AF90" s="330">
        <f t="shared" si="32"/>
        <v>0</v>
      </c>
      <c r="AG90" s="333"/>
      <c r="AI90" s="34" t="s">
        <v>328</v>
      </c>
      <c r="AJ90" s="34">
        <v>6</v>
      </c>
      <c r="AK90" s="34">
        <v>10</v>
      </c>
      <c r="AL90" s="34">
        <v>3</v>
      </c>
      <c r="AM90" s="34">
        <v>6</v>
      </c>
    </row>
    <row r="91" spans="1:39" ht="69.95" customHeight="1">
      <c r="A91" s="322">
        <f t="shared" si="33"/>
        <v>81</v>
      </c>
      <c r="B91" s="323" t="s">
        <v>329</v>
      </c>
      <c r="C91" s="324" t="s">
        <v>330</v>
      </c>
      <c r="D91" s="325" t="s">
        <v>182</v>
      </c>
      <c r="E91" s="326" t="s">
        <v>146</v>
      </c>
      <c r="F91" s="327" t="s">
        <v>361</v>
      </c>
      <c r="G91" s="328">
        <v>8</v>
      </c>
      <c r="H91" s="328">
        <v>9</v>
      </c>
      <c r="I91" s="328">
        <v>9</v>
      </c>
      <c r="J91" s="328">
        <v>0</v>
      </c>
      <c r="K91" s="329">
        <f t="shared" si="19"/>
        <v>26</v>
      </c>
      <c r="L91" s="329">
        <v>0</v>
      </c>
      <c r="M91" s="329">
        <f t="shared" si="20"/>
        <v>26</v>
      </c>
      <c r="N91" s="328">
        <v>4</v>
      </c>
      <c r="O91" s="329">
        <f t="shared" si="21"/>
        <v>30</v>
      </c>
      <c r="P91" s="328">
        <v>0</v>
      </c>
      <c r="Q91" s="328">
        <v>0</v>
      </c>
      <c r="R91" s="330">
        <v>541</v>
      </c>
      <c r="S91" s="330">
        <v>494</v>
      </c>
      <c r="T91" s="331">
        <f t="shared" si="22"/>
        <v>0</v>
      </c>
      <c r="U91" s="331">
        <f t="shared" si="18"/>
        <v>14066</v>
      </c>
      <c r="V91" s="331">
        <f t="shared" si="23"/>
        <v>681</v>
      </c>
      <c r="W91" s="330">
        <f t="shared" si="24"/>
        <v>1172</v>
      </c>
      <c r="X91" s="330">
        <f t="shared" si="25"/>
        <v>4688</v>
      </c>
      <c r="Y91" s="330">
        <f t="shared" si="26"/>
        <v>2251</v>
      </c>
      <c r="Z91" s="330">
        <f t="shared" si="27"/>
        <v>2164</v>
      </c>
      <c r="AA91" s="330">
        <f t="shared" si="17"/>
        <v>1130</v>
      </c>
      <c r="AB91" s="331">
        <f t="shared" si="28"/>
        <v>0</v>
      </c>
      <c r="AC91" s="332">
        <f t="shared" si="29"/>
        <v>780</v>
      </c>
      <c r="AD91" s="330">
        <f t="shared" si="30"/>
        <v>1410</v>
      </c>
      <c r="AE91" s="330">
        <f t="shared" si="31"/>
        <v>1829</v>
      </c>
      <c r="AF91" s="330">
        <f t="shared" si="32"/>
        <v>720</v>
      </c>
      <c r="AG91" s="333"/>
      <c r="AI91" s="34" t="s">
        <v>330</v>
      </c>
      <c r="AJ91" s="34">
        <v>10</v>
      </c>
      <c r="AK91" s="34">
        <v>8</v>
      </c>
      <c r="AL91" s="34">
        <v>8</v>
      </c>
      <c r="AM91" s="34">
        <v>1</v>
      </c>
    </row>
    <row r="92" spans="1:39" ht="69.95" customHeight="1">
      <c r="A92" s="322">
        <f t="shared" si="33"/>
        <v>82</v>
      </c>
      <c r="B92" s="323" t="s">
        <v>331</v>
      </c>
      <c r="C92" s="324" t="s">
        <v>332</v>
      </c>
      <c r="D92" s="325" t="s">
        <v>182</v>
      </c>
      <c r="E92" s="326" t="s">
        <v>146</v>
      </c>
      <c r="F92" s="327" t="s">
        <v>361</v>
      </c>
      <c r="G92" s="328">
        <v>11</v>
      </c>
      <c r="H92" s="328">
        <v>12</v>
      </c>
      <c r="I92" s="328">
        <v>0</v>
      </c>
      <c r="J92" s="328">
        <v>1</v>
      </c>
      <c r="K92" s="329">
        <f t="shared" si="19"/>
        <v>24</v>
      </c>
      <c r="L92" s="329">
        <v>0</v>
      </c>
      <c r="M92" s="329">
        <f t="shared" si="20"/>
        <v>24</v>
      </c>
      <c r="N92" s="328">
        <v>4</v>
      </c>
      <c r="O92" s="329">
        <f t="shared" si="21"/>
        <v>28</v>
      </c>
      <c r="P92" s="328">
        <v>0</v>
      </c>
      <c r="Q92" s="328">
        <v>0</v>
      </c>
      <c r="R92" s="330">
        <v>541</v>
      </c>
      <c r="S92" s="330">
        <v>494</v>
      </c>
      <c r="T92" s="331">
        <f t="shared" si="22"/>
        <v>0</v>
      </c>
      <c r="U92" s="331">
        <f t="shared" si="18"/>
        <v>12984</v>
      </c>
      <c r="V92" s="331">
        <f t="shared" si="23"/>
        <v>649</v>
      </c>
      <c r="W92" s="330">
        <f t="shared" si="24"/>
        <v>1082</v>
      </c>
      <c r="X92" s="330">
        <f t="shared" si="25"/>
        <v>4328</v>
      </c>
      <c r="Y92" s="330">
        <f t="shared" si="26"/>
        <v>2077</v>
      </c>
      <c r="Z92" s="330">
        <f t="shared" si="27"/>
        <v>2164</v>
      </c>
      <c r="AA92" s="330">
        <f t="shared" si="17"/>
        <v>920</v>
      </c>
      <c r="AB92" s="331">
        <f t="shared" si="28"/>
        <v>0</v>
      </c>
      <c r="AC92" s="332">
        <f t="shared" si="29"/>
        <v>720</v>
      </c>
      <c r="AD92" s="330">
        <f t="shared" si="30"/>
        <v>1316</v>
      </c>
      <c r="AE92" s="330">
        <f t="shared" si="31"/>
        <v>1688</v>
      </c>
      <c r="AF92" s="330">
        <f t="shared" si="32"/>
        <v>661</v>
      </c>
      <c r="AG92" s="333"/>
      <c r="AI92" s="34" t="s">
        <v>332</v>
      </c>
      <c r="AJ92" s="34">
        <v>14</v>
      </c>
      <c r="AK92" s="34">
        <v>11</v>
      </c>
      <c r="AL92" s="34">
        <v>0</v>
      </c>
      <c r="AM92" s="34">
        <v>0</v>
      </c>
    </row>
    <row r="93" spans="1:39" ht="69.95" customHeight="1">
      <c r="A93" s="322">
        <f t="shared" si="33"/>
        <v>83</v>
      </c>
      <c r="B93" s="323" t="s">
        <v>333</v>
      </c>
      <c r="C93" s="324" t="s">
        <v>334</v>
      </c>
      <c r="D93" s="325" t="s">
        <v>182</v>
      </c>
      <c r="E93" s="326" t="s">
        <v>358</v>
      </c>
      <c r="F93" s="327" t="s">
        <v>362</v>
      </c>
      <c r="G93" s="328">
        <v>0</v>
      </c>
      <c r="H93" s="328">
        <v>0</v>
      </c>
      <c r="I93" s="328">
        <v>0</v>
      </c>
      <c r="J93" s="328">
        <v>23</v>
      </c>
      <c r="K93" s="329">
        <f t="shared" si="19"/>
        <v>23</v>
      </c>
      <c r="L93" s="329">
        <v>0</v>
      </c>
      <c r="M93" s="329">
        <f t="shared" si="20"/>
        <v>23</v>
      </c>
      <c r="N93" s="328">
        <v>4</v>
      </c>
      <c r="O93" s="329">
        <f t="shared" si="21"/>
        <v>27</v>
      </c>
      <c r="P93" s="328">
        <v>0</v>
      </c>
      <c r="Q93" s="328">
        <v>0</v>
      </c>
      <c r="R93" s="330">
        <v>632</v>
      </c>
      <c r="S93" s="330">
        <v>577</v>
      </c>
      <c r="T93" s="331">
        <f t="shared" si="22"/>
        <v>0</v>
      </c>
      <c r="U93" s="331">
        <f t="shared" si="18"/>
        <v>14536</v>
      </c>
      <c r="V93" s="331">
        <f t="shared" si="23"/>
        <v>727</v>
      </c>
      <c r="W93" s="330">
        <f t="shared" si="24"/>
        <v>1211</v>
      </c>
      <c r="X93" s="330">
        <f t="shared" si="25"/>
        <v>4845</v>
      </c>
      <c r="Y93" s="330">
        <f t="shared" si="26"/>
        <v>2326</v>
      </c>
      <c r="Z93" s="330">
        <f t="shared" si="27"/>
        <v>2528</v>
      </c>
      <c r="AA93" s="330">
        <f t="shared" si="17"/>
        <v>0</v>
      </c>
      <c r="AB93" s="331">
        <f t="shared" si="28"/>
        <v>0</v>
      </c>
      <c r="AC93" s="332">
        <f t="shared" si="29"/>
        <v>690</v>
      </c>
      <c r="AD93" s="330">
        <f t="shared" si="30"/>
        <v>1485</v>
      </c>
      <c r="AE93" s="330">
        <f t="shared" si="31"/>
        <v>1890</v>
      </c>
      <c r="AF93" s="330">
        <f t="shared" si="32"/>
        <v>0</v>
      </c>
      <c r="AG93" s="333"/>
      <c r="AI93" s="34" t="s">
        <v>334</v>
      </c>
      <c r="AJ93" s="34">
        <v>0</v>
      </c>
      <c r="AK93" s="34">
        <v>0</v>
      </c>
      <c r="AL93" s="34">
        <v>0</v>
      </c>
      <c r="AM93" s="34">
        <v>26</v>
      </c>
    </row>
    <row r="94" spans="1:39" ht="69.95" customHeight="1">
      <c r="A94" s="322">
        <f t="shared" si="33"/>
        <v>84</v>
      </c>
      <c r="B94" s="323" t="s">
        <v>335</v>
      </c>
      <c r="C94" s="336" t="s">
        <v>430</v>
      </c>
      <c r="D94" s="335" t="s">
        <v>196</v>
      </c>
      <c r="E94" s="322" t="s">
        <v>144</v>
      </c>
      <c r="F94" s="327" t="s">
        <v>363</v>
      </c>
      <c r="G94" s="328">
        <v>5</v>
      </c>
      <c r="H94" s="328">
        <v>6</v>
      </c>
      <c r="I94" s="328">
        <v>5</v>
      </c>
      <c r="J94" s="328">
        <v>11</v>
      </c>
      <c r="K94" s="329">
        <f t="shared" si="19"/>
        <v>27</v>
      </c>
      <c r="L94" s="329">
        <v>0</v>
      </c>
      <c r="M94" s="329">
        <f t="shared" si="20"/>
        <v>27</v>
      </c>
      <c r="N94" s="328">
        <v>4</v>
      </c>
      <c r="O94" s="329">
        <f t="shared" si="21"/>
        <v>31</v>
      </c>
      <c r="P94" s="328">
        <v>0</v>
      </c>
      <c r="Q94" s="328">
        <v>0</v>
      </c>
      <c r="R94" s="330">
        <v>760</v>
      </c>
      <c r="S94" s="330">
        <v>695</v>
      </c>
      <c r="T94" s="331">
        <f t="shared" si="22"/>
        <v>0</v>
      </c>
      <c r="U94" s="331">
        <f t="shared" si="18"/>
        <v>20520</v>
      </c>
      <c r="V94" s="331">
        <f t="shared" si="23"/>
        <v>956</v>
      </c>
      <c r="W94" s="330">
        <f t="shared" si="24"/>
        <v>1709</v>
      </c>
      <c r="X94" s="330">
        <f t="shared" si="25"/>
        <v>6839</v>
      </c>
      <c r="Y94" s="330">
        <f t="shared" si="26"/>
        <v>3283</v>
      </c>
      <c r="Z94" s="330">
        <f t="shared" si="27"/>
        <v>3040</v>
      </c>
      <c r="AA94" s="330">
        <f t="shared" si="17"/>
        <v>690</v>
      </c>
      <c r="AB94" s="331">
        <f t="shared" si="28"/>
        <v>0</v>
      </c>
      <c r="AC94" s="332">
        <f t="shared" si="29"/>
        <v>810</v>
      </c>
      <c r="AD94" s="330">
        <f t="shared" si="30"/>
        <v>2015</v>
      </c>
      <c r="AE94" s="330">
        <f t="shared" si="31"/>
        <v>1950</v>
      </c>
      <c r="AF94" s="330">
        <f t="shared" si="32"/>
        <v>0</v>
      </c>
      <c r="AG94" s="333"/>
      <c r="AI94" s="34" t="s">
        <v>430</v>
      </c>
      <c r="AJ94" s="34">
        <v>4</v>
      </c>
      <c r="AK94" s="34">
        <v>4</v>
      </c>
      <c r="AL94" s="34">
        <v>4</v>
      </c>
      <c r="AM94" s="34">
        <v>12</v>
      </c>
    </row>
    <row r="95" spans="1:39" ht="69.95" customHeight="1">
      <c r="A95" s="322">
        <f t="shared" si="33"/>
        <v>85</v>
      </c>
      <c r="B95" s="323" t="s">
        <v>336</v>
      </c>
      <c r="C95" s="336" t="s">
        <v>337</v>
      </c>
      <c r="D95" s="335" t="s">
        <v>196</v>
      </c>
      <c r="E95" s="322" t="s">
        <v>357</v>
      </c>
      <c r="F95" s="327" t="s">
        <v>143</v>
      </c>
      <c r="G95" s="328">
        <v>0</v>
      </c>
      <c r="H95" s="328">
        <v>0</v>
      </c>
      <c r="I95" s="328">
        <v>0</v>
      </c>
      <c r="J95" s="328">
        <v>23</v>
      </c>
      <c r="K95" s="329">
        <f t="shared" si="19"/>
        <v>23</v>
      </c>
      <c r="L95" s="329">
        <v>0</v>
      </c>
      <c r="M95" s="329">
        <f t="shared" si="20"/>
        <v>23</v>
      </c>
      <c r="N95" s="328">
        <v>4</v>
      </c>
      <c r="O95" s="329">
        <f t="shared" si="21"/>
        <v>27</v>
      </c>
      <c r="P95" s="328">
        <v>0</v>
      </c>
      <c r="Q95" s="328">
        <v>0</v>
      </c>
      <c r="R95" s="330">
        <v>893</v>
      </c>
      <c r="S95" s="330">
        <v>816</v>
      </c>
      <c r="T95" s="331">
        <f t="shared" si="22"/>
        <v>0</v>
      </c>
      <c r="U95" s="331">
        <f t="shared" si="18"/>
        <v>20539</v>
      </c>
      <c r="V95" s="331">
        <f t="shared" si="23"/>
        <v>1027</v>
      </c>
      <c r="W95" s="330">
        <f t="shared" si="24"/>
        <v>1711</v>
      </c>
      <c r="X95" s="330">
        <f t="shared" si="25"/>
        <v>6846</v>
      </c>
      <c r="Y95" s="330">
        <f t="shared" si="26"/>
        <v>3286</v>
      </c>
      <c r="Z95" s="330">
        <f t="shared" si="27"/>
        <v>3572</v>
      </c>
      <c r="AA95" s="330">
        <f t="shared" si="17"/>
        <v>0</v>
      </c>
      <c r="AB95" s="331">
        <f t="shared" si="28"/>
        <v>0</v>
      </c>
      <c r="AC95" s="332">
        <f t="shared" si="29"/>
        <v>690</v>
      </c>
      <c r="AD95" s="330">
        <f t="shared" si="30"/>
        <v>2079</v>
      </c>
      <c r="AE95" s="330">
        <f t="shared" si="31"/>
        <v>1950</v>
      </c>
      <c r="AF95" s="330">
        <f t="shared" si="32"/>
        <v>0</v>
      </c>
      <c r="AG95" s="333"/>
      <c r="AI95" s="34" t="s">
        <v>337</v>
      </c>
      <c r="AJ95" s="34">
        <v>2</v>
      </c>
      <c r="AK95" s="34">
        <v>0</v>
      </c>
      <c r="AL95" s="34">
        <v>0</v>
      </c>
      <c r="AM95" s="34">
        <v>24</v>
      </c>
    </row>
    <row r="96" spans="1:39" ht="69.95" customHeight="1">
      <c r="A96" s="322">
        <f t="shared" si="33"/>
        <v>86</v>
      </c>
      <c r="B96" s="323" t="s">
        <v>338</v>
      </c>
      <c r="C96" s="324" t="s">
        <v>339</v>
      </c>
      <c r="D96" s="325" t="s">
        <v>182</v>
      </c>
      <c r="E96" s="326" t="s">
        <v>145</v>
      </c>
      <c r="F96" s="327" t="s">
        <v>362</v>
      </c>
      <c r="G96" s="328">
        <v>0</v>
      </c>
      <c r="H96" s="328">
        <v>0</v>
      </c>
      <c r="I96" s="328">
        <v>0</v>
      </c>
      <c r="J96" s="328">
        <v>20</v>
      </c>
      <c r="K96" s="329">
        <f t="shared" si="19"/>
        <v>20</v>
      </c>
      <c r="L96" s="329">
        <v>0</v>
      </c>
      <c r="M96" s="329">
        <f t="shared" si="20"/>
        <v>20</v>
      </c>
      <c r="N96" s="328">
        <v>4</v>
      </c>
      <c r="O96" s="329">
        <f t="shared" si="21"/>
        <v>24</v>
      </c>
      <c r="P96" s="328">
        <v>0</v>
      </c>
      <c r="Q96" s="328">
        <v>0</v>
      </c>
      <c r="R96" s="330">
        <v>632</v>
      </c>
      <c r="S96" s="330">
        <v>577</v>
      </c>
      <c r="T96" s="331">
        <f t="shared" si="22"/>
        <v>0</v>
      </c>
      <c r="U96" s="331">
        <f t="shared" si="18"/>
        <v>12640</v>
      </c>
      <c r="V96" s="331">
        <f t="shared" si="23"/>
        <v>632</v>
      </c>
      <c r="W96" s="330">
        <f t="shared" si="24"/>
        <v>1053</v>
      </c>
      <c r="X96" s="330">
        <f t="shared" si="25"/>
        <v>4213</v>
      </c>
      <c r="Y96" s="330">
        <f t="shared" si="26"/>
        <v>2022</v>
      </c>
      <c r="Z96" s="330">
        <f t="shared" si="27"/>
        <v>2528</v>
      </c>
      <c r="AA96" s="330">
        <f t="shared" si="17"/>
        <v>0</v>
      </c>
      <c r="AB96" s="331">
        <f t="shared" si="28"/>
        <v>0</v>
      </c>
      <c r="AC96" s="332">
        <f t="shared" si="29"/>
        <v>600</v>
      </c>
      <c r="AD96" s="330">
        <f t="shared" si="30"/>
        <v>1320</v>
      </c>
      <c r="AE96" s="330">
        <f t="shared" si="31"/>
        <v>1643</v>
      </c>
      <c r="AF96" s="330">
        <f t="shared" si="32"/>
        <v>0</v>
      </c>
      <c r="AG96" s="333"/>
      <c r="AI96" s="34" t="s">
        <v>339</v>
      </c>
      <c r="AJ96" s="34">
        <v>0</v>
      </c>
      <c r="AK96" s="34">
        <v>0</v>
      </c>
      <c r="AL96" s="34">
        <v>0</v>
      </c>
      <c r="AM96" s="34">
        <v>19</v>
      </c>
    </row>
    <row r="97" spans="1:39" ht="69.95" customHeight="1">
      <c r="A97" s="322">
        <f t="shared" si="33"/>
        <v>87</v>
      </c>
      <c r="B97" s="323" t="s">
        <v>340</v>
      </c>
      <c r="C97" s="324" t="s">
        <v>341</v>
      </c>
      <c r="D97" s="325" t="s">
        <v>182</v>
      </c>
      <c r="E97" s="326" t="s">
        <v>145</v>
      </c>
      <c r="F97" s="327" t="s">
        <v>362</v>
      </c>
      <c r="G97" s="328">
        <v>8</v>
      </c>
      <c r="H97" s="328">
        <v>9</v>
      </c>
      <c r="I97" s="328">
        <v>9</v>
      </c>
      <c r="J97" s="328">
        <v>0</v>
      </c>
      <c r="K97" s="329">
        <f t="shared" si="19"/>
        <v>26</v>
      </c>
      <c r="L97" s="329">
        <v>0</v>
      </c>
      <c r="M97" s="329">
        <f t="shared" si="20"/>
        <v>26</v>
      </c>
      <c r="N97" s="328">
        <v>4</v>
      </c>
      <c r="O97" s="329">
        <f t="shared" si="21"/>
        <v>30</v>
      </c>
      <c r="P97" s="328">
        <v>0</v>
      </c>
      <c r="Q97" s="328">
        <v>0</v>
      </c>
      <c r="R97" s="330">
        <v>632</v>
      </c>
      <c r="S97" s="330">
        <v>577</v>
      </c>
      <c r="T97" s="331">
        <f t="shared" si="22"/>
        <v>0</v>
      </c>
      <c r="U97" s="331">
        <f t="shared" si="18"/>
        <v>16432</v>
      </c>
      <c r="V97" s="331">
        <f t="shared" si="23"/>
        <v>795</v>
      </c>
      <c r="W97" s="330">
        <f t="shared" si="24"/>
        <v>1369</v>
      </c>
      <c r="X97" s="330">
        <f t="shared" si="25"/>
        <v>5477</v>
      </c>
      <c r="Y97" s="330">
        <f t="shared" si="26"/>
        <v>2629</v>
      </c>
      <c r="Z97" s="330">
        <f t="shared" si="27"/>
        <v>2528</v>
      </c>
      <c r="AA97" s="330">
        <f t="shared" si="17"/>
        <v>1130</v>
      </c>
      <c r="AB97" s="331">
        <f t="shared" si="28"/>
        <v>0</v>
      </c>
      <c r="AC97" s="332">
        <f t="shared" si="29"/>
        <v>780</v>
      </c>
      <c r="AD97" s="330">
        <f t="shared" si="30"/>
        <v>1650</v>
      </c>
      <c r="AE97" s="330">
        <f t="shared" si="31"/>
        <v>1950</v>
      </c>
      <c r="AF97" s="330">
        <f t="shared" si="32"/>
        <v>0</v>
      </c>
      <c r="AG97" s="333"/>
      <c r="AI97" s="34" t="s">
        <v>341</v>
      </c>
      <c r="AJ97" s="34">
        <v>9</v>
      </c>
      <c r="AK97" s="34">
        <v>7</v>
      </c>
      <c r="AL97" s="34">
        <v>9</v>
      </c>
      <c r="AM97" s="34">
        <v>0</v>
      </c>
    </row>
    <row r="98" spans="1:39" ht="69.95" customHeight="1">
      <c r="A98" s="322">
        <f t="shared" si="33"/>
        <v>88</v>
      </c>
      <c r="B98" s="323" t="s">
        <v>342</v>
      </c>
      <c r="C98" s="324" t="s">
        <v>343</v>
      </c>
      <c r="D98" s="325" t="s">
        <v>182</v>
      </c>
      <c r="E98" s="326" t="s">
        <v>144</v>
      </c>
      <c r="F98" s="327" t="s">
        <v>363</v>
      </c>
      <c r="G98" s="328">
        <v>0</v>
      </c>
      <c r="H98" s="328">
        <v>0</v>
      </c>
      <c r="I98" s="328">
        <v>0</v>
      </c>
      <c r="J98" s="328">
        <v>23</v>
      </c>
      <c r="K98" s="329">
        <f t="shared" si="19"/>
        <v>23</v>
      </c>
      <c r="L98" s="329">
        <v>0</v>
      </c>
      <c r="M98" s="329">
        <f t="shared" si="20"/>
        <v>23</v>
      </c>
      <c r="N98" s="328">
        <v>4</v>
      </c>
      <c r="O98" s="329">
        <f t="shared" si="21"/>
        <v>27</v>
      </c>
      <c r="P98" s="328">
        <v>0</v>
      </c>
      <c r="Q98" s="328">
        <v>0</v>
      </c>
      <c r="R98" s="330">
        <v>760</v>
      </c>
      <c r="S98" s="330">
        <v>695</v>
      </c>
      <c r="T98" s="331">
        <f t="shared" si="22"/>
        <v>0</v>
      </c>
      <c r="U98" s="331">
        <f t="shared" si="18"/>
        <v>17480</v>
      </c>
      <c r="V98" s="331">
        <f t="shared" si="23"/>
        <v>874</v>
      </c>
      <c r="W98" s="330">
        <f t="shared" si="24"/>
        <v>1456</v>
      </c>
      <c r="X98" s="330">
        <f t="shared" si="25"/>
        <v>5826</v>
      </c>
      <c r="Y98" s="330">
        <f t="shared" si="26"/>
        <v>2797</v>
      </c>
      <c r="Z98" s="330">
        <f t="shared" si="27"/>
        <v>3040</v>
      </c>
      <c r="AA98" s="330">
        <f t="shared" si="17"/>
        <v>0</v>
      </c>
      <c r="AB98" s="331">
        <f t="shared" si="28"/>
        <v>0</v>
      </c>
      <c r="AC98" s="332">
        <f t="shared" si="29"/>
        <v>690</v>
      </c>
      <c r="AD98" s="330">
        <f t="shared" si="30"/>
        <v>1755</v>
      </c>
      <c r="AE98" s="330">
        <f t="shared" si="31"/>
        <v>1950</v>
      </c>
      <c r="AF98" s="330">
        <f t="shared" si="32"/>
        <v>0</v>
      </c>
      <c r="AG98" s="333"/>
      <c r="AI98" s="34" t="s">
        <v>343</v>
      </c>
      <c r="AJ98" s="34">
        <v>0</v>
      </c>
      <c r="AK98" s="34">
        <v>0</v>
      </c>
      <c r="AL98" s="34">
        <v>0</v>
      </c>
      <c r="AM98" s="34">
        <v>25</v>
      </c>
    </row>
    <row r="99" spans="1:39" ht="69.95" customHeight="1">
      <c r="A99" s="322">
        <f t="shared" si="33"/>
        <v>89</v>
      </c>
      <c r="B99" s="323" t="s">
        <v>344</v>
      </c>
      <c r="C99" s="324" t="s">
        <v>345</v>
      </c>
      <c r="D99" s="325" t="s">
        <v>182</v>
      </c>
      <c r="E99" s="326" t="s">
        <v>146</v>
      </c>
      <c r="F99" s="327" t="s">
        <v>361</v>
      </c>
      <c r="G99" s="328">
        <v>8</v>
      </c>
      <c r="H99" s="328">
        <v>7</v>
      </c>
      <c r="I99" s="328">
        <v>10</v>
      </c>
      <c r="J99" s="328">
        <v>0</v>
      </c>
      <c r="K99" s="329">
        <f t="shared" si="19"/>
        <v>25</v>
      </c>
      <c r="L99" s="329">
        <v>0</v>
      </c>
      <c r="M99" s="329">
        <f t="shared" si="20"/>
        <v>25</v>
      </c>
      <c r="N99" s="328">
        <v>4</v>
      </c>
      <c r="O99" s="329">
        <f t="shared" si="21"/>
        <v>29</v>
      </c>
      <c r="P99" s="328">
        <v>0</v>
      </c>
      <c r="Q99" s="328">
        <v>0</v>
      </c>
      <c r="R99" s="330">
        <v>541</v>
      </c>
      <c r="S99" s="330">
        <v>494</v>
      </c>
      <c r="T99" s="331">
        <f t="shared" si="22"/>
        <v>0</v>
      </c>
      <c r="U99" s="331">
        <f t="shared" si="18"/>
        <v>13525</v>
      </c>
      <c r="V99" s="331">
        <f t="shared" si="23"/>
        <v>676</v>
      </c>
      <c r="W99" s="330">
        <f t="shared" si="24"/>
        <v>1127</v>
      </c>
      <c r="X99" s="330">
        <f t="shared" si="25"/>
        <v>4508</v>
      </c>
      <c r="Y99" s="330">
        <f t="shared" si="26"/>
        <v>2164</v>
      </c>
      <c r="Z99" s="330">
        <f t="shared" si="27"/>
        <v>2164</v>
      </c>
      <c r="AA99" s="330">
        <f t="shared" si="17"/>
        <v>1100</v>
      </c>
      <c r="AB99" s="331">
        <f t="shared" si="28"/>
        <v>0</v>
      </c>
      <c r="AC99" s="332">
        <f t="shared" si="29"/>
        <v>750</v>
      </c>
      <c r="AD99" s="330">
        <f t="shared" si="30"/>
        <v>1363</v>
      </c>
      <c r="AE99" s="330">
        <f t="shared" si="31"/>
        <v>1758</v>
      </c>
      <c r="AF99" s="330">
        <f t="shared" si="32"/>
        <v>693</v>
      </c>
      <c r="AG99" s="333"/>
      <c r="AI99" s="34" t="s">
        <v>345</v>
      </c>
      <c r="AJ99" s="34">
        <v>10</v>
      </c>
      <c r="AK99" s="34">
        <v>8</v>
      </c>
      <c r="AL99" s="34">
        <v>8</v>
      </c>
      <c r="AM99" s="34">
        <v>0</v>
      </c>
    </row>
    <row r="100" spans="1:39" ht="69.95" customHeight="1">
      <c r="A100" s="322">
        <f t="shared" si="33"/>
        <v>90</v>
      </c>
      <c r="B100" s="323" t="s">
        <v>346</v>
      </c>
      <c r="C100" s="324" t="s">
        <v>347</v>
      </c>
      <c r="D100" s="335" t="s">
        <v>196</v>
      </c>
      <c r="E100" s="322" t="s">
        <v>146</v>
      </c>
      <c r="F100" s="327" t="s">
        <v>361</v>
      </c>
      <c r="G100" s="328">
        <v>6</v>
      </c>
      <c r="H100" s="328">
        <v>9</v>
      </c>
      <c r="I100" s="328">
        <v>7</v>
      </c>
      <c r="J100" s="328">
        <v>2</v>
      </c>
      <c r="K100" s="329">
        <f t="shared" si="19"/>
        <v>24</v>
      </c>
      <c r="L100" s="329">
        <v>0</v>
      </c>
      <c r="M100" s="329">
        <f t="shared" si="20"/>
        <v>24</v>
      </c>
      <c r="N100" s="328">
        <v>4</v>
      </c>
      <c r="O100" s="329">
        <f t="shared" si="21"/>
        <v>28</v>
      </c>
      <c r="P100" s="328">
        <v>0</v>
      </c>
      <c r="Q100" s="328">
        <v>0</v>
      </c>
      <c r="R100" s="330">
        <v>541</v>
      </c>
      <c r="S100" s="330">
        <v>494</v>
      </c>
      <c r="T100" s="331">
        <f t="shared" si="22"/>
        <v>0</v>
      </c>
      <c r="U100" s="331">
        <f t="shared" si="18"/>
        <v>12984</v>
      </c>
      <c r="V100" s="331">
        <f t="shared" si="23"/>
        <v>649</v>
      </c>
      <c r="W100" s="330">
        <f t="shared" si="24"/>
        <v>1082</v>
      </c>
      <c r="X100" s="330">
        <f t="shared" si="25"/>
        <v>4328</v>
      </c>
      <c r="Y100" s="330">
        <f t="shared" si="26"/>
        <v>2077</v>
      </c>
      <c r="Z100" s="330">
        <f t="shared" si="27"/>
        <v>2164</v>
      </c>
      <c r="AA100" s="330">
        <f t="shared" si="17"/>
        <v>950</v>
      </c>
      <c r="AB100" s="331">
        <f t="shared" si="28"/>
        <v>0</v>
      </c>
      <c r="AC100" s="332">
        <f t="shared" si="29"/>
        <v>720</v>
      </c>
      <c r="AD100" s="330">
        <f t="shared" si="30"/>
        <v>1316</v>
      </c>
      <c r="AE100" s="330">
        <f t="shared" si="31"/>
        <v>1688</v>
      </c>
      <c r="AF100" s="330">
        <f t="shared" si="32"/>
        <v>662</v>
      </c>
      <c r="AG100" s="333"/>
      <c r="AI100" s="34" t="s">
        <v>347</v>
      </c>
      <c r="AJ100" s="34">
        <v>7</v>
      </c>
      <c r="AK100" s="34">
        <v>6</v>
      </c>
      <c r="AL100" s="34">
        <v>10</v>
      </c>
      <c r="AM100" s="34">
        <v>0</v>
      </c>
    </row>
    <row r="101" spans="1:39" ht="69.95" customHeight="1">
      <c r="A101" s="322">
        <f t="shared" si="33"/>
        <v>91</v>
      </c>
      <c r="B101" s="323" t="s">
        <v>348</v>
      </c>
      <c r="C101" s="336" t="s">
        <v>349</v>
      </c>
      <c r="D101" s="335" t="s">
        <v>196</v>
      </c>
      <c r="E101" s="322" t="s">
        <v>146</v>
      </c>
      <c r="F101" s="327" t="s">
        <v>361</v>
      </c>
      <c r="G101" s="328">
        <v>0</v>
      </c>
      <c r="H101" s="328">
        <v>7</v>
      </c>
      <c r="I101" s="328">
        <v>0</v>
      </c>
      <c r="J101" s="328">
        <v>13</v>
      </c>
      <c r="K101" s="329">
        <f t="shared" si="19"/>
        <v>20</v>
      </c>
      <c r="L101" s="329">
        <v>0</v>
      </c>
      <c r="M101" s="329">
        <f t="shared" si="20"/>
        <v>20</v>
      </c>
      <c r="N101" s="328">
        <v>4</v>
      </c>
      <c r="O101" s="329">
        <f t="shared" si="21"/>
        <v>24</v>
      </c>
      <c r="P101" s="328">
        <v>0</v>
      </c>
      <c r="Q101" s="328">
        <v>3</v>
      </c>
      <c r="R101" s="330">
        <v>541</v>
      </c>
      <c r="S101" s="330">
        <v>494</v>
      </c>
      <c r="T101" s="331">
        <f t="shared" si="22"/>
        <v>0</v>
      </c>
      <c r="U101" s="331">
        <f t="shared" si="18"/>
        <v>10820</v>
      </c>
      <c r="V101" s="331">
        <f t="shared" si="23"/>
        <v>541</v>
      </c>
      <c r="W101" s="330">
        <f t="shared" si="24"/>
        <v>901</v>
      </c>
      <c r="X101" s="330">
        <f t="shared" si="25"/>
        <v>3606</v>
      </c>
      <c r="Y101" s="330">
        <f t="shared" si="26"/>
        <v>1731</v>
      </c>
      <c r="Z101" s="330">
        <f t="shared" si="27"/>
        <v>2164</v>
      </c>
      <c r="AA101" s="330">
        <f t="shared" si="17"/>
        <v>280</v>
      </c>
      <c r="AB101" s="331">
        <f t="shared" si="28"/>
        <v>1623</v>
      </c>
      <c r="AC101" s="332">
        <f t="shared" si="29"/>
        <v>600</v>
      </c>
      <c r="AD101" s="330">
        <f t="shared" si="30"/>
        <v>1128</v>
      </c>
      <c r="AE101" s="330">
        <f t="shared" si="31"/>
        <v>1407</v>
      </c>
      <c r="AF101" s="330">
        <f t="shared" si="32"/>
        <v>535</v>
      </c>
      <c r="AG101" s="333"/>
      <c r="AI101" s="34" t="s">
        <v>349</v>
      </c>
      <c r="AJ101" s="34">
        <v>0</v>
      </c>
      <c r="AK101" s="34">
        <v>13</v>
      </c>
      <c r="AL101" s="34">
        <v>0</v>
      </c>
      <c r="AM101" s="34">
        <v>12</v>
      </c>
    </row>
    <row r="102" spans="1:39" ht="69.95" customHeight="1">
      <c r="A102" s="322">
        <f t="shared" si="33"/>
        <v>92</v>
      </c>
      <c r="B102" s="323" t="s">
        <v>350</v>
      </c>
      <c r="C102" s="340" t="s">
        <v>351</v>
      </c>
      <c r="D102" s="335" t="s">
        <v>182</v>
      </c>
      <c r="E102" s="322" t="s">
        <v>359</v>
      </c>
      <c r="F102" s="327" t="s">
        <v>362</v>
      </c>
      <c r="G102" s="328">
        <v>0</v>
      </c>
      <c r="H102" s="328">
        <v>0</v>
      </c>
      <c r="I102" s="328">
        <v>0</v>
      </c>
      <c r="J102" s="328">
        <v>10</v>
      </c>
      <c r="K102" s="329">
        <f>SUM(G102:J102)</f>
        <v>10</v>
      </c>
      <c r="L102" s="329">
        <v>0</v>
      </c>
      <c r="M102" s="329">
        <f t="shared" si="20"/>
        <v>10</v>
      </c>
      <c r="N102" s="328">
        <v>4</v>
      </c>
      <c r="O102" s="329">
        <f t="shared" si="21"/>
        <v>14</v>
      </c>
      <c r="P102" s="328">
        <v>0</v>
      </c>
      <c r="Q102" s="328">
        <v>0</v>
      </c>
      <c r="R102" s="330">
        <v>632</v>
      </c>
      <c r="S102" s="330">
        <v>577</v>
      </c>
      <c r="T102" s="331">
        <f t="shared" si="22"/>
        <v>0</v>
      </c>
      <c r="U102" s="331">
        <f t="shared" si="18"/>
        <v>6320</v>
      </c>
      <c r="V102" s="331">
        <f t="shared" si="23"/>
        <v>0</v>
      </c>
      <c r="W102" s="330">
        <f t="shared" si="24"/>
        <v>526</v>
      </c>
      <c r="X102" s="330">
        <f t="shared" si="25"/>
        <v>2106</v>
      </c>
      <c r="Y102" s="330">
        <f t="shared" si="26"/>
        <v>1011</v>
      </c>
      <c r="Z102" s="330">
        <f t="shared" si="27"/>
        <v>2528</v>
      </c>
      <c r="AA102" s="330">
        <f t="shared" si="17"/>
        <v>0</v>
      </c>
      <c r="AB102" s="331">
        <f t="shared" si="28"/>
        <v>0</v>
      </c>
      <c r="AC102" s="332">
        <f t="shared" si="29"/>
        <v>300</v>
      </c>
      <c r="AD102" s="330">
        <f t="shared" si="30"/>
        <v>770</v>
      </c>
      <c r="AE102" s="330">
        <f t="shared" si="31"/>
        <v>822</v>
      </c>
      <c r="AF102" s="330">
        <f t="shared" si="32"/>
        <v>0</v>
      </c>
      <c r="AG102" s="333"/>
      <c r="AI102" s="34" t="s">
        <v>351</v>
      </c>
      <c r="AJ102" s="34">
        <v>0</v>
      </c>
      <c r="AK102" s="34">
        <v>0</v>
      </c>
      <c r="AL102" s="34">
        <v>0</v>
      </c>
      <c r="AM102" s="34">
        <v>26</v>
      </c>
    </row>
    <row r="103" spans="1:39" ht="69.95" customHeight="1">
      <c r="A103" s="322">
        <f t="shared" si="33"/>
        <v>93</v>
      </c>
      <c r="B103" s="323" t="s">
        <v>352</v>
      </c>
      <c r="C103" s="340" t="s">
        <v>353</v>
      </c>
      <c r="D103" s="335" t="s">
        <v>182</v>
      </c>
      <c r="E103" s="322" t="s">
        <v>357</v>
      </c>
      <c r="F103" s="327" t="s">
        <v>143</v>
      </c>
      <c r="G103" s="328">
        <v>10</v>
      </c>
      <c r="H103" s="328">
        <v>16</v>
      </c>
      <c r="I103" s="328">
        <v>0</v>
      </c>
      <c r="J103" s="328">
        <v>0</v>
      </c>
      <c r="K103" s="329">
        <f>SUM(G103:J103)</f>
        <v>26</v>
      </c>
      <c r="L103" s="329">
        <v>0</v>
      </c>
      <c r="M103" s="329">
        <f t="shared" si="20"/>
        <v>26</v>
      </c>
      <c r="N103" s="328">
        <v>4</v>
      </c>
      <c r="O103" s="329">
        <f>SUM(M103+N103)</f>
        <v>30</v>
      </c>
      <c r="P103" s="328">
        <v>0</v>
      </c>
      <c r="Q103" s="328">
        <v>0</v>
      </c>
      <c r="R103" s="330">
        <v>893</v>
      </c>
      <c r="S103" s="330">
        <v>816</v>
      </c>
      <c r="T103" s="331">
        <f>ROUND((R103/8*2)*P103,0)</f>
        <v>0</v>
      </c>
      <c r="U103" s="331">
        <f>ROUND(R103*(K103+L103),0)</f>
        <v>23218</v>
      </c>
      <c r="V103" s="331">
        <f t="shared" si="23"/>
        <v>1123</v>
      </c>
      <c r="W103" s="330">
        <f t="shared" si="24"/>
        <v>1934</v>
      </c>
      <c r="X103" s="330">
        <f t="shared" si="25"/>
        <v>7739</v>
      </c>
      <c r="Y103" s="330">
        <f t="shared" si="26"/>
        <v>3715</v>
      </c>
      <c r="Z103" s="330">
        <f t="shared" si="27"/>
        <v>3572</v>
      </c>
      <c r="AA103" s="330">
        <f t="shared" si="17"/>
        <v>1040</v>
      </c>
      <c r="AB103" s="331">
        <f t="shared" si="28"/>
        <v>0</v>
      </c>
      <c r="AC103" s="332">
        <f t="shared" si="29"/>
        <v>780</v>
      </c>
      <c r="AD103" s="330">
        <f>ROUND(((R103-S103)*O103)+(T103-((S103/8)*2)*P103),0)</f>
        <v>2310</v>
      </c>
      <c r="AE103" s="330">
        <f t="shared" si="31"/>
        <v>1950</v>
      </c>
      <c r="AF103" s="330">
        <f t="shared" si="32"/>
        <v>0</v>
      </c>
      <c r="AG103" s="333"/>
      <c r="AI103" s="34" t="s">
        <v>353</v>
      </c>
      <c r="AJ103" s="34">
        <v>12</v>
      </c>
      <c r="AK103" s="34">
        <v>13</v>
      </c>
      <c r="AL103" s="34">
        <v>0</v>
      </c>
      <c r="AM103" s="34">
        <v>0</v>
      </c>
    </row>
    <row r="104" spans="1:33" ht="69.95" customHeight="1">
      <c r="A104" s="341"/>
      <c r="B104" s="341"/>
      <c r="C104" s="342"/>
      <c r="D104" s="343"/>
      <c r="E104" s="343"/>
      <c r="F104" s="344"/>
      <c r="G104" s="345">
        <f>SUM(G11:G103)</f>
        <v>505</v>
      </c>
      <c r="H104" s="345">
        <f>SUM(H11:H103)</f>
        <v>584</v>
      </c>
      <c r="I104" s="345">
        <f>SUM(I11:I103)</f>
        <v>439</v>
      </c>
      <c r="J104" s="345">
        <f>SUM(J11:J103)</f>
        <v>554</v>
      </c>
      <c r="K104" s="345">
        <f>SUM(K11:K103)</f>
        <v>2082</v>
      </c>
      <c r="L104" s="345">
        <f t="shared" si="34" ref="L104:AF104">SUM(L11:L103)</f>
        <v>0</v>
      </c>
      <c r="M104" s="345">
        <f t="shared" si="34"/>
        <v>2082</v>
      </c>
      <c r="N104" s="345">
        <f t="shared" si="34"/>
        <v>368</v>
      </c>
      <c r="O104" s="345">
        <f t="shared" si="34"/>
        <v>2450</v>
      </c>
      <c r="P104" s="345">
        <f t="shared" si="34"/>
        <v>80</v>
      </c>
      <c r="Q104" s="345">
        <f t="shared" si="34"/>
        <v>16</v>
      </c>
      <c r="R104" s="345">
        <f>SUM(R11:R103)</f>
        <v>58603</v>
      </c>
      <c r="S104" s="345">
        <f t="shared" si="34"/>
        <v>54106</v>
      </c>
      <c r="T104" s="345">
        <f t="shared" si="34"/>
        <v>14911</v>
      </c>
      <c r="U104" s="345">
        <f>SUM(U11:U103)</f>
        <v>1329973</v>
      </c>
      <c r="V104" s="345">
        <f t="shared" si="34"/>
        <v>57180</v>
      </c>
      <c r="W104" s="345">
        <f t="shared" si="34"/>
        <v>110792</v>
      </c>
      <c r="X104" s="345">
        <f t="shared" si="34"/>
        <v>443280</v>
      </c>
      <c r="Y104" s="345">
        <f t="shared" si="34"/>
        <v>212796</v>
      </c>
      <c r="Z104" s="345">
        <f t="shared" si="34"/>
        <v>234412</v>
      </c>
      <c r="AA104" s="345">
        <f t="shared" si="34"/>
        <v>65510</v>
      </c>
      <c r="AB104" s="345">
        <f t="shared" si="34"/>
        <v>9938</v>
      </c>
      <c r="AC104" s="345">
        <f t="shared" si="34"/>
        <v>62460</v>
      </c>
      <c r="AD104" s="345">
        <f>SUM(AD11:AD103)</f>
        <v>136727</v>
      </c>
      <c r="AE104" s="345">
        <f t="shared" si="34"/>
        <v>157308</v>
      </c>
      <c r="AF104" s="345">
        <f t="shared" si="34"/>
        <v>23271</v>
      </c>
      <c r="AG104" s="346">
        <f>SUM(V104:AF104)</f>
        <v>1513674</v>
      </c>
    </row>
    <row r="105" ht="35.1" customHeight="1"/>
    <row r="106" spans="33:33" ht="12.75">
      <c r="AG106" s="238">
        <f>1356818-AG104</f>
        <v>-156856</v>
      </c>
    </row>
  </sheetData>
  <sheetProtection/>
  <mergeCells count="44">
    <mergeCell ref="A4:F4"/>
    <mergeCell ref="G4:AG4"/>
    <mergeCell ref="A1:AG1"/>
    <mergeCell ref="A2:AG2"/>
    <mergeCell ref="A3:F3"/>
    <mergeCell ref="R3:T3"/>
    <mergeCell ref="U3:AG3"/>
    <mergeCell ref="G3:Q3"/>
    <mergeCell ref="E9:E10"/>
    <mergeCell ref="S9:S10"/>
    <mergeCell ref="A5:F5"/>
    <mergeCell ref="R5:T5"/>
    <mergeCell ref="A6:F6"/>
    <mergeCell ref="R6:T6"/>
    <mergeCell ref="F9:F10"/>
    <mergeCell ref="G9:G10"/>
    <mergeCell ref="R9:R10"/>
    <mergeCell ref="H9:H10"/>
    <mergeCell ref="U5:AG5"/>
    <mergeCell ref="R7:T7"/>
    <mergeCell ref="U6:AG6"/>
    <mergeCell ref="M9:M10"/>
    <mergeCell ref="A7:F7"/>
    <mergeCell ref="A8:AG8"/>
    <mergeCell ref="A9:A10"/>
    <mergeCell ref="B9:B10"/>
    <mergeCell ref="C9:C10"/>
    <mergeCell ref="D9:D10"/>
    <mergeCell ref="K9:K10"/>
    <mergeCell ref="L9:L10"/>
    <mergeCell ref="O9:O10"/>
    <mergeCell ref="G5:Q5"/>
    <mergeCell ref="G6:Q6"/>
    <mergeCell ref="G7:Q7"/>
    <mergeCell ref="I9:I10"/>
    <mergeCell ref="J9:J10"/>
    <mergeCell ref="V9:AF9"/>
    <mergeCell ref="AG9:AG10"/>
    <mergeCell ref="N9:N10"/>
    <mergeCell ref="U7:AG7"/>
    <mergeCell ref="P9:P10"/>
    <mergeCell ref="T9:T10"/>
    <mergeCell ref="U9:U10"/>
    <mergeCell ref="Q9:Q10"/>
  </mergeCells>
  <printOptions horizontalCentered="1"/>
  <pageMargins left="0.25" right="0.25" top="0.43" bottom="0.75" header="0.3" footer="0.3"/>
  <pageSetup fitToHeight="0" orientation="landscape" paperSize="1" scale="16" r:id="rId3"/>
  <rowBreaks count="1" manualBreakCount="1">
    <brk id="48" max="32" man="1"/>
  </rowBreaks>
  <colBreaks count="1" manualBreakCount="1">
    <brk id="31" max="103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E14469D0-23EA-4DDE-B6AA-9FDD95BBB9AB}">
  <sheetPr codeName="Sheet6">
    <pageSetUpPr fitToPage="1"/>
  </sheetPr>
  <dimension ref="A1:N43"/>
  <sheetViews>
    <sheetView view="pageBreakPreview" zoomScale="72" zoomScaleNormal="48" zoomScaleSheetLayoutView="72" workbookViewId="0" topLeftCell="A15">
      <selection pane="topLeft" activeCell="C39" sqref="C39"/>
    </sheetView>
  </sheetViews>
  <sheetFormatPr defaultColWidth="8.57366071428571" defaultRowHeight="12.75"/>
  <cols>
    <col min="1" max="1" width="23.4285714285714" style="34" customWidth="1"/>
    <col min="2" max="14" width="14.5714285714286" style="34" customWidth="1"/>
    <col min="15" max="16384" width="8.57142857142857" style="34"/>
  </cols>
  <sheetData>
    <row r="1" spans="1:14" ht="15.75">
      <c r="A1" s="600" t="s">
        <v>439</v>
      </c>
      <c r="B1" s="601"/>
      <c r="C1" s="601"/>
      <c r="D1" s="601"/>
      <c r="E1" s="601"/>
      <c r="F1" s="601"/>
      <c r="G1" s="601"/>
      <c r="H1" s="601"/>
      <c r="I1" s="601"/>
      <c r="J1" s="601"/>
      <c r="K1" s="601"/>
      <c r="L1" s="601"/>
      <c r="M1" s="601"/>
      <c r="N1" s="601"/>
    </row>
    <row r="2" spans="1:14" ht="15.75">
      <c r="A2" s="605" t="str">
        <f>"PERIOD FOR "&amp;'Working Sheet'!C7</f>
        <v>PERIOD FOR OCTOBER-2025</v>
      </c>
      <c r="B2" s="605"/>
      <c r="C2" s="605"/>
      <c r="D2" s="605"/>
      <c r="E2" s="605"/>
      <c r="F2" s="605"/>
      <c r="G2" s="605"/>
      <c r="H2" s="605"/>
      <c r="I2" s="605"/>
      <c r="J2" s="605"/>
      <c r="K2" s="605"/>
      <c r="L2" s="605"/>
      <c r="M2" s="605"/>
      <c r="N2" s="605"/>
    </row>
    <row r="3" spans="1:14" ht="15.75">
      <c r="A3" s="73" t="s">
        <v>105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</row>
    <row r="4" spans="1:14" ht="15.75">
      <c r="A4" s="73" t="s">
        <v>130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</row>
    <row r="5" spans="1:14" ht="15.75">
      <c r="A5" s="73" t="s">
        <v>118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</row>
    <row r="7" spans="1:14" ht="48.95" customHeight="1">
      <c r="A7" s="597" t="s">
        <v>161</v>
      </c>
      <c r="B7" s="594" t="s">
        <v>159</v>
      </c>
      <c r="C7" s="595"/>
      <c r="D7" s="595"/>
      <c r="E7" s="596"/>
      <c r="F7" s="594" t="s">
        <v>157</v>
      </c>
      <c r="G7" s="595"/>
      <c r="H7" s="595"/>
      <c r="I7" s="596"/>
      <c r="J7" s="594" t="s">
        <v>158</v>
      </c>
      <c r="K7" s="595"/>
      <c r="L7" s="595"/>
      <c r="M7" s="596"/>
      <c r="N7" s="597" t="s">
        <v>160</v>
      </c>
    </row>
    <row r="8" spans="1:14" ht="27.95" customHeight="1">
      <c r="A8" s="598"/>
      <c r="B8" s="594" t="s">
        <v>137</v>
      </c>
      <c r="C8" s="595"/>
      <c r="D8" s="596"/>
      <c r="E8" s="592" t="s">
        <v>440</v>
      </c>
      <c r="F8" s="594" t="s">
        <v>137</v>
      </c>
      <c r="G8" s="595"/>
      <c r="H8" s="596"/>
      <c r="I8" s="592" t="s">
        <v>440</v>
      </c>
      <c r="J8" s="594" t="s">
        <v>137</v>
      </c>
      <c r="K8" s="595"/>
      <c r="L8" s="596"/>
      <c r="M8" s="592" t="s">
        <v>440</v>
      </c>
      <c r="N8" s="598"/>
    </row>
    <row r="9" spans="1:14" ht="24.6" customHeight="1">
      <c r="A9" s="599"/>
      <c r="B9" s="74" t="s">
        <v>138</v>
      </c>
      <c r="C9" s="75" t="s">
        <v>139</v>
      </c>
      <c r="D9" s="75" t="s">
        <v>140</v>
      </c>
      <c r="E9" s="593"/>
      <c r="F9" s="75" t="s">
        <v>138</v>
      </c>
      <c r="G9" s="75" t="s">
        <v>139</v>
      </c>
      <c r="H9" s="75" t="s">
        <v>140</v>
      </c>
      <c r="I9" s="593"/>
      <c r="J9" s="75" t="s">
        <v>138</v>
      </c>
      <c r="K9" s="75" t="s">
        <v>139</v>
      </c>
      <c r="L9" s="75" t="s">
        <v>140</v>
      </c>
      <c r="M9" s="593"/>
      <c r="N9" s="599"/>
    </row>
    <row r="10" spans="1:14" ht="15.75">
      <c r="A10" s="76">
        <f>MB_PTD!D2</f>
        <v>45931</v>
      </c>
      <c r="B10" s="77">
        <f>HLOOKUP(A10,MB_PTD!$D$2:$AG$9,8,0)</f>
        <v>1</v>
      </c>
      <c r="C10" s="77">
        <f>HLOOKUP(A10,MB_PTD!$D$2:$AG$16,15,0)</f>
        <v>0.41499999999999998</v>
      </c>
      <c r="D10" s="77">
        <f>HLOOKUP(A10,MB_PTD!$D$2:$AG$23,22,0)</f>
        <v>1</v>
      </c>
      <c r="E10" s="77">
        <f>HLOOKUP(A10,MB_PTD!$D$2:$AG$30,29,0)</f>
        <v>0</v>
      </c>
      <c r="F10" s="77">
        <f>HLOOKUP(A10,MB_PPU!$D$2:$AG$9,8,0)</f>
        <v>0.53400000000000003</v>
      </c>
      <c r="G10" s="77">
        <f>HLOOKUP(A10,MB_PPU!$D$2:$AG$16,15,0)</f>
        <v>0.67000000000000004</v>
      </c>
      <c r="H10" s="77">
        <f>HLOOKUP(A10,MB_PPU!$D$2:$AG$23,22,0)</f>
        <v>0.55300000000000005</v>
      </c>
      <c r="I10" s="77">
        <f>HLOOKUP(A10,MB_PPU!$D$2:$AG$30,29,0)</f>
        <v>0</v>
      </c>
      <c r="J10" s="77">
        <f>HLOOKUP(A10,MB_LLDPE!$D$2:$AG$9,8,0)</f>
        <v>1.0369999999999999</v>
      </c>
      <c r="K10" s="77">
        <f>HLOOKUP(A10,MB_LLDPE!$D$2:$AG$16,15,0)</f>
        <v>0.36799999999999999</v>
      </c>
      <c r="L10" s="77">
        <f>HLOOKUP(A10,MB_LLDPE!$D$2:$AG$23,22,0)</f>
        <v>0.82199999999999995</v>
      </c>
      <c r="M10" s="77">
        <f>HLOOKUP(A10,MB_LLDPE!$D$2:$AG$30,29,0)</f>
        <v>0</v>
      </c>
      <c r="N10" s="77">
        <f>HLOOKUP(A10,MB_LLDPE!$D$2:$AG$37,36,0)</f>
        <v>0</v>
      </c>
    </row>
    <row r="11" spans="1:14" ht="15.75">
      <c r="A11" s="76">
        <f>MB_PTD!E2</f>
        <v>45932</v>
      </c>
      <c r="B11" s="77">
        <f>HLOOKUP(A11,MB_PTD!$D$2:$AG$9,8,0)</f>
        <v>1</v>
      </c>
      <c r="C11" s="77">
        <f>HLOOKUP(A11,MB_PTD!$D$2:$AG$16,15,0)</f>
        <v>1</v>
      </c>
      <c r="D11" s="77">
        <f>HLOOKUP(A11,MB_PTD!$D$2:$AG$23,22,0)</f>
        <v>1</v>
      </c>
      <c r="E11" s="77">
        <f>HLOOKUP(A11,MB_PTD!$D$2:$AG$30,29,0)</f>
        <v>0</v>
      </c>
      <c r="F11" s="77">
        <f>HLOOKUP(A11,MB_PPU!$D$2:$AG$9,8,0)</f>
        <v>0.67000000000000004</v>
      </c>
      <c r="G11" s="77">
        <f>HLOOKUP(A11,MB_PPU!$D$2:$AG$16,15,0)</f>
        <v>0.88200000000000001</v>
      </c>
      <c r="H11" s="77">
        <f>HLOOKUP(A11,MB_PPU!$D$2:$AG$23,22,0)</f>
        <v>0.41700000000000004</v>
      </c>
      <c r="I11" s="77">
        <f>HLOOKUP(A11,MB_PPU!$D$2:$AG$30,29,0)</f>
        <v>0</v>
      </c>
      <c r="J11" s="77">
        <f>HLOOKUP(A11,MB_LLDPE!$D$2:$AG$9,8,0)</f>
        <v>0.73599999999999999</v>
      </c>
      <c r="K11" s="77">
        <f>HLOOKUP(A11,MB_LLDPE!$D$2:$AG$16,15,0)</f>
        <v>0.7609999999999999</v>
      </c>
      <c r="L11" s="77">
        <f>HLOOKUP(A11,MB_LLDPE!$D$2:$AG$23,22,0)</f>
        <v>0.83099999999999996</v>
      </c>
      <c r="M11" s="77">
        <f>HLOOKUP(A11,MB_LLDPE!$D$2:$AG$30,29,0)</f>
        <v>0</v>
      </c>
      <c r="N11" s="77">
        <f>HLOOKUP(A11,MB_LLDPE!$D$2:$AG$37,36,0)</f>
        <v>0</v>
      </c>
    </row>
    <row r="12" spans="1:14" ht="15.75">
      <c r="A12" s="76">
        <f>MB_PTD!F2</f>
        <v>45933</v>
      </c>
      <c r="B12" s="77">
        <f>HLOOKUP(A12,MB_PTD!$D$2:$AG$9,8,0)</f>
        <v>0.41499999999999998</v>
      </c>
      <c r="C12" s="77">
        <f>HLOOKUP(A12,MB_PTD!$D$2:$AG$16,15,0)</f>
        <v>1</v>
      </c>
      <c r="D12" s="77">
        <f>HLOOKUP(A12,MB_PTD!$D$2:$AG$23,22,0)</f>
        <v>1</v>
      </c>
      <c r="E12" s="77">
        <f>HLOOKUP(A12,MB_PTD!$D$2:$AG$30,29,0)</f>
        <v>1.4139999999999999</v>
      </c>
      <c r="F12" s="77">
        <f>HLOOKUP(A12,MB_PPU!$D$2:$AG$9,8,0)</f>
        <v>0.67000000000000004</v>
      </c>
      <c r="G12" s="77">
        <f>HLOOKUP(A12,MB_PPU!$D$2:$AG$16,15,0)</f>
        <v>0.78700000000000014</v>
      </c>
      <c r="H12" s="77">
        <f>HLOOKUP(A12,MB_PPU!$D$2:$AG$23,22,0)</f>
        <v>0.67000000000000004</v>
      </c>
      <c r="I12" s="77">
        <f>HLOOKUP(A12,MB_PPU!$D$2:$AG$30,29,0)</f>
        <v>0.93100000000000005</v>
      </c>
      <c r="J12" s="77">
        <f>HLOOKUP(A12,MB_LLDPE!$D$2:$AG$9,8,0)</f>
        <v>1.3100000000000001</v>
      </c>
      <c r="K12" s="77">
        <f>HLOOKUP(A12,MB_LLDPE!$D$2:$AG$16,15,0)</f>
        <v>1.232</v>
      </c>
      <c r="L12" s="77">
        <f>HLOOKUP(A12,MB_LLDPE!$D$2:$AG$23,22,0)</f>
        <v>0.58299999999999996</v>
      </c>
      <c r="M12" s="77">
        <f>HLOOKUP(A12,MB_LLDPE!$D$2:$AG$30,29,0)</f>
        <v>0.085999999999999993</v>
      </c>
      <c r="N12" s="77">
        <f>HLOOKUP(A12,MB_LLDPE!$D$2:$AG$37,36,0)</f>
        <v>0.755</v>
      </c>
    </row>
    <row r="13" spans="1:14" ht="15.75">
      <c r="A13" s="76">
        <f>MB_PTD!G2</f>
        <v>45934</v>
      </c>
      <c r="B13" s="77">
        <f>HLOOKUP(A13,MB_PTD!$D$2:$AG$9,8,0)</f>
        <v>1</v>
      </c>
      <c r="C13" s="77">
        <f>HLOOKUP(A13,MB_PTD!$D$2:$AG$16,15,0)</f>
        <v>1</v>
      </c>
      <c r="D13" s="77">
        <f>HLOOKUP(A13,MB_PTD!$D$2:$AG$23,22,0)</f>
        <v>1</v>
      </c>
      <c r="E13" s="77">
        <f>HLOOKUP(A13,MB_PTD!$D$2:$AG$30,29,0)</f>
        <v>1.7079999999999997</v>
      </c>
      <c r="F13" s="77">
        <f>HLOOKUP(A13,MB_PPU!$D$2:$AG$9,8,0)</f>
        <v>0.55300000000000005</v>
      </c>
      <c r="G13" s="77">
        <f>HLOOKUP(A13,MB_PPU!$D$2:$AG$16,15,0)</f>
        <v>1.1160000000000001</v>
      </c>
      <c r="H13" s="77">
        <f>HLOOKUP(A13,MB_PPU!$D$2:$AG$23,22,0)</f>
        <v>0.67000000000000004</v>
      </c>
      <c r="I13" s="77">
        <f>HLOOKUP(A13,MB_PPU!$D$2:$AG$30,29,0)</f>
        <v>0.85200000000000009</v>
      </c>
      <c r="J13" s="77">
        <f>HLOOKUP(A13,MB_LLDPE!$D$2:$AG$9,8,0)</f>
        <v>0.81400000000000006</v>
      </c>
      <c r="K13" s="77">
        <f>HLOOKUP(A13,MB_LLDPE!$D$2:$AG$16,15,0)</f>
        <v>1.4550000000000001</v>
      </c>
      <c r="L13" s="77">
        <f>HLOOKUP(A13,MB_LLDPE!$D$2:$AG$23,22,0)</f>
        <v>0.78899999999999992</v>
      </c>
      <c r="M13" s="77">
        <f>HLOOKUP(A13,MB_LLDPE!$D$2:$AG$30,29,0)</f>
        <v>0.22700000000000001</v>
      </c>
      <c r="N13" s="77">
        <f>HLOOKUP(A13,MB_LLDPE!$D$2:$AG$37,36,0)</f>
        <v>0.86899999999999999</v>
      </c>
    </row>
    <row r="14" spans="1:14" ht="15.75">
      <c r="A14" s="76">
        <f>MB_PTD!H2</f>
        <v>45935</v>
      </c>
      <c r="B14" s="77">
        <f>HLOOKUP(A14,MB_PTD!$D$2:$AG$9,8,0)</f>
        <v>1</v>
      </c>
      <c r="C14" s="77">
        <f>HLOOKUP(A14,MB_PTD!$D$2:$AG$16,15,0)</f>
        <v>1</v>
      </c>
      <c r="D14" s="77">
        <f>HLOOKUP(A14,MB_PTD!$D$2:$AG$23,22,0)</f>
        <v>1</v>
      </c>
      <c r="E14" s="77">
        <f>HLOOKUP(A14,MB_PTD!$D$2:$AG$30,29,0)</f>
        <v>0</v>
      </c>
      <c r="F14" s="77">
        <f>HLOOKUP(A14,MB_PPU!$D$2:$AG$9,8,0)</f>
        <v>0.67000000000000004</v>
      </c>
      <c r="G14" s="77">
        <f>HLOOKUP(A14,MB_PPU!$D$2:$AG$16,15,0)</f>
        <v>0.67000000000000004</v>
      </c>
      <c r="H14" s="77">
        <f>HLOOKUP(A14,MB_PPU!$D$2:$AG$23,22,0)</f>
        <v>0.80600000000000005</v>
      </c>
      <c r="I14" s="77">
        <f>HLOOKUP(A14,MB_PPU!$D$2:$AG$30,29,0)</f>
        <v>0.30099999999999999</v>
      </c>
      <c r="J14" s="77">
        <f>HLOOKUP(A14,MB_LLDPE!$D$2:$AG$9,8,0)</f>
        <v>1.335</v>
      </c>
      <c r="K14" s="77">
        <f>HLOOKUP(A14,MB_LLDPE!$D$2:$AG$16,15,0)</f>
        <v>1.274</v>
      </c>
      <c r="L14" s="77">
        <f>HLOOKUP(A14,MB_LLDPE!$D$2:$AG$23,22,0)</f>
        <v>0.93399999999999994</v>
      </c>
      <c r="M14" s="77">
        <f>HLOOKUP(A14,MB_LLDPE!$D$2:$AG$30,29,0)</f>
        <v>0</v>
      </c>
      <c r="N14" s="77">
        <f>HLOOKUP(A14,MB_LLDPE!$D$2:$AG$37,36,0)</f>
        <v>0</v>
      </c>
    </row>
    <row r="15" spans="1:14" ht="15.75">
      <c r="A15" s="76">
        <f>MB_PTD!I2</f>
        <v>45936</v>
      </c>
      <c r="B15" s="77">
        <f>HLOOKUP(A15,MB_PTD!$D$2:$AG$9,8,0)</f>
        <v>1</v>
      </c>
      <c r="C15" s="77">
        <f>HLOOKUP(A15,MB_PTD!$D$2:$AG$16,15,0)</f>
        <v>1</v>
      </c>
      <c r="D15" s="77">
        <f>HLOOKUP(A15,MB_PTD!$D$2:$AG$23,22,0)</f>
        <v>1</v>
      </c>
      <c r="E15" s="77">
        <f>HLOOKUP(A15,MB_PTD!$D$2:$AG$30,29,0)</f>
        <v>1.4139999999999999</v>
      </c>
      <c r="F15" s="77">
        <f>HLOOKUP(A15,MB_PPU!$D$2:$AG$9,8,0)</f>
        <v>0.67000000000000004</v>
      </c>
      <c r="G15" s="77">
        <f>HLOOKUP(A15,MB_PPU!$D$2:$AG$16,15,0)</f>
        <v>1.1160000000000001</v>
      </c>
      <c r="H15" s="77">
        <f>HLOOKUP(A15,MB_PPU!$D$2:$AG$23,22,0)</f>
        <v>0.67000000000000004</v>
      </c>
      <c r="I15" s="77">
        <f>HLOOKUP(A15,MB_PPU!$D$2:$AG$30,29,0)</f>
        <v>1.121</v>
      </c>
      <c r="J15" s="77">
        <f>HLOOKUP(A15,MB_LLDPE!$D$2:$AG$9,8,0)</f>
        <v>1.4550000000000001</v>
      </c>
      <c r="K15" s="77">
        <f>HLOOKUP(A15,MB_LLDPE!$D$2:$AG$16,15,0)</f>
        <v>1.129</v>
      </c>
      <c r="L15" s="77">
        <f>HLOOKUP(A15,MB_LLDPE!$D$2:$AG$23,22,0)</f>
        <v>0.60799999999999998</v>
      </c>
      <c r="M15" s="77">
        <f>HLOOKUP(A15,MB_LLDPE!$D$2:$AG$30,29,0)</f>
        <v>0.26400000000000001</v>
      </c>
      <c r="N15" s="77">
        <f>HLOOKUP(A15,MB_LLDPE!$D$2:$AG$37,36,0)</f>
        <v>0.70899999999999996</v>
      </c>
    </row>
    <row r="16" spans="1:14" ht="15.75">
      <c r="A16" s="76">
        <f>MB_PTD!J2</f>
        <v>45937</v>
      </c>
      <c r="B16" s="77">
        <f>HLOOKUP(A16,MB_PTD!$D$2:$AG$9,8,0)</f>
        <v>1</v>
      </c>
      <c r="C16" s="77">
        <f>HLOOKUP(A16,MB_PTD!$D$2:$AG$16,15,0)</f>
        <v>1</v>
      </c>
      <c r="D16" s="77">
        <f>HLOOKUP(A16,MB_PTD!$D$2:$AG$23,22,0)</f>
        <v>1</v>
      </c>
      <c r="E16" s="77">
        <f>HLOOKUP(A16,MB_PTD!$D$2:$AG$30,29,0)</f>
        <v>1.7079999999999997</v>
      </c>
      <c r="F16" s="77">
        <f>HLOOKUP(A16,MB_PPU!$D$2:$AG$9,8,0)</f>
        <v>0.67000000000000004</v>
      </c>
      <c r="G16" s="77">
        <f>HLOOKUP(A16,MB_PPU!$D$2:$AG$16,15,0)</f>
        <v>0.999</v>
      </c>
      <c r="H16" s="77">
        <f>HLOOKUP(A16,MB_PPU!$D$2:$AG$23,22,0)</f>
        <v>0.67000000000000004</v>
      </c>
      <c r="I16" s="77">
        <f>HLOOKUP(A16,MB_PPU!$D$2:$AG$30,29,0)</f>
        <v>0.76000000000000001</v>
      </c>
      <c r="J16" s="77">
        <f>HLOOKUP(A16,MB_LLDPE!$D$2:$AG$9,8,0)</f>
        <v>1.1819999999999999</v>
      </c>
      <c r="K16" s="77">
        <f>HLOOKUP(A16,MB_LLDPE!$D$2:$AG$16,15,0)</f>
        <v>1.232</v>
      </c>
      <c r="L16" s="77">
        <f>HLOOKUP(A16,MB_LLDPE!$D$2:$AG$23,22,0)</f>
        <v>1.0619999999999998</v>
      </c>
      <c r="M16" s="77">
        <f>HLOOKUP(A16,MB_LLDPE!$D$2:$AG$30,29,0)</f>
        <v>0.22700000000000001</v>
      </c>
      <c r="N16" s="77">
        <f>HLOOKUP(A16,MB_LLDPE!$D$2:$AG$37,36,0)</f>
        <v>1.002</v>
      </c>
    </row>
    <row r="17" spans="1:14" ht="15.75">
      <c r="A17" s="76">
        <f>MB_PTD!K2</f>
        <v>45938</v>
      </c>
      <c r="B17" s="77">
        <f>HLOOKUP(A17,MB_PTD!$D$2:$AG$9,8,0)</f>
        <v>1</v>
      </c>
      <c r="C17" s="77">
        <f>HLOOKUP(A17,MB_PTD!$D$2:$AG$16,15,0)</f>
        <v>1</v>
      </c>
      <c r="D17" s="77">
        <f>HLOOKUP(A17,MB_PTD!$D$2:$AG$23,22,0)</f>
        <v>1</v>
      </c>
      <c r="E17" s="77">
        <f>HLOOKUP(A17,MB_PTD!$D$2:$AG$30,29,0)</f>
        <v>1.0009999999999999</v>
      </c>
      <c r="F17" s="77">
        <f>HLOOKUP(A17,MB_PPU!$D$2:$AG$9,8,0)</f>
        <v>0.67000000000000004</v>
      </c>
      <c r="G17" s="77">
        <f>HLOOKUP(A17,MB_PPU!$D$2:$AG$16,15,0)</f>
        <v>0.80600000000000005</v>
      </c>
      <c r="H17" s="77">
        <f>HLOOKUP(A17,MB_PPU!$D$2:$AG$23,22,0)</f>
        <v>0.67000000000000004</v>
      </c>
      <c r="I17" s="77">
        <f>HLOOKUP(A17,MB_PPU!$D$2:$AG$30,29,0)</f>
        <v>1.121</v>
      </c>
      <c r="J17" s="77">
        <f>HLOOKUP(A17,MB_LLDPE!$D$2:$AG$9,8,0)</f>
        <v>0.78899999999999992</v>
      </c>
      <c r="K17" s="77">
        <f>HLOOKUP(A17,MB_LLDPE!$D$2:$AG$16,15,0)</f>
        <v>1.224</v>
      </c>
      <c r="L17" s="77">
        <f>HLOOKUP(A17,MB_LLDPE!$D$2:$AG$23,22,0)</f>
        <v>1.165</v>
      </c>
      <c r="M17" s="77">
        <f>HLOOKUP(A17,MB_LLDPE!$D$2:$AG$30,29,0)</f>
        <v>0.22700000000000001</v>
      </c>
      <c r="N17" s="77">
        <f>HLOOKUP(A17,MB_LLDPE!$D$2:$AG$37,36,0)</f>
        <v>0.88800000000000001</v>
      </c>
    </row>
    <row r="18" spans="1:14" ht="15.75">
      <c r="A18" s="76">
        <f>MB_PTD!L2</f>
        <v>45939</v>
      </c>
      <c r="B18" s="77">
        <f>HLOOKUP(A18,MB_PTD!$D$2:$AG$9,8,0)</f>
        <v>1</v>
      </c>
      <c r="C18" s="77">
        <f>HLOOKUP(A18,MB_PTD!$D$2:$AG$16,15,0)</f>
        <v>1</v>
      </c>
      <c r="D18" s="77">
        <f>HLOOKUP(A18,MB_PTD!$D$2:$AG$23,22,0)</f>
        <v>1</v>
      </c>
      <c r="E18" s="77">
        <f>HLOOKUP(A18,MB_PTD!$D$2:$AG$30,29,0)</f>
        <v>1.7079999999999997</v>
      </c>
      <c r="F18" s="77">
        <f>HLOOKUP(A18,MB_PPU!$D$2:$AG$9,8,0)</f>
        <v>0.67000000000000004</v>
      </c>
      <c r="G18" s="77">
        <f>HLOOKUP(A18,MB_PPU!$D$2:$AG$16,15,0)</f>
        <v>1.3090000000000002</v>
      </c>
      <c r="H18" s="77">
        <f>HLOOKUP(A18,MB_PPU!$D$2:$AG$23,22,0)</f>
        <v>0.67000000000000004</v>
      </c>
      <c r="I18" s="77">
        <f>HLOOKUP(A18,MB_PPU!$D$2:$AG$30,29,0)</f>
        <v>0.85200000000000009</v>
      </c>
      <c r="J18" s="77">
        <f>HLOOKUP(A18,MB_LLDPE!$D$2:$AG$9,8,0)</f>
        <v>1.232</v>
      </c>
      <c r="K18" s="77">
        <f>HLOOKUP(A18,MB_LLDPE!$D$2:$AG$16,15,0)</f>
        <v>0.98399999999999999</v>
      </c>
      <c r="L18" s="77">
        <f>HLOOKUP(A18,MB_LLDPE!$D$2:$AG$23,22,0)</f>
        <v>0.68599999999999994</v>
      </c>
      <c r="M18" s="77">
        <f>HLOOKUP(A18,MB_LLDPE!$D$2:$AG$30,29,0)</f>
        <v>0.26400000000000001</v>
      </c>
      <c r="N18" s="77">
        <f>HLOOKUP(A18,MB_LLDPE!$D$2:$AG$37,36,0)</f>
        <v>1.3780000000000001</v>
      </c>
    </row>
    <row r="19" spans="1:14" ht="15.75">
      <c r="A19" s="76">
        <f>MB_PTD!M2</f>
        <v>45940</v>
      </c>
      <c r="B19" s="77">
        <f>HLOOKUP(A19,MB_PTD!$D$2:$AG$9,8,0)</f>
        <v>1</v>
      </c>
      <c r="C19" s="77">
        <f>HLOOKUP(A19,MB_PTD!$D$2:$AG$16,15,0)</f>
        <v>1</v>
      </c>
      <c r="D19" s="77">
        <f>HLOOKUP(A19,MB_PTD!$D$2:$AG$23,22,0)</f>
        <v>1</v>
      </c>
      <c r="E19" s="77">
        <f>HLOOKUP(A19,MB_PTD!$D$2:$AG$30,29,0)</f>
        <v>1.0009999999999999</v>
      </c>
      <c r="F19" s="77">
        <f>HLOOKUP(A19,MB_PPU!$D$2:$AG$9,8,0)</f>
        <v>0.64200000000000002</v>
      </c>
      <c r="G19" s="77">
        <f>HLOOKUP(A19,MB_PPU!$D$2:$AG$16,15,0)</f>
        <v>1.3090000000000002</v>
      </c>
      <c r="H19" s="77">
        <f>HLOOKUP(A19,MB_PPU!$D$2:$AG$23,22,0)</f>
        <v>0.67000000000000004</v>
      </c>
      <c r="I19" s="77">
        <f>HLOOKUP(A19,MB_PPU!$D$2:$AG$30,29,0)</f>
        <v>1.121</v>
      </c>
      <c r="J19" s="77">
        <f>HLOOKUP(A19,MB_LLDPE!$D$2:$AG$9,8,0)</f>
        <v>1.4129999999999998</v>
      </c>
      <c r="K19" s="77">
        <f>HLOOKUP(A19,MB_LLDPE!$D$2:$AG$16,15,0)</f>
        <v>1.3180000000000001</v>
      </c>
      <c r="L19" s="77">
        <f>HLOOKUP(A19,MB_LLDPE!$D$2:$AG$23,22,0)</f>
        <v>0.83099999999999996</v>
      </c>
      <c r="M19" s="77">
        <f>HLOOKUP(A19,MB_LLDPE!$D$2:$AG$30,29,0)</f>
        <v>0.22099999999999997</v>
      </c>
      <c r="N19" s="77">
        <f>HLOOKUP(A19,MB_LLDPE!$D$2:$AG$37,36,0)</f>
        <v>0.72799999999999998</v>
      </c>
    </row>
    <row r="20" spans="1:14" ht="15.75">
      <c r="A20" s="76">
        <f>MB_PTD!N2</f>
        <v>45941</v>
      </c>
      <c r="B20" s="77">
        <f>HLOOKUP(A20,MB_PTD!$D$2:$AG$9,8,0)</f>
        <v>1</v>
      </c>
      <c r="C20" s="77">
        <f>HLOOKUP(A20,MB_PTD!$D$2:$AG$16,15,0)</f>
        <v>1</v>
      </c>
      <c r="D20" s="77">
        <f>HLOOKUP(A20,MB_PTD!$D$2:$AG$23,22,0)</f>
        <v>1</v>
      </c>
      <c r="E20" s="77">
        <f>HLOOKUP(A20,MB_PTD!$D$2:$AG$30,29,0)</f>
        <v>1.7079999999999997</v>
      </c>
      <c r="F20" s="77">
        <f>HLOOKUP(A20,MB_PPU!$D$2:$AG$9,8,0)</f>
        <v>0.67000000000000004</v>
      </c>
      <c r="G20" s="77">
        <f>HLOOKUP(A20,MB_PPU!$D$2:$AG$16,15,0)</f>
        <v>1.1160000000000001</v>
      </c>
      <c r="H20" s="77">
        <f>HLOOKUP(A20,MB_PPU!$D$2:$AG$23,22,0)</f>
        <v>0.67000000000000004</v>
      </c>
      <c r="I20" s="77">
        <f>HLOOKUP(A20,MB_PPU!$D$2:$AG$30,29,0)</f>
        <v>0.85200000000000009</v>
      </c>
      <c r="J20" s="77">
        <f>HLOOKUP(A20,MB_LLDPE!$D$2:$AG$9,8,0)</f>
        <v>0.91700000000000004</v>
      </c>
      <c r="K20" s="77">
        <f>HLOOKUP(A20,MB_LLDPE!$D$2:$AG$16,15,0)</f>
        <v>1.3519999999999999</v>
      </c>
      <c r="L20" s="77">
        <f>HLOOKUP(A20,MB_LLDPE!$D$2:$AG$23,22,0)</f>
        <v>0.68599999999999994</v>
      </c>
      <c r="M20" s="77">
        <f>HLOOKUP(A20,MB_LLDPE!$D$2:$AG$30,29,0)</f>
        <v>0.11699999999999999</v>
      </c>
      <c r="N20" s="77">
        <f>HLOOKUP(A20,MB_LLDPE!$D$2:$AG$37,36,0)</f>
        <v>0.72799999999999998</v>
      </c>
    </row>
    <row r="21" spans="1:14" ht="15.75">
      <c r="A21" s="76">
        <f>MB_PTD!O2</f>
        <v>45942</v>
      </c>
      <c r="B21" s="77">
        <f>HLOOKUP(A21,MB_PTD!$D$2:$AG$9,8,0)</f>
        <v>1</v>
      </c>
      <c r="C21" s="77">
        <f>HLOOKUP(A21,MB_PTD!$D$2:$AG$16,15,0)</f>
        <v>1</v>
      </c>
      <c r="D21" s="77">
        <f>HLOOKUP(A21,MB_PTD!$D$2:$AG$23,22,0)</f>
        <v>0.41499999999999998</v>
      </c>
      <c r="E21" s="77">
        <f>HLOOKUP(A21,MB_PTD!$D$2:$AG$30,29,0)</f>
        <v>0</v>
      </c>
      <c r="F21" s="77">
        <f>HLOOKUP(A21,MB_PPU!$D$2:$AG$9,8,0)</f>
        <v>0.67000000000000004</v>
      </c>
      <c r="G21" s="77">
        <f>HLOOKUP(A21,MB_PPU!$D$2:$AG$16,15,0)</f>
        <v>0.67000000000000004</v>
      </c>
      <c r="H21" s="77">
        <f>HLOOKUP(A21,MB_PPU!$D$2:$AG$23,22,0)</f>
        <v>0.64200000000000002</v>
      </c>
      <c r="I21" s="77">
        <f>HLOOKUP(A21,MB_PPU!$D$2:$AG$30,29,0)</f>
        <v>0.30099999999999999</v>
      </c>
      <c r="J21" s="77">
        <f>HLOOKUP(A21,MB_LLDPE!$D$2:$AG$9,8,0)</f>
        <v>1.335</v>
      </c>
      <c r="K21" s="77">
        <f>HLOOKUP(A21,MB_LLDPE!$D$2:$AG$16,15,0)</f>
        <v>1.224</v>
      </c>
      <c r="L21" s="77">
        <f>HLOOKUP(A21,MB_LLDPE!$D$2:$AG$23,22,0)</f>
        <v>0.81400000000000006</v>
      </c>
      <c r="M21" s="77">
        <f>HLOOKUP(A21,MB_LLDPE!$D$2:$AG$30,29,0)</f>
        <v>0</v>
      </c>
      <c r="N21" s="77">
        <f>HLOOKUP(A21,MB_LLDPE!$D$2:$AG$37,36,0)</f>
        <v>0</v>
      </c>
    </row>
    <row r="22" spans="1:14" ht="15.75">
      <c r="A22" s="76">
        <f>MB_PTD!P2</f>
        <v>45943</v>
      </c>
      <c r="B22" s="77">
        <f>HLOOKUP(A22,MB_PTD!$D$2:$AG$9,8,0)</f>
        <v>1</v>
      </c>
      <c r="C22" s="77">
        <f>HLOOKUP(A22,MB_PTD!$D$2:$AG$16,15,0)</f>
        <v>1</v>
      </c>
      <c r="D22" s="77">
        <f>HLOOKUP(A22,MB_PTD!$D$2:$AG$23,22,0)</f>
        <v>1</v>
      </c>
      <c r="E22" s="77">
        <f>HLOOKUP(A22,MB_PTD!$D$2:$AG$30,29,0)</f>
        <v>1.4139999999999999</v>
      </c>
      <c r="F22" s="77">
        <f>HLOOKUP(A22,MB_PPU!$D$2:$AG$9,8,0)</f>
        <v>0.55300000000000005</v>
      </c>
      <c r="G22" s="77">
        <f>HLOOKUP(A22,MB_PPU!$D$2:$AG$16,15,0)</f>
        <v>0.97999999999999998</v>
      </c>
      <c r="H22" s="77">
        <f>HLOOKUP(A22,MB_PPU!$D$2:$AG$23,22,0)</f>
        <v>0.37</v>
      </c>
      <c r="I22" s="77">
        <f>HLOOKUP(A22,MB_PPU!$D$2:$AG$30,29,0)</f>
        <v>1.121</v>
      </c>
      <c r="J22" s="77">
        <f>HLOOKUP(A22,MB_LLDPE!$D$2:$AG$9,8,0)</f>
        <v>1.2489999999999999</v>
      </c>
      <c r="K22" s="77">
        <f>HLOOKUP(A22,MB_LLDPE!$D$2:$AG$16,15,0)</f>
        <v>1.087</v>
      </c>
      <c r="L22" s="77">
        <f>HLOOKUP(A22,MB_LLDPE!$D$2:$AG$23,22,0)</f>
        <v>0.71099999999999997</v>
      </c>
      <c r="M22" s="77">
        <f>HLOOKUP(A22,MB_LLDPE!$D$2:$AG$30,29,0)</f>
        <v>0.21499999999999997</v>
      </c>
      <c r="N22" s="77">
        <f>HLOOKUP(A22,MB_LLDPE!$D$2:$AG$37,36,0)</f>
        <v>0.72799999999999998</v>
      </c>
    </row>
    <row r="23" spans="1:14" ht="15.75">
      <c r="A23" s="76">
        <f>MB_PTD!Q2</f>
        <v>45944</v>
      </c>
      <c r="B23" s="77">
        <f>HLOOKUP(A23,MB_PTD!$D$2:$AG$9,8,0)</f>
        <v>1</v>
      </c>
      <c r="C23" s="77">
        <f>HLOOKUP(A23,MB_PTD!$D$2:$AG$16,15,0)</f>
        <v>1</v>
      </c>
      <c r="D23" s="77">
        <f>HLOOKUP(A23,MB_PTD!$D$2:$AG$23,22,0)</f>
        <v>1</v>
      </c>
      <c r="E23" s="77">
        <f>HLOOKUP(A23,MB_PTD!$D$2:$AG$30,29,0)</f>
        <v>1.7079999999999997</v>
      </c>
      <c r="F23" s="77">
        <f>HLOOKUP(A23,MB_PPU!$D$2:$AG$9,8,0)</f>
        <v>0.67000000000000004</v>
      </c>
      <c r="G23" s="77">
        <f>HLOOKUP(A23,MB_PPU!$D$2:$AG$16,15,0)</f>
        <v>0.999</v>
      </c>
      <c r="H23" s="77">
        <f>HLOOKUP(A23,MB_PPU!$D$2:$AG$23,22,0)</f>
        <v>0.67000000000000004</v>
      </c>
      <c r="I23" s="77">
        <f>HLOOKUP(A23,MB_PPU!$D$2:$AG$30,29,0)</f>
        <v>0.66799999999999993</v>
      </c>
      <c r="J23" s="77">
        <f>HLOOKUP(A23,MB_LLDPE!$D$2:$AG$9,8,0)</f>
        <v>0.95900000000000007</v>
      </c>
      <c r="K23" s="77">
        <f>HLOOKUP(A23,MB_LLDPE!$D$2:$AG$16,15,0)</f>
        <v>1.232</v>
      </c>
      <c r="L23" s="77">
        <f>HLOOKUP(A23,MB_LLDPE!$D$2:$AG$23,22,0)</f>
        <v>0.95899999999999985</v>
      </c>
      <c r="M23" s="77">
        <f>HLOOKUP(A23,MB_LLDPE!$D$2:$AG$30,29,0)</f>
        <v>0.22099999999999997</v>
      </c>
      <c r="N23" s="77">
        <f>HLOOKUP(A23,MB_LLDPE!$D$2:$AG$37,36,0)</f>
        <v>0.45300000000000001</v>
      </c>
    </row>
    <row r="24" spans="1:14" ht="15.75">
      <c r="A24" s="76">
        <f>MB_PTD!R2</f>
        <v>45945</v>
      </c>
      <c r="B24" s="77">
        <f>HLOOKUP(A24,MB_PTD!$D$2:$AG$9,8,0)</f>
        <v>1</v>
      </c>
      <c r="C24" s="77">
        <f>HLOOKUP(A24,MB_PTD!$D$2:$AG$16,15,0)</f>
        <v>1</v>
      </c>
      <c r="D24" s="77">
        <f>HLOOKUP(A24,MB_PTD!$D$2:$AG$23,22,0)</f>
        <v>1</v>
      </c>
      <c r="E24" s="77">
        <f>HLOOKUP(A24,MB_PTD!$D$2:$AG$30,29,0)</f>
        <v>1.0009999999999999</v>
      </c>
      <c r="F24" s="77">
        <f>HLOOKUP(A24,MB_PPU!$D$2:$AG$9,8,0)</f>
        <v>0.67000000000000004</v>
      </c>
      <c r="G24" s="77">
        <f>HLOOKUP(A24,MB_PPU!$D$2:$AG$16,15,0)</f>
        <v>0.80600000000000005</v>
      </c>
      <c r="H24" s="77">
        <f>HLOOKUP(A24,MB_PPU!$D$2:$AG$23,22,0)</f>
        <v>0.67000000000000004</v>
      </c>
      <c r="I24" s="77">
        <f>HLOOKUP(A24,MB_PPU!$D$2:$AG$30,29,0)</f>
        <v>0.94999999999999996</v>
      </c>
      <c r="J24" s="77">
        <f>HLOOKUP(A24,MB_LLDPE!$D$2:$AG$9,8,0)</f>
        <v>1.1400000000000001</v>
      </c>
      <c r="K24" s="77">
        <f>HLOOKUP(A24,MB_LLDPE!$D$2:$AG$16,15,0)</f>
        <v>1.1039999999999999</v>
      </c>
      <c r="L24" s="77">
        <f>HLOOKUP(A24,MB_LLDPE!$D$2:$AG$23,22,0)</f>
        <v>1.079</v>
      </c>
      <c r="M24" s="77">
        <f>HLOOKUP(A24,MB_LLDPE!$D$2:$AG$30,29,0)</f>
        <v>0.26999999999999996</v>
      </c>
      <c r="N24" s="77">
        <f>HLOOKUP(A24,MB_LLDPE!$D$2:$AG$37,36,0)</f>
        <v>0.45300000000000001</v>
      </c>
    </row>
    <row r="25" spans="1:14" ht="15.75">
      <c r="A25" s="76">
        <f>MB_PTD!S2</f>
        <v>45946</v>
      </c>
      <c r="B25" s="77">
        <f>HLOOKUP(A25,MB_PTD!$D$2:$AG$9,8,0)</f>
        <v>1</v>
      </c>
      <c r="C25" s="77">
        <f>HLOOKUP(A25,MB_PTD!$D$2:$AG$16,15,0)</f>
        <v>1</v>
      </c>
      <c r="D25" s="77">
        <f>HLOOKUP(A25,MB_PTD!$D$2:$AG$23,22,0)</f>
        <v>1</v>
      </c>
      <c r="E25" s="77">
        <f>HLOOKUP(A25,MB_PTD!$D$2:$AG$30,29,0)</f>
        <v>1.7079999999999997</v>
      </c>
      <c r="F25" s="77">
        <f>HLOOKUP(A25,MB_PPU!$D$2:$AG$9,8,0)</f>
        <v>0.67000000000000004</v>
      </c>
      <c r="G25" s="77">
        <f>HLOOKUP(A25,MB_PPU!$D$2:$AG$16,15,0)</f>
        <v>1.1160000000000001</v>
      </c>
      <c r="H25" s="77">
        <f>HLOOKUP(A25,MB_PPU!$D$2:$AG$23,22,0)</f>
        <v>0.55300000000000005</v>
      </c>
      <c r="I25" s="77">
        <f>HLOOKUP(A25,MB_PPU!$D$2:$AG$30,29,0)</f>
        <v>0.76000000000000001</v>
      </c>
      <c r="J25" s="77">
        <f>HLOOKUP(A25,MB_LLDPE!$D$2:$AG$9,8,0)</f>
        <v>1.3519999999999999</v>
      </c>
      <c r="K25" s="77">
        <f>HLOOKUP(A25,MB_LLDPE!$D$2:$AG$16,15,0)</f>
        <v>1.087</v>
      </c>
      <c r="L25" s="77">
        <f>HLOOKUP(A25,MB_LLDPE!$D$2:$AG$23,22,0)</f>
        <v>0.74150000000000005</v>
      </c>
      <c r="M25" s="77">
        <f>HLOOKUP(A25,MB_LLDPE!$D$2:$AG$30,29,0)</f>
        <v>0.26400000000000001</v>
      </c>
      <c r="N25" s="77">
        <f>HLOOKUP(A25,MB_LLDPE!$D$2:$AG$37,36,0)</f>
        <v>0.81400000000000006</v>
      </c>
    </row>
    <row r="26" spans="1:14" ht="15.75">
      <c r="A26" s="76">
        <f>MB_PTD!T2</f>
        <v>45947</v>
      </c>
      <c r="B26" s="77">
        <f>HLOOKUP(A26,MB_PTD!$D$2:$AG$9,8,0)</f>
        <v>1</v>
      </c>
      <c r="C26" s="77">
        <f>HLOOKUP(A26,MB_PTD!$D$2:$AG$16,15,0)</f>
        <v>1</v>
      </c>
      <c r="D26" s="77">
        <f>HLOOKUP(A26,MB_PTD!$D$2:$AG$23,22,0)</f>
        <v>1</v>
      </c>
      <c r="E26" s="77">
        <f>HLOOKUP(A26,MB_PTD!$D$2:$AG$30,29,0)</f>
        <v>1.0009999999999999</v>
      </c>
      <c r="F26" s="77">
        <f>HLOOKUP(A26,MB_PPU!$D$2:$AG$9,8,0)</f>
        <v>0.67000000000000004</v>
      </c>
      <c r="G26" s="77">
        <f>HLOOKUP(A26,MB_PPU!$D$2:$AG$16,15,0)</f>
        <v>1.1160000000000001</v>
      </c>
      <c r="H26" s="77">
        <f>HLOOKUP(A26,MB_PPU!$D$2:$AG$23,22,0)</f>
        <v>0.41700000000000004</v>
      </c>
      <c r="I26" s="77">
        <f>HLOOKUP(A26,MB_PPU!$D$2:$AG$30,29,0)</f>
        <v>1.042</v>
      </c>
      <c r="J26" s="77">
        <f>HLOOKUP(A26,MB_LLDPE!$D$2:$AG$9,8,0)</f>
        <v>1.4129999999999998</v>
      </c>
      <c r="K26" s="77">
        <f>HLOOKUP(A26,MB_LLDPE!$D$2:$AG$16,15,0)</f>
        <v>1.335</v>
      </c>
      <c r="L26" s="77">
        <f>HLOOKUP(A26,MB_LLDPE!$D$2:$AG$23,22,0)</f>
        <v>0.80599999999999994</v>
      </c>
      <c r="M26" s="77">
        <f>HLOOKUP(A26,MB_LLDPE!$D$2:$AG$30,29,0)</f>
        <v>0.19</v>
      </c>
      <c r="N26" s="77">
        <f>HLOOKUP(A26,MB_LLDPE!$D$2:$AG$37,36,0)</f>
        <v>0.86899999999999999</v>
      </c>
    </row>
    <row r="27" spans="1:14" ht="15.75">
      <c r="A27" s="76">
        <f>MB_PTD!$U$2</f>
        <v>45948</v>
      </c>
      <c r="B27" s="77">
        <f>HLOOKUP(A27,MB_PTD!$D$2:$AG$9,8,0)</f>
        <v>1</v>
      </c>
      <c r="C27" s="77">
        <f>HLOOKUP(A27,MB_PTD!$D$2:$AG$16,15,0)</f>
        <v>1</v>
      </c>
      <c r="D27" s="77">
        <f>HLOOKUP(A27,MB_PTD!$D$2:$AG$23,22,0)</f>
        <v>1</v>
      </c>
      <c r="E27" s="77">
        <f>HLOOKUP(A27,MB_PTD!$D$2:$AG$30,29,0)</f>
        <v>0</v>
      </c>
      <c r="F27" s="77">
        <f>HLOOKUP(A27,MB_PPU!$D$2:$AG$9,8,0)</f>
        <v>0.55300000000000005</v>
      </c>
      <c r="G27" s="77">
        <f>HLOOKUP(A27,MB_PPU!$D$2:$AG$16,15,0)</f>
        <v>0.746</v>
      </c>
      <c r="H27" s="77">
        <f>HLOOKUP(A27,MB_PPU!$D$2:$AG$23,22,0)</f>
        <v>0.67000000000000004</v>
      </c>
      <c r="I27" s="77">
        <f>HLOOKUP(A27,MB_PPU!$D$2:$AG$30,29,0)</f>
        <v>0</v>
      </c>
      <c r="J27" s="77">
        <f>HLOOKUP(A27,MB_LLDPE!$D$2:$AG$9,8,0)</f>
        <v>1.2930000000000001</v>
      </c>
      <c r="K27" s="77">
        <f>HLOOKUP(A27,MB_LLDPE!$D$2:$AG$16,15,0)</f>
        <v>1.4550000000000001</v>
      </c>
      <c r="L27" s="77">
        <f>HLOOKUP(A27,MB_LLDPE!$D$2:$AG$23,22,0)</f>
        <v>0.78899999999999992</v>
      </c>
      <c r="M27" s="77">
        <f>HLOOKUP(A27,MB_LLDPE!$D$2:$AG$30,29,0)</f>
        <v>0</v>
      </c>
      <c r="N27" s="77">
        <f>HLOOKUP(A27,MB_LLDPE!$D$2:$AG$37,36,0)</f>
        <v>0</v>
      </c>
    </row>
    <row r="28" spans="1:14" ht="15.75">
      <c r="A28" s="76">
        <f>MB_PTD!$V$2</f>
        <v>45949</v>
      </c>
      <c r="B28" s="77">
        <f>HLOOKUP(A28,MB_PTD!$D$2:$AG$9,8,0)</f>
        <v>1</v>
      </c>
      <c r="C28" s="77">
        <f>HLOOKUP(A28,MB_PTD!$D$2:$AG$16,15,0)</f>
        <v>1</v>
      </c>
      <c r="D28" s="77">
        <f>HLOOKUP(A28,MB_PTD!$D$2:$AG$23,22,0)</f>
        <v>0.41499999999999998</v>
      </c>
      <c r="E28" s="77">
        <f>HLOOKUP(A28,MB_PTD!$D$2:$AG$30,29,0)</f>
        <v>0</v>
      </c>
      <c r="F28" s="77">
        <f>HLOOKUP(A28,MB_PPU!$D$2:$AG$9,8,0)</f>
        <v>0.67000000000000004</v>
      </c>
      <c r="G28" s="77">
        <f>HLOOKUP(A28,MB_PPU!$D$2:$AG$16,15,0)</f>
        <v>0.67000000000000004</v>
      </c>
      <c r="H28" s="77">
        <f>HLOOKUP(A28,MB_PPU!$D$2:$AG$23,22,0)</f>
        <v>0.68900000000000006</v>
      </c>
      <c r="I28" s="77">
        <f>HLOOKUP(A28,MB_PPU!$D$2:$AG$30,29,0)</f>
        <v>0.39300000000000002</v>
      </c>
      <c r="J28" s="77">
        <f>HLOOKUP(A28,MB_LLDPE!$D$2:$AG$9,8,0)</f>
        <v>1.4550000000000001</v>
      </c>
      <c r="K28" s="77">
        <f>HLOOKUP(A28,MB_LLDPE!$D$2:$AG$16,15,0)</f>
        <v>0.95900000000000007</v>
      </c>
      <c r="L28" s="77">
        <f>HLOOKUP(A28,MB_LLDPE!$D$2:$AG$23,22,0)</f>
        <v>0.81400000000000006</v>
      </c>
      <c r="M28" s="77">
        <f>HLOOKUP(A28,MB_LLDPE!$D$2:$AG$30,29,0)</f>
        <v>0</v>
      </c>
      <c r="N28" s="77">
        <f>HLOOKUP(A28,MB_LLDPE!$D$2:$AG$37,36,0)</f>
        <v>0</v>
      </c>
    </row>
    <row r="29" spans="1:14" ht="15.75">
      <c r="A29" s="76">
        <f>MB_PTD!$W$2</f>
        <v>45950</v>
      </c>
      <c r="B29" s="77">
        <f>HLOOKUP(A29,MB_PTD!$D$2:$AG$9,8,0)</f>
        <v>1</v>
      </c>
      <c r="C29" s="77">
        <f>HLOOKUP(A29,MB_PTD!$D$2:$AG$16,15,0)</f>
        <v>1</v>
      </c>
      <c r="D29" s="77">
        <f>HLOOKUP(A29,MB_PTD!$D$2:$AG$23,22,0)</f>
        <v>1</v>
      </c>
      <c r="E29" s="77">
        <f>HLOOKUP(A29,MB_PTD!$D$2:$AG$30,29,0)</f>
        <v>0</v>
      </c>
      <c r="F29" s="77">
        <f>HLOOKUP(A29,MB_PPU!$D$2:$AG$9,8,0)</f>
        <v>0.67000000000000004</v>
      </c>
      <c r="G29" s="77">
        <f>HLOOKUP(A29,MB_PPU!$D$2:$AG$16,15,0)</f>
        <v>1.135</v>
      </c>
      <c r="H29" s="77">
        <f>HLOOKUP(A29,MB_PPU!$D$2:$AG$23,22,0)</f>
        <v>0.67000000000000004</v>
      </c>
      <c r="I29" s="77">
        <f>HLOOKUP(A29,MB_PPU!$D$2:$AG$30,29,0)</f>
        <v>0</v>
      </c>
      <c r="J29" s="77">
        <f>HLOOKUP(A29,MB_LLDPE!$D$2:$AG$9,8,0)</f>
        <v>1.472</v>
      </c>
      <c r="K29" s="77">
        <f>HLOOKUP(A29,MB_LLDPE!$D$2:$AG$16,15,0)</f>
        <v>0.77800000000000002</v>
      </c>
      <c r="L29" s="77">
        <f>HLOOKUP(A29,MB_LLDPE!$D$2:$AG$23,22,0)</f>
        <v>0.79699999999999993</v>
      </c>
      <c r="M29" s="77">
        <f>HLOOKUP(A29,MB_LLDPE!$D$2:$AG$30,29,0)</f>
        <v>0</v>
      </c>
      <c r="N29" s="77">
        <f>HLOOKUP(A29,MB_LLDPE!$D$2:$AG$37,36,0)</f>
        <v>0</v>
      </c>
    </row>
    <row r="30" spans="1:14" ht="15.75">
      <c r="A30" s="76">
        <f>MB_PTD!$X$2</f>
        <v>45951</v>
      </c>
      <c r="B30" s="77">
        <f>HLOOKUP(A30,MB_PTD!$D$2:$AG$9,8,0)</f>
        <v>1</v>
      </c>
      <c r="C30" s="77">
        <f>HLOOKUP(A30,MB_PTD!$D$2:$AG$16,15,0)</f>
        <v>1</v>
      </c>
      <c r="D30" s="77">
        <f>HLOOKUP(A30,MB_PTD!$D$2:$AG$23,22,0)</f>
        <v>1</v>
      </c>
      <c r="E30" s="77">
        <f>HLOOKUP(A30,MB_PTD!$D$2:$AG$30,29,0)</f>
        <v>1.7079999999999997</v>
      </c>
      <c r="F30" s="77">
        <f>HLOOKUP(A30,MB_PPU!$D$2:$AG$9,8,0)</f>
        <v>0.67000000000000004</v>
      </c>
      <c r="G30" s="77">
        <f>HLOOKUP(A30,MB_PPU!$D$2:$AG$16,15,0)</f>
        <v>0.999</v>
      </c>
      <c r="H30" s="77">
        <f>HLOOKUP(A30,MB_PPU!$D$2:$AG$23,22,0)</f>
        <v>0.41700000000000004</v>
      </c>
      <c r="I30" s="77">
        <f>HLOOKUP(A30,MB_PPU!$D$2:$AG$30,29,0)</f>
        <v>0.66799999999999993</v>
      </c>
      <c r="J30" s="77">
        <f>HLOOKUP(A30,MB_LLDPE!$D$2:$AG$9,8,0)</f>
        <v>0.95900000000000007</v>
      </c>
      <c r="K30" s="77">
        <f>HLOOKUP(A30,MB_LLDPE!$D$2:$AG$16,15,0)</f>
        <v>0.85599999999999998</v>
      </c>
      <c r="L30" s="77">
        <f>HLOOKUP(A30,MB_LLDPE!$D$2:$AG$23,22,0)</f>
        <v>1.165</v>
      </c>
      <c r="M30" s="77">
        <f>HLOOKUP(A30,MB_LLDPE!$D$2:$AG$30,29,0)</f>
        <v>0.20300000000000001</v>
      </c>
      <c r="N30" s="77">
        <f>HLOOKUP(A30,MB_LLDPE!$D$2:$AG$37,36,0)</f>
        <v>1.2050000000000001</v>
      </c>
    </row>
    <row r="31" spans="1:14" ht="15.75">
      <c r="A31" s="76">
        <f>MB_PTD!$Y$2</f>
        <v>45952</v>
      </c>
      <c r="B31" s="77">
        <f>HLOOKUP(A31,MB_PTD!$D$2:$AG$9,8,0)</f>
        <v>1</v>
      </c>
      <c r="C31" s="77">
        <f>HLOOKUP(A31,MB_PTD!$D$2:$AG$16,15,0)</f>
        <v>1</v>
      </c>
      <c r="D31" s="77">
        <f>HLOOKUP(A31,MB_PTD!$D$2:$AG$23,22,0)</f>
        <v>1</v>
      </c>
      <c r="E31" s="77">
        <f>HLOOKUP(A31,MB_PTD!$D$2:$AG$30,29,0)</f>
        <v>1.0009999999999999</v>
      </c>
      <c r="F31" s="77">
        <f>HLOOKUP(A31,MB_PPU!$D$2:$AG$9,8,0)</f>
        <v>0.67000000000000004</v>
      </c>
      <c r="G31" s="77">
        <f>HLOOKUP(A31,MB_PPU!$D$2:$AG$16,15,0)</f>
        <v>0.80600000000000005</v>
      </c>
      <c r="H31" s="77">
        <f>HLOOKUP(A31,MB_PPU!$D$2:$AG$23,22,0)</f>
        <v>0.67000000000000004</v>
      </c>
      <c r="I31" s="77">
        <f>HLOOKUP(A31,MB_PPU!$D$2:$AG$30,29,0)</f>
        <v>1.0289999999999999</v>
      </c>
      <c r="J31" s="77">
        <f>HLOOKUP(A31,MB_LLDPE!$D$2:$AG$9,8,0)</f>
        <v>0.8919999999999999</v>
      </c>
      <c r="K31" s="77">
        <f>HLOOKUP(A31,MB_LLDPE!$D$2:$AG$16,15,0)</f>
        <v>1.087</v>
      </c>
      <c r="L31" s="77">
        <f>HLOOKUP(A31,MB_LLDPE!$D$2:$AG$23,22,0)</f>
        <v>1.1819999999999999</v>
      </c>
      <c r="M31" s="77">
        <f>HLOOKUP(A31,MB_LLDPE!$D$2:$AG$30,29,0)</f>
        <v>0.123</v>
      </c>
      <c r="N31" s="77">
        <f>HLOOKUP(A31,MB_LLDPE!$D$2:$AG$37,36,0)</f>
        <v>0.876</v>
      </c>
    </row>
    <row r="32" spans="1:14" ht="15.75">
      <c r="A32" s="76">
        <f>MB_PTD!$Z$2</f>
        <v>45953</v>
      </c>
      <c r="B32" s="77">
        <f>HLOOKUP(A32,MB_PTD!$D$2:$AG$9,8,0)</f>
        <v>1</v>
      </c>
      <c r="C32" s="77">
        <f>HLOOKUP(A32,MB_PTD!$D$2:$AG$16,15,0)</f>
        <v>1</v>
      </c>
      <c r="D32" s="77">
        <f>HLOOKUP(A32,MB_PTD!$D$2:$AG$23,22,0)</f>
        <v>1</v>
      </c>
      <c r="E32" s="77">
        <f>HLOOKUP(A32,MB_PTD!$D$2:$AG$30,29,0)</f>
        <v>1.7079999999999997</v>
      </c>
      <c r="F32" s="77">
        <f>HLOOKUP(A32,MB_PPU!$D$2:$AG$9,8,0)</f>
        <v>0.67000000000000004</v>
      </c>
      <c r="G32" s="77">
        <f>HLOOKUP(A32,MB_PPU!$D$2:$AG$16,15,0)</f>
        <v>1.1160000000000001</v>
      </c>
      <c r="H32" s="77">
        <f>HLOOKUP(A32,MB_PPU!$D$2:$AG$23,22,0)</f>
        <v>0.53400000000000003</v>
      </c>
      <c r="I32" s="77">
        <f>HLOOKUP(A32,MB_PPU!$D$2:$AG$30,29,0)</f>
        <v>0.76000000000000001</v>
      </c>
      <c r="J32" s="77">
        <f>HLOOKUP(A32,MB_LLDPE!$D$2:$AG$9,8,0)</f>
        <v>1.335</v>
      </c>
      <c r="K32" s="77">
        <f>HLOOKUP(A32,MB_LLDPE!$D$2:$AG$16,15,0)</f>
        <v>0.96699999999999986</v>
      </c>
      <c r="L32" s="77">
        <f>HLOOKUP(A32,MB_LLDPE!$D$2:$AG$23,22,0)</f>
        <v>0.78899999999999992</v>
      </c>
      <c r="M32" s="77">
        <f>HLOOKUP(A32,MB_LLDPE!$D$2:$AG$30,29,0)</f>
        <v>0.123</v>
      </c>
      <c r="N32" s="77">
        <f>HLOOKUP(A32,MB_LLDPE!$D$2:$AG$37,36,0)</f>
        <v>0.88800000000000001</v>
      </c>
    </row>
    <row r="33" spans="1:14" ht="15.75">
      <c r="A33" s="76">
        <f>MB_PTD!$AA$2</f>
        <v>45954</v>
      </c>
      <c r="B33" s="77">
        <f>HLOOKUP(A33,MB_PTD!$D$2:$AG$9,8,0)</f>
        <v>1</v>
      </c>
      <c r="C33" s="77">
        <f>HLOOKUP(A33,MB_PTD!$D$2:$AG$16,15,0)</f>
        <v>1</v>
      </c>
      <c r="D33" s="77">
        <f>HLOOKUP(A33,MB_PTD!$D$2:$AG$23,22,0)</f>
        <v>1</v>
      </c>
      <c r="E33" s="77">
        <f>HLOOKUP(A33,MB_PTD!$D$2:$AG$30,29,0)</f>
        <v>1.0009999999999999</v>
      </c>
      <c r="F33" s="77">
        <f>HLOOKUP(A33,MB_PPU!$D$2:$AG$9,8,0)</f>
        <v>0.67000000000000004</v>
      </c>
      <c r="G33" s="77">
        <f>HLOOKUP(A33,MB_PPU!$D$2:$AG$16,15,0)</f>
        <v>1.2330000000000001</v>
      </c>
      <c r="H33" s="77">
        <f>HLOOKUP(A33,MB_PPU!$D$2:$AG$23,22,0)</f>
        <v>0.53400000000000003</v>
      </c>
      <c r="I33" s="77">
        <f>HLOOKUP(A33,MB_PPU!$D$2:$AG$30,29,0)</f>
        <v>1.042</v>
      </c>
      <c r="J33" s="77">
        <f>HLOOKUP(A33,MB_LLDPE!$D$2:$AG$9,8,0)</f>
        <v>1.327</v>
      </c>
      <c r="K33" s="77">
        <f>HLOOKUP(A33,MB_LLDPE!$D$2:$AG$16,15,0)</f>
        <v>1.335</v>
      </c>
      <c r="L33" s="77">
        <f>HLOOKUP(A33,MB_LLDPE!$D$2:$AG$23,22,0)</f>
        <v>0.80599999999999994</v>
      </c>
      <c r="M33" s="77">
        <f>HLOOKUP(A33,MB_LLDPE!$D$2:$AG$30,29,0)</f>
        <v>0.22700000000000001</v>
      </c>
      <c r="N33" s="77">
        <f>HLOOKUP(A33,MB_LLDPE!$D$2:$AG$37,36,0)</f>
        <v>0.88800000000000001</v>
      </c>
    </row>
    <row r="34" spans="1:14" ht="15.75">
      <c r="A34" s="76">
        <f>MB_PTD!$AB$2</f>
        <v>45955</v>
      </c>
      <c r="B34" s="77">
        <f>HLOOKUP(A34,MB_PTD!$D$2:$AG$9,8,0)</f>
        <v>1</v>
      </c>
      <c r="C34" s="77">
        <f>HLOOKUP(A34,MB_PTD!$D$2:$AG$16,15,0)</f>
        <v>1</v>
      </c>
      <c r="D34" s="77">
        <f>HLOOKUP(A34,MB_PTD!$D$2:$AG$23,22,0)</f>
        <v>1</v>
      </c>
      <c r="E34" s="77">
        <f>HLOOKUP(A34,MB_PTD!$D$2:$AG$30,29,0)</f>
        <v>1.7079999999999997</v>
      </c>
      <c r="F34" s="77">
        <f>HLOOKUP(A34,MB_PPU!$D$2:$AG$9,8,0)</f>
        <v>0.67000000000000004</v>
      </c>
      <c r="G34" s="77">
        <f>HLOOKUP(A34,MB_PPU!$D$2:$AG$16,15,0)</f>
        <v>1.1160000000000001</v>
      </c>
      <c r="H34" s="77">
        <f>HLOOKUP(A34,MB_PPU!$D$2:$AG$23,22,0)</f>
        <v>0.67000000000000004</v>
      </c>
      <c r="I34" s="77">
        <f>HLOOKUP(A34,MB_PPU!$D$2:$AG$30,29,0)</f>
        <v>0.76000000000000001</v>
      </c>
      <c r="J34" s="77">
        <f>HLOOKUP(A34,MB_LLDPE!$D$2:$AG$9,8,0)</f>
        <v>0.98399999999999999</v>
      </c>
      <c r="K34" s="77">
        <f>HLOOKUP(A34,MB_LLDPE!$D$2:$AG$16,15,0)</f>
        <v>1.4550000000000001</v>
      </c>
      <c r="L34" s="77">
        <f>HLOOKUP(A34,MB_LLDPE!$D$2:$AG$23,22,0)</f>
        <v>0.78899999999999992</v>
      </c>
      <c r="M34" s="77">
        <f>HLOOKUP(A34,MB_LLDPE!$D$2:$AG$30,29,0)</f>
        <v>0.30099999999999999</v>
      </c>
      <c r="N34" s="77">
        <f>HLOOKUP(A34,MB_LLDPE!$D$2:$AG$37,36,0)</f>
        <v>0.72799999999999998</v>
      </c>
    </row>
    <row r="35" spans="1:14" ht="15.75">
      <c r="A35" s="76">
        <f>MB_PTD!$AC$2</f>
        <v>45956</v>
      </c>
      <c r="B35" s="77">
        <f>HLOOKUP(A35,MB_PTD!$D$2:$AG$9,8,0)</f>
        <v>1</v>
      </c>
      <c r="C35" s="77">
        <f>HLOOKUP(A35,MB_PTD!$D$2:$AG$16,15,0)</f>
        <v>1</v>
      </c>
      <c r="D35" s="77">
        <f>HLOOKUP(A35,MB_PTD!$D$2:$AG$23,22,0)</f>
        <v>0.41499999999999998</v>
      </c>
      <c r="E35" s="77">
        <f>HLOOKUP(A35,MB_PTD!$D$2:$AG$30,29,0)</f>
        <v>0</v>
      </c>
      <c r="F35" s="77">
        <f>HLOOKUP(A35,MB_PPU!$D$2:$AG$9,8,0)</f>
        <v>0.67000000000000004</v>
      </c>
      <c r="G35" s="77">
        <f>HLOOKUP(A35,MB_PPU!$D$2:$AG$16,15,0)</f>
        <v>0.67000000000000004</v>
      </c>
      <c r="H35" s="77">
        <f>HLOOKUP(A35,MB_PPU!$D$2:$AG$23,22,0)</f>
        <v>0.80600000000000005</v>
      </c>
      <c r="I35" s="77">
        <f>HLOOKUP(A35,MB_PPU!$D$2:$AG$30,29,0)</f>
        <v>0.30099999999999999</v>
      </c>
      <c r="J35" s="77">
        <f>HLOOKUP(A35,MB_LLDPE!$D$2:$AG$9,8,0)</f>
        <v>1.335</v>
      </c>
      <c r="K35" s="77">
        <f>HLOOKUP(A35,MB_LLDPE!$D$2:$AG$16,15,0)</f>
        <v>1.2909999999999999</v>
      </c>
      <c r="L35" s="77">
        <f>HLOOKUP(A35,MB_LLDPE!$D$2:$AG$23,22,0)</f>
        <v>0.83099999999999996</v>
      </c>
      <c r="M35" s="77">
        <f>HLOOKUP(A35,MB_LLDPE!$D$2:$AG$30,29,0)</f>
        <v>0</v>
      </c>
      <c r="N35" s="77">
        <f>HLOOKUP(A35,MB_LLDPE!$D$2:$AG$37,36,0)</f>
        <v>0</v>
      </c>
    </row>
    <row r="36" spans="1:14" ht="15.75">
      <c r="A36" s="76">
        <f>MB_PTD!$AD$2</f>
        <v>45957</v>
      </c>
      <c r="B36" s="77">
        <f>HLOOKUP(A36,MB_PTD!$D$2:$AG$9,8,0)</f>
        <v>1</v>
      </c>
      <c r="C36" s="77">
        <f>HLOOKUP(A36,MB_PTD!$D$2:$AG$16,15,0)</f>
        <v>1</v>
      </c>
      <c r="D36" s="77">
        <f>HLOOKUP(A36,MB_PTD!$D$2:$AG$23,22,0)</f>
        <v>1</v>
      </c>
      <c r="E36" s="77">
        <f>HLOOKUP(A36,MB_PTD!$D$2:$AG$30,29,0)</f>
        <v>1.0009999999999999</v>
      </c>
      <c r="F36" s="77">
        <f>HLOOKUP(A36,MB_PPU!$D$2:$AG$9,8,0)</f>
        <v>0.67000000000000004</v>
      </c>
      <c r="G36" s="77">
        <f>HLOOKUP(A36,MB_PPU!$D$2:$AG$16,15,0)</f>
        <v>1.2330000000000001</v>
      </c>
      <c r="H36" s="77">
        <f>HLOOKUP(A36,MB_PPU!$D$2:$AG$23,22,0)</f>
        <v>0.67000000000000004</v>
      </c>
      <c r="I36" s="77">
        <f>HLOOKUP(A36,MB_PPU!$D$2:$AG$30,29,0)</f>
        <v>1.042</v>
      </c>
      <c r="J36" s="77">
        <f>HLOOKUP(A36,MB_LLDPE!$D$2:$AG$9,8,0)</f>
        <v>1.5579999999999998</v>
      </c>
      <c r="K36" s="77">
        <f>HLOOKUP(A36,MB_LLDPE!$D$2:$AG$16,15,0)</f>
        <v>1.2909999999999999</v>
      </c>
      <c r="L36" s="77">
        <f>HLOOKUP(A36,MB_LLDPE!$D$2:$AG$23,22,0)</f>
        <v>0.91700000000000004</v>
      </c>
      <c r="M36" s="77">
        <f>HLOOKUP(A36,MB_LLDPE!$D$2:$AG$30,29,0)</f>
        <v>0.26400000000000001</v>
      </c>
      <c r="N36" s="77">
        <f>HLOOKUP(A36,MB_LLDPE!$D$2:$AG$37,36,0)</f>
        <v>0.755</v>
      </c>
    </row>
    <row r="37" spans="1:14" ht="15.75">
      <c r="A37" s="76">
        <f>MB_PTD!AE2</f>
        <v>45958</v>
      </c>
      <c r="B37" s="77">
        <f>HLOOKUP(A37,MB_PTD!$D$2:$AG$9,8,0)</f>
        <v>1</v>
      </c>
      <c r="C37" s="77">
        <f>HLOOKUP(A37,MB_PTD!$D$2:$AG$16,15,0)</f>
        <v>1</v>
      </c>
      <c r="D37" s="77">
        <f>HLOOKUP(A37,MB_PTD!$D$2:$AG$23,22,0)</f>
        <v>1</v>
      </c>
      <c r="E37" s="77">
        <f>HLOOKUP(A37,MB_PTD!$D$2:$AG$30,29,0)</f>
        <v>1.7079999999999997</v>
      </c>
      <c r="F37" s="77">
        <f>HLOOKUP(A37,MB_PPU!$D$2:$AG$9,8,0)</f>
        <v>0.53400000000000003</v>
      </c>
      <c r="G37" s="77">
        <f>HLOOKUP(A37,MB_PPU!$D$2:$AG$16,15,0)</f>
        <v>1.1160000000000001</v>
      </c>
      <c r="H37" s="77">
        <f>HLOOKUP(A37,MB_PPU!$D$2:$AG$23,22,0)</f>
        <v>0.53400000000000003</v>
      </c>
      <c r="I37" s="77">
        <f>HLOOKUP(A37,MB_PPU!$D$2:$AG$30,29,0)</f>
        <v>0.69400000000000006</v>
      </c>
      <c r="J37" s="77">
        <f>HLOOKUP(A37,MB_LLDPE!$D$2:$AG$9,8,0)</f>
        <v>1.1039999999999999</v>
      </c>
      <c r="K37" s="77">
        <f>HLOOKUP(A37,MB_LLDPE!$D$2:$AG$16,15,0)</f>
        <v>1.1459999999999999</v>
      </c>
      <c r="L37" s="77">
        <f>HLOOKUP(A37,MB_LLDPE!$D$2:$AG$23,22,0)</f>
        <v>1.1819999999999999</v>
      </c>
      <c r="M37" s="77">
        <f>HLOOKUP(A37,MB_LLDPE!$D$2:$AG$30,29,0)</f>
        <v>0.33799999999999997</v>
      </c>
      <c r="N37" s="77">
        <f>HLOOKUP(A37,MB_LLDPE!$D$2:$AG$37,36,0)</f>
        <v>0.755</v>
      </c>
    </row>
    <row r="38" spans="1:14" ht="15.75">
      <c r="A38" s="76">
        <f>MB_PTD!AF2</f>
        <v>45959</v>
      </c>
      <c r="B38" s="77">
        <f>HLOOKUP(A38,MB_PTD!$D$2:$AG$9,8,0)</f>
        <v>1</v>
      </c>
      <c r="C38" s="77">
        <f>HLOOKUP(A38,MB_PTD!$D$2:$AG$16,15,0)</f>
        <v>1</v>
      </c>
      <c r="D38" s="77">
        <f>HLOOKUP(A38,MB_PTD!$D$2:$AG$23,22,0)</f>
        <v>1</v>
      </c>
      <c r="E38" s="77">
        <f>HLOOKUP(A38,MB_PTD!$D$2:$AG$30,29,0)</f>
        <v>1.0009999999999999</v>
      </c>
      <c r="F38" s="77">
        <f>HLOOKUP(A38,MB_PPU!$D$2:$AG$9,8,0)</f>
        <v>0.67000000000000004</v>
      </c>
      <c r="G38" s="77">
        <f>HLOOKUP(A38,MB_PPU!$D$2:$AG$16,15,0)</f>
        <v>0.67000000000000004</v>
      </c>
      <c r="H38" s="77">
        <f>HLOOKUP(A38,MB_PPU!$D$2:$AG$23,22,0)</f>
        <v>0.67000000000000004</v>
      </c>
      <c r="I38" s="77">
        <f>HLOOKUP(A38,MB_PPU!$D$2:$AG$30,29,0)</f>
        <v>0.93100000000000005</v>
      </c>
      <c r="J38" s="77">
        <f>HLOOKUP(A38,MB_LLDPE!$D$2:$AG$9,8,0)</f>
        <v>0.95099999999999996</v>
      </c>
      <c r="K38" s="77">
        <f>HLOOKUP(A38,MB_LLDPE!$D$2:$AG$16,15,0)</f>
        <v>1.224</v>
      </c>
      <c r="L38" s="77">
        <f>HLOOKUP(A38,MB_LLDPE!$D$2:$AG$23,22,0)</f>
        <v>1.1819999999999999</v>
      </c>
      <c r="M38" s="77">
        <f>HLOOKUP(A38,MB_LLDPE!$D$2:$AG$30,29,0)</f>
        <v>0.22700000000000001</v>
      </c>
      <c r="N38" s="77">
        <f>HLOOKUP(A38,MB_LLDPE!$D$2:$AG$37,36,0)</f>
        <v>0.86899999999999999</v>
      </c>
    </row>
    <row r="39" spans="1:14" ht="15.75">
      <c r="A39" s="76">
        <f>MB_PTD!AG2</f>
        <v>45960</v>
      </c>
      <c r="B39" s="77">
        <f>HLOOKUP(A39,MB_PTD!$D$2:$AG$9,8,0)</f>
        <v>1</v>
      </c>
      <c r="C39" s="77">
        <f>HLOOKUP(A39,MB_PTD!$D$2:$AG$16,15,0)</f>
        <v>1</v>
      </c>
      <c r="D39" s="77">
        <f>HLOOKUP(A39,MB_PTD!$D$2:$AG$23,22,0)</f>
        <v>1</v>
      </c>
      <c r="E39" s="77">
        <f>HLOOKUP(A39,MB_PTD!$D$2:$AG$30,29,0)</f>
        <v>1.7079999999999997</v>
      </c>
      <c r="F39" s="77">
        <f>HLOOKUP(A39,MB_PPU!$D$2:$AG$9,8,0)</f>
        <v>0.67000000000000004</v>
      </c>
      <c r="G39" s="77">
        <f>HLOOKUP(A39,MB_PPU!$D$2:$AG$16,15,0)</f>
        <v>1.1160000000000001</v>
      </c>
      <c r="H39" s="77">
        <f>HLOOKUP(A39,MB_PPU!$D$2:$AG$23,22,0)</f>
        <v>0.67000000000000004</v>
      </c>
      <c r="I39" s="77">
        <f>HLOOKUP(A39,MB_PPU!$D$2:$AG$30,29,0)</f>
        <v>0.77300000000000002</v>
      </c>
      <c r="J39" s="77">
        <f>HLOOKUP(A39,MB_LLDPE!$D$2:$AG$9,8,0)</f>
        <v>1.1819999999999999</v>
      </c>
      <c r="K39" s="77">
        <f>HLOOKUP(A39,MB_LLDPE!$D$2:$AG$16,15,0)</f>
        <v>1.173</v>
      </c>
      <c r="L39" s="77">
        <f>HLOOKUP(A39,MB_LLDPE!$D$2:$AG$23,22,0)</f>
        <v>0.78899999999999992</v>
      </c>
      <c r="M39" s="77">
        <f>HLOOKUP(A39,MB_LLDPE!$D$2:$AG$30,29,0)</f>
        <v>0.32500000000000001</v>
      </c>
      <c r="N39" s="77">
        <f>HLOOKUP(A39,MB_LLDPE!$D$2:$AG$37,36,0)</f>
        <v>1.1040000000000001</v>
      </c>
    </row>
    <row r="40" spans="1:14" ht="15.75">
      <c r="A40" s="76">
        <f>MB_PTD!AH2</f>
        <v>45961</v>
      </c>
      <c r="B40" s="77">
        <f>HLOOKUP(A40,MB_PTD!$D$2:$AH$9,8,0)</f>
        <v>0.41499999999999998</v>
      </c>
      <c r="C40" s="77">
        <f>HLOOKUP(A40,MB_PTD!$D$2:$AH$16,15,0)</f>
        <v>1</v>
      </c>
      <c r="D40" s="77">
        <f>HLOOKUP(A40,MB_PTD!$D$2:$AH$23,22,0)</f>
        <v>1</v>
      </c>
      <c r="E40" s="77">
        <f>HLOOKUP(A40,MB_PTD!$D$2:$AH$30,29,0)</f>
        <v>1.4139999999999999</v>
      </c>
      <c r="F40" s="77">
        <f>HLOOKUP(A40,MB_PPU!$D$2:$AH$9,8,0)</f>
        <v>0.80600000000000005</v>
      </c>
      <c r="G40" s="77">
        <f>HLOOKUP(A40,MB_PPU!$D$2:$AH$16,15,0)</f>
        <v>0.97999999999999998</v>
      </c>
      <c r="H40" s="77">
        <f>HLOOKUP(A40,MB_PPU!$D$2:$AH$23,22,0)</f>
        <v>0.67000000000000004</v>
      </c>
      <c r="I40" s="77">
        <f>HLOOKUP(A40,MB_PPU!$D$2:$AH$30,29,0)</f>
        <v>1.121</v>
      </c>
      <c r="J40" s="77">
        <f>HLOOKUP(A40,MB_LLDPE!$D$2:$AH$9,8,0)</f>
        <v>1.4129999999999998</v>
      </c>
      <c r="K40" s="77">
        <f>HLOOKUP(A40,MB_LLDPE!$D$2:$AH$16,15,0)</f>
        <v>1.4379999999999999</v>
      </c>
      <c r="L40" s="77">
        <f>HLOOKUP(A40,MB_LLDPE!$D$2:$AH$23,22,0)</f>
        <v>0.93399999999999994</v>
      </c>
      <c r="M40" s="77">
        <f>HLOOKUP(A40,MB_LLDPE!$D$2:$AH$30,29,0)</f>
        <v>0.28799999999999998</v>
      </c>
      <c r="N40" s="77">
        <f>HLOOKUP(A40,MB_LLDPE!$D$2:$AH$37,36,0)</f>
        <v>0.86899999999999999</v>
      </c>
    </row>
    <row r="41" spans="1:14" ht="15.75">
      <c r="A41" s="78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</row>
    <row r="42" spans="1:14" ht="15.75">
      <c r="A42" s="79" t="s">
        <v>156</v>
      </c>
      <c r="B42" s="80">
        <f t="shared" si="0" ref="B42:N42">SUM(B10:B41)</f>
        <v>29.829999999999998</v>
      </c>
      <c r="C42" s="80">
        <f t="shared" si="0"/>
        <v>30.414999999999999</v>
      </c>
      <c r="D42" s="80">
        <f t="shared" si="0"/>
        <v>29.244999999999997</v>
      </c>
      <c r="E42" s="80">
        <f t="shared" si="0"/>
        <v>32.451999999999998</v>
      </c>
      <c r="F42" s="80">
        <f t="shared" si="0"/>
        <v>20.25500000000001</v>
      </c>
      <c r="G42" s="80">
        <f t="shared" si="0"/>
        <v>30.073000000000008</v>
      </c>
      <c r="H42" s="80">
        <f t="shared" si="0"/>
        <v>19.332000000000008</v>
      </c>
      <c r="I42" s="80">
        <f t="shared" si="0"/>
        <v>22.266999999999999</v>
      </c>
      <c r="J42" s="80">
        <f t="shared" si="0"/>
        <v>36.927999999999997</v>
      </c>
      <c r="K42" s="80">
        <f t="shared" si="0"/>
        <v>35.853000000000002</v>
      </c>
      <c r="L42" s="80">
        <f t="shared" si="0"/>
        <v>27.073500000000003</v>
      </c>
      <c r="M42" s="80">
        <f t="shared" si="0"/>
        <v>5.2120000000000006</v>
      </c>
      <c r="N42" s="80">
        <f t="shared" si="0"/>
        <v>19.310999999999996</v>
      </c>
    </row>
    <row r="43" spans="1:14" ht="15.75">
      <c r="A43" s="79" t="s">
        <v>141</v>
      </c>
      <c r="B43" s="602">
        <f>B42+C42+D42</f>
        <v>89.489999999999995</v>
      </c>
      <c r="C43" s="603"/>
      <c r="D43" s="604"/>
      <c r="E43" s="80">
        <f>E42</f>
        <v>32.451999999999998</v>
      </c>
      <c r="F43" s="602">
        <f>F42+G42+H42</f>
        <v>69.660000000000025</v>
      </c>
      <c r="G43" s="603"/>
      <c r="H43" s="604"/>
      <c r="I43" s="80">
        <f>I42</f>
        <v>22.266999999999999</v>
      </c>
      <c r="J43" s="602">
        <f>J42+K42+L42</f>
        <v>99.854500000000002</v>
      </c>
      <c r="K43" s="603"/>
      <c r="L43" s="604"/>
      <c r="M43" s="80">
        <f>M42</f>
        <v>5.2120000000000006</v>
      </c>
      <c r="N43" s="80">
        <f>N42</f>
        <v>19.310999999999996</v>
      </c>
    </row>
  </sheetData>
  <sheetProtection/>
  <mergeCells count="16">
    <mergeCell ref="A1:N1"/>
    <mergeCell ref="F43:H43"/>
    <mergeCell ref="A7:A9"/>
    <mergeCell ref="J8:L8"/>
    <mergeCell ref="M8:M9"/>
    <mergeCell ref="B43:D43"/>
    <mergeCell ref="J43:L43"/>
    <mergeCell ref="A2:N2"/>
    <mergeCell ref="F7:I7"/>
    <mergeCell ref="F8:H8"/>
    <mergeCell ref="I8:I9"/>
    <mergeCell ref="B7:E7"/>
    <mergeCell ref="J7:M7"/>
    <mergeCell ref="N7:N9"/>
    <mergeCell ref="B8:D8"/>
    <mergeCell ref="E8:E9"/>
  </mergeCells>
  <printOptions horizontalCentered="1"/>
  <pageMargins left="0.25" right="0.25" top="0.75" bottom="0.75" header="0.3" footer="0.3"/>
  <pageSetup fitToHeight="0" orientation="landscape" paperSize="1" scale="64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CCE0DB12-3618-414F-A984-74460B2BB9AB}">
  <sheetPr codeName="Sheet8">
    <pageSetUpPr fitToPage="1"/>
  </sheetPr>
  <dimension ref="A1:AL30"/>
  <sheetViews>
    <sheetView view="pageBreakPreview" zoomScale="80" zoomScaleNormal="80" zoomScaleSheetLayoutView="80" workbookViewId="0" topLeftCell="A1">
      <selection pane="topLeft" activeCell="E32" sqref="E32"/>
    </sheetView>
  </sheetViews>
  <sheetFormatPr defaultRowHeight="12.75"/>
  <cols>
    <col min="1" max="1" width="8.42857142857143" bestFit="1" customWidth="1"/>
    <col min="2" max="2" width="19" bestFit="1" customWidth="1"/>
    <col min="3" max="3" width="7.14285714285714" customWidth="1"/>
    <col min="4" max="4" width="6.42857142857143" bestFit="1" customWidth="1"/>
    <col min="5" max="5" width="6.57142857142857" bestFit="1" customWidth="1"/>
    <col min="6" max="11" width="6.42857142857143" bestFit="1" customWidth="1"/>
    <col min="12" max="12" width="6.57142857142857" bestFit="1" customWidth="1"/>
    <col min="13" max="15" width="6.42857142857143" bestFit="1" customWidth="1"/>
    <col min="16" max="16" width="6.57142857142857" bestFit="1" customWidth="1"/>
    <col min="17" max="17" width="6.42857142857143" bestFit="1" customWidth="1"/>
    <col min="18" max="19" width="6.57142857142857" bestFit="1" customWidth="1"/>
    <col min="20" max="25" width="6.42857142857143" bestFit="1" customWidth="1"/>
    <col min="26" max="26" width="6.57142857142857" bestFit="1" customWidth="1"/>
    <col min="27" max="30" width="6.42857142857143" bestFit="1" customWidth="1"/>
    <col min="31" max="31" width="6.57142857142857" bestFit="1" customWidth="1"/>
    <col min="32" max="32" width="6.42857142857143" bestFit="1" customWidth="1"/>
    <col min="33" max="33" width="6.57142857142857" bestFit="1" customWidth="1"/>
    <col min="34" max="34" width="6.57142857142857" customWidth="1"/>
    <col min="35" max="35" width="8.42857142857143" customWidth="1"/>
  </cols>
  <sheetData>
    <row r="1" spans="1:35" ht="12.75">
      <c r="A1" s="606" t="str">
        <f>"DETAIL OF PART-B MEASUREMENT PPU SITE FOR "&amp;'Working Sheet'!C7&amp;" MONTH"</f>
        <v>DETAIL OF PART-B MEASUREMENT PPU SITE FOR OCTOBER-2025 MONTH</v>
      </c>
      <c r="B1" s="607"/>
      <c r="C1" s="607"/>
      <c r="D1" s="607"/>
      <c r="E1" s="607"/>
      <c r="F1" s="607"/>
      <c r="G1" s="607"/>
      <c r="H1" s="607"/>
      <c r="I1" s="607"/>
      <c r="J1" s="607"/>
      <c r="K1" s="607"/>
      <c r="L1" s="607"/>
      <c r="M1" s="607"/>
      <c r="N1" s="607"/>
      <c r="O1" s="607"/>
      <c r="P1" s="607"/>
      <c r="Q1" s="607"/>
      <c r="R1" s="607"/>
      <c r="S1" s="607"/>
      <c r="T1" s="607"/>
      <c r="U1" s="607"/>
      <c r="V1" s="607"/>
      <c r="W1" s="607"/>
      <c r="X1" s="607"/>
      <c r="Y1" s="607"/>
      <c r="Z1" s="607"/>
      <c r="AA1" s="607"/>
      <c r="AB1" s="607"/>
      <c r="AC1" s="607"/>
      <c r="AD1" s="607"/>
      <c r="AE1" s="607"/>
      <c r="AF1" s="607"/>
      <c r="AG1" s="607"/>
      <c r="AH1" s="607"/>
      <c r="AI1" s="608"/>
    </row>
    <row r="2" spans="1:35" ht="92.45" customHeight="1">
      <c r="A2" s="36" t="s">
        <v>150</v>
      </c>
      <c r="B2" s="36" t="s">
        <v>142</v>
      </c>
      <c r="C2" s="37" t="s">
        <v>154</v>
      </c>
      <c r="D2" s="38">
        <f>MB_LLDPE!D2</f>
        <v>45931</v>
      </c>
      <c r="E2" s="38">
        <f>MB_LLDPE!E2</f>
        <v>45932</v>
      </c>
      <c r="F2" s="38">
        <f>MB_LLDPE!F2</f>
        <v>45933</v>
      </c>
      <c r="G2" s="38">
        <f>MB_LLDPE!G2</f>
        <v>45934</v>
      </c>
      <c r="H2" s="38">
        <f>MB_LLDPE!H2</f>
        <v>45935</v>
      </c>
      <c r="I2" s="38">
        <f>MB_LLDPE!I2</f>
        <v>45936</v>
      </c>
      <c r="J2" s="38">
        <f>MB_LLDPE!J2</f>
        <v>45937</v>
      </c>
      <c r="K2" s="38">
        <f>MB_LLDPE!K2</f>
        <v>45938</v>
      </c>
      <c r="L2" s="38">
        <f>MB_LLDPE!L2</f>
        <v>45939</v>
      </c>
      <c r="M2" s="38">
        <f>MB_LLDPE!M2</f>
        <v>45940</v>
      </c>
      <c r="N2" s="38">
        <f>MB_LLDPE!N2</f>
        <v>45941</v>
      </c>
      <c r="O2" s="38">
        <f>MB_LLDPE!O2</f>
        <v>45942</v>
      </c>
      <c r="P2" s="38">
        <f>MB_LLDPE!P2</f>
        <v>45943</v>
      </c>
      <c r="Q2" s="38">
        <f>MB_LLDPE!Q2</f>
        <v>45944</v>
      </c>
      <c r="R2" s="38">
        <f>MB_LLDPE!R2</f>
        <v>45945</v>
      </c>
      <c r="S2" s="38">
        <f>MB_LLDPE!S2</f>
        <v>45946</v>
      </c>
      <c r="T2" s="38">
        <f>MB_LLDPE!T2</f>
        <v>45947</v>
      </c>
      <c r="U2" s="38">
        <f>MB_LLDPE!U2</f>
        <v>45948</v>
      </c>
      <c r="V2" s="38">
        <f>MB_LLDPE!V2</f>
        <v>45949</v>
      </c>
      <c r="W2" s="38">
        <f>MB_LLDPE!W2</f>
        <v>45950</v>
      </c>
      <c r="X2" s="38">
        <f>MB_LLDPE!X2</f>
        <v>45951</v>
      </c>
      <c r="Y2" s="38">
        <f>MB_LLDPE!Y2</f>
        <v>45952</v>
      </c>
      <c r="Z2" s="38">
        <f>MB_LLDPE!Z2</f>
        <v>45953</v>
      </c>
      <c r="AA2" s="38">
        <f>MB_LLDPE!AA2</f>
        <v>45954</v>
      </c>
      <c r="AB2" s="38">
        <f>MB_LLDPE!AB2</f>
        <v>45955</v>
      </c>
      <c r="AC2" s="38">
        <f>MB_LLDPE!AC2</f>
        <v>45956</v>
      </c>
      <c r="AD2" s="38">
        <f>MB_LLDPE!AD2</f>
        <v>45957</v>
      </c>
      <c r="AE2" s="38">
        <f>MB_LLDPE!AE2</f>
        <v>45958</v>
      </c>
      <c r="AF2" s="38">
        <f>MB_LLDPE!AF2</f>
        <v>45959</v>
      </c>
      <c r="AG2" s="38">
        <f>MB_LLDPE!AG2</f>
        <v>45960</v>
      </c>
      <c r="AH2" s="38">
        <f>MB_LLDPE!AH2</f>
        <v>45961</v>
      </c>
      <c r="AI2" s="39" t="s">
        <v>132</v>
      </c>
    </row>
    <row r="3" spans="1:35" ht="20.1" customHeight="1">
      <c r="A3" s="40" t="s">
        <v>155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2"/>
    </row>
    <row r="4" spans="1:38" ht="20.1" customHeight="1">
      <c r="A4" s="43">
        <v>1</v>
      </c>
      <c r="B4" s="44" t="s">
        <v>143</v>
      </c>
      <c r="C4" s="45">
        <v>0.193</v>
      </c>
      <c r="D4" s="46">
        <v>0</v>
      </c>
      <c r="E4" s="46">
        <v>0</v>
      </c>
      <c r="F4" s="46">
        <v>0</v>
      </c>
      <c r="G4" s="46">
        <v>0</v>
      </c>
      <c r="H4" s="46">
        <v>0</v>
      </c>
      <c r="I4" s="46">
        <v>0</v>
      </c>
      <c r="J4" s="46">
        <v>0</v>
      </c>
      <c r="K4" s="46">
        <v>0</v>
      </c>
      <c r="L4" s="46">
        <v>0</v>
      </c>
      <c r="M4" s="46">
        <v>0</v>
      </c>
      <c r="N4" s="46">
        <v>0</v>
      </c>
      <c r="O4" s="46">
        <v>0</v>
      </c>
      <c r="P4" s="46">
        <v>0</v>
      </c>
      <c r="Q4" s="46">
        <v>0</v>
      </c>
      <c r="R4" s="46">
        <v>0</v>
      </c>
      <c r="S4" s="46">
        <v>0</v>
      </c>
      <c r="T4" s="46">
        <v>0</v>
      </c>
      <c r="U4" s="46">
        <v>0</v>
      </c>
      <c r="V4" s="46"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 s="51">
        <f t="shared" si="0" ref="AI4:AI9">SUM(D4:AH4)</f>
        <v>0</v>
      </c>
      <c r="AK4" s="35">
        <f>AI4+AI11+AI18+AI25</f>
        <v>73</v>
      </c>
      <c r="AL4" s="35"/>
    </row>
    <row r="5" spans="1:38" ht="20.1" customHeight="1">
      <c r="A5" s="43">
        <v>2</v>
      </c>
      <c r="B5" s="44" t="s">
        <v>144</v>
      </c>
      <c r="C5" s="47">
        <v>0.16400000000000001</v>
      </c>
      <c r="D5" s="46">
        <v>1</v>
      </c>
      <c r="E5" s="46">
        <v>1</v>
      </c>
      <c r="F5" s="46">
        <v>1</v>
      </c>
      <c r="G5" s="46">
        <v>1</v>
      </c>
      <c r="H5" s="46">
        <v>1</v>
      </c>
      <c r="I5" s="46">
        <v>1</v>
      </c>
      <c r="J5" s="46">
        <v>1</v>
      </c>
      <c r="K5" s="46">
        <v>1</v>
      </c>
      <c r="L5" s="46">
        <v>1</v>
      </c>
      <c r="M5" s="46">
        <v>0</v>
      </c>
      <c r="N5" s="46">
        <v>1</v>
      </c>
      <c r="O5" s="46">
        <v>1</v>
      </c>
      <c r="P5" s="46">
        <v>1</v>
      </c>
      <c r="Q5" s="46">
        <v>1</v>
      </c>
      <c r="R5" s="46">
        <v>1</v>
      </c>
      <c r="S5" s="46">
        <v>1</v>
      </c>
      <c r="T5" s="46">
        <v>1</v>
      </c>
      <c r="U5" s="46">
        <v>1</v>
      </c>
      <c r="V5" s="46">
        <v>1</v>
      </c>
      <c r="W5" s="46">
        <v>1</v>
      </c>
      <c r="X5" s="46">
        <v>1</v>
      </c>
      <c r="Y5" s="46">
        <v>1</v>
      </c>
      <c r="Z5" s="46">
        <v>1</v>
      </c>
      <c r="AA5" s="46">
        <v>1</v>
      </c>
      <c r="AB5" s="46">
        <v>1</v>
      </c>
      <c r="AC5" s="46">
        <v>1</v>
      </c>
      <c r="AD5" s="46">
        <v>1</v>
      </c>
      <c r="AE5" s="46">
        <v>1</v>
      </c>
      <c r="AF5" s="46">
        <v>1</v>
      </c>
      <c r="AG5" s="46">
        <v>1</v>
      </c>
      <c r="AH5" s="46">
        <v>1</v>
      </c>
      <c r="AI5" s="51">
        <f t="shared" si="0"/>
        <v>30</v>
      </c>
      <c r="AK5" s="35">
        <f>AI5+AI12+AI19+AI26</f>
        <v>100</v>
      </c>
      <c r="AL5" s="35"/>
    </row>
    <row r="6" spans="1:38" ht="20.1" customHeight="1">
      <c r="A6" s="43">
        <v>3</v>
      </c>
      <c r="B6" s="44" t="s">
        <v>145</v>
      </c>
      <c r="C6" s="45">
        <v>0.13600000000000001</v>
      </c>
      <c r="D6" s="46">
        <v>1</v>
      </c>
      <c r="E6" s="46">
        <v>2</v>
      </c>
      <c r="F6" s="46">
        <v>2</v>
      </c>
      <c r="G6" s="46">
        <v>2</v>
      </c>
      <c r="H6" s="46">
        <v>2</v>
      </c>
      <c r="I6" s="234">
        <v>2</v>
      </c>
      <c r="J6" s="46">
        <v>2</v>
      </c>
      <c r="K6" s="46">
        <v>2</v>
      </c>
      <c r="L6" s="46">
        <v>2</v>
      </c>
      <c r="M6" s="46">
        <v>3</v>
      </c>
      <c r="N6" s="46">
        <v>2</v>
      </c>
      <c r="O6" s="46">
        <v>2</v>
      </c>
      <c r="P6" s="46">
        <v>2</v>
      </c>
      <c r="Q6" s="46">
        <v>2</v>
      </c>
      <c r="R6" s="46">
        <v>2</v>
      </c>
      <c r="S6" s="46">
        <v>2</v>
      </c>
      <c r="T6" s="46">
        <v>2</v>
      </c>
      <c r="U6" s="46">
        <v>2</v>
      </c>
      <c r="V6" s="46">
        <v>2</v>
      </c>
      <c r="W6" s="46">
        <v>2</v>
      </c>
      <c r="X6" s="46">
        <v>2</v>
      </c>
      <c r="Y6" s="46">
        <v>2</v>
      </c>
      <c r="Z6" s="46">
        <v>2</v>
      </c>
      <c r="AA6" s="46">
        <v>2</v>
      </c>
      <c r="AB6" s="46">
        <v>2</v>
      </c>
      <c r="AC6" s="46">
        <v>2</v>
      </c>
      <c r="AD6" s="46">
        <v>2</v>
      </c>
      <c r="AE6" s="46">
        <v>1</v>
      </c>
      <c r="AF6" s="46">
        <v>2</v>
      </c>
      <c r="AG6" s="46">
        <v>2</v>
      </c>
      <c r="AH6" s="46">
        <v>3</v>
      </c>
      <c r="AI6" s="51">
        <f t="shared" si="0"/>
        <v>62</v>
      </c>
      <c r="AK6" s="35">
        <f>AI6+AI13+AI20+AI27</f>
        <v>269</v>
      </c>
      <c r="AL6" s="35"/>
    </row>
    <row r="7" spans="1:38" ht="20.1" customHeight="1">
      <c r="A7" s="43">
        <v>4</v>
      </c>
      <c r="B7" s="44" t="s">
        <v>146</v>
      </c>
      <c r="C7" s="47">
        <v>0.11700000000000001</v>
      </c>
      <c r="D7" s="46">
        <v>2</v>
      </c>
      <c r="E7" s="46">
        <v>2</v>
      </c>
      <c r="F7" s="46">
        <v>2</v>
      </c>
      <c r="G7" s="46">
        <v>1</v>
      </c>
      <c r="H7" s="46">
        <v>2</v>
      </c>
      <c r="I7" s="46">
        <v>2</v>
      </c>
      <c r="J7" s="46">
        <v>2</v>
      </c>
      <c r="K7" s="46">
        <v>2</v>
      </c>
      <c r="L7" s="46">
        <v>2</v>
      </c>
      <c r="M7" s="46">
        <v>2</v>
      </c>
      <c r="N7" s="46">
        <v>2</v>
      </c>
      <c r="O7" s="46">
        <v>2</v>
      </c>
      <c r="P7" s="46">
        <v>1</v>
      </c>
      <c r="Q7" s="46">
        <v>2</v>
      </c>
      <c r="R7" s="46">
        <v>2</v>
      </c>
      <c r="S7" s="46">
        <v>2</v>
      </c>
      <c r="T7" s="46">
        <v>2</v>
      </c>
      <c r="U7" s="46">
        <v>1</v>
      </c>
      <c r="V7" s="46">
        <v>2</v>
      </c>
      <c r="W7" s="46">
        <v>2</v>
      </c>
      <c r="X7" s="46">
        <v>2</v>
      </c>
      <c r="Y7" s="46">
        <v>2</v>
      </c>
      <c r="Z7" s="46">
        <v>2</v>
      </c>
      <c r="AA7" s="46">
        <v>2</v>
      </c>
      <c r="AB7" s="46">
        <v>2</v>
      </c>
      <c r="AC7" s="46">
        <v>2</v>
      </c>
      <c r="AD7" s="46">
        <v>2</v>
      </c>
      <c r="AE7" s="46">
        <v>2</v>
      </c>
      <c r="AF7" s="46">
        <v>2</v>
      </c>
      <c r="AG7" s="46">
        <v>2</v>
      </c>
      <c r="AH7" s="46">
        <v>2</v>
      </c>
      <c r="AI7" s="51">
        <f t="shared" si="0"/>
        <v>59</v>
      </c>
      <c r="AK7" s="35">
        <f>AI7+AI14+AI21+AI28</f>
        <v>304</v>
      </c>
      <c r="AL7" s="35"/>
    </row>
    <row r="8" spans="1:38" ht="20.1" customHeight="1">
      <c r="A8" s="47" t="s">
        <v>132</v>
      </c>
      <c r="B8" s="53"/>
      <c r="C8" s="53"/>
      <c r="D8" s="48">
        <f>SUM(D3:D7)</f>
        <v>4</v>
      </c>
      <c r="E8" s="48">
        <f>SUM(E3:E7)</f>
        <v>5</v>
      </c>
      <c r="F8" s="48">
        <f t="shared" si="1" ref="F8:AE8">SUM(F3:F7)</f>
        <v>5</v>
      </c>
      <c r="G8" s="48">
        <f t="shared" si="1"/>
        <v>4</v>
      </c>
      <c r="H8" s="48">
        <f t="shared" si="1"/>
        <v>5</v>
      </c>
      <c r="I8" s="48">
        <f t="shared" si="1"/>
        <v>5</v>
      </c>
      <c r="J8" s="48">
        <f t="shared" si="1"/>
        <v>5</v>
      </c>
      <c r="K8" s="48">
        <f t="shared" si="1"/>
        <v>5</v>
      </c>
      <c r="L8" s="48">
        <f t="shared" si="1"/>
        <v>5</v>
      </c>
      <c r="M8" s="48">
        <f t="shared" si="1"/>
        <v>5</v>
      </c>
      <c r="N8" s="48">
        <f t="shared" si="1"/>
        <v>5</v>
      </c>
      <c r="O8" s="48">
        <f t="shared" si="1"/>
        <v>5</v>
      </c>
      <c r="P8" s="48">
        <f t="shared" si="1"/>
        <v>4</v>
      </c>
      <c r="Q8" s="48">
        <f>SUM(Q3:Q7)</f>
        <v>5</v>
      </c>
      <c r="R8" s="48">
        <f t="shared" si="1"/>
        <v>5</v>
      </c>
      <c r="S8" s="48">
        <f t="shared" si="1"/>
        <v>5</v>
      </c>
      <c r="T8" s="48">
        <f t="shared" si="1"/>
        <v>5</v>
      </c>
      <c r="U8" s="48">
        <f t="shared" si="1"/>
        <v>4</v>
      </c>
      <c r="V8" s="48">
        <f t="shared" si="1"/>
        <v>5</v>
      </c>
      <c r="W8" s="48">
        <f t="shared" si="1"/>
        <v>5</v>
      </c>
      <c r="X8" s="48">
        <f t="shared" si="1"/>
        <v>5</v>
      </c>
      <c r="Y8" s="48">
        <f t="shared" si="1"/>
        <v>5</v>
      </c>
      <c r="Z8" s="48">
        <f t="shared" si="1"/>
        <v>5</v>
      </c>
      <c r="AA8" s="48">
        <f t="shared" si="1"/>
        <v>5</v>
      </c>
      <c r="AB8" s="48">
        <f t="shared" si="1"/>
        <v>5</v>
      </c>
      <c r="AC8" s="48">
        <f t="shared" si="1"/>
        <v>5</v>
      </c>
      <c r="AD8" s="48">
        <f t="shared" si="1"/>
        <v>5</v>
      </c>
      <c r="AE8" s="48">
        <f t="shared" si="1"/>
        <v>4</v>
      </c>
      <c r="AF8" s="48">
        <f>SUM(AF3:AF7)</f>
        <v>5</v>
      </c>
      <c r="AG8" s="48">
        <f>SUM(AG3:AG7)</f>
        <v>5</v>
      </c>
      <c r="AH8" s="48">
        <f>SUM(AH3:AH7)</f>
        <v>6</v>
      </c>
      <c r="AI8" s="49">
        <f t="shared" si="0"/>
        <v>151</v>
      </c>
      <c r="AL8" s="35"/>
    </row>
    <row r="9" spans="1:35" ht="20.1" customHeight="1">
      <c r="A9" s="47"/>
      <c r="B9" s="53"/>
      <c r="C9" s="53"/>
      <c r="D9" s="50">
        <f>$C$4*D4+$C$5*D5+$C$6*D6+$C$7*D7</f>
        <v>0.53400000000000003</v>
      </c>
      <c r="E9" s="50">
        <f t="shared" si="2" ref="E9:AE9">$C$4*E4+$C$5*E5+$C$6*E6+$C$7*E7</f>
        <v>0.67000000000000004</v>
      </c>
      <c r="F9" s="50">
        <f t="shared" si="2"/>
        <v>0.67000000000000004</v>
      </c>
      <c r="G9" s="50">
        <f t="shared" si="2"/>
        <v>0.55300000000000005</v>
      </c>
      <c r="H9" s="50">
        <f t="shared" si="2"/>
        <v>0.67000000000000004</v>
      </c>
      <c r="I9" s="50">
        <f t="shared" si="2"/>
        <v>0.67000000000000004</v>
      </c>
      <c r="J9" s="50">
        <f t="shared" si="2"/>
        <v>0.67000000000000004</v>
      </c>
      <c r="K9" s="50">
        <f t="shared" si="2"/>
        <v>0.67000000000000004</v>
      </c>
      <c r="L9" s="50">
        <f t="shared" si="2"/>
        <v>0.67000000000000004</v>
      </c>
      <c r="M9" s="50">
        <f t="shared" si="2"/>
        <v>0.64200000000000002</v>
      </c>
      <c r="N9" s="50">
        <f t="shared" si="2"/>
        <v>0.67000000000000004</v>
      </c>
      <c r="O9" s="50">
        <f t="shared" si="2"/>
        <v>0.67000000000000004</v>
      </c>
      <c r="P9" s="50">
        <f t="shared" si="2"/>
        <v>0.55300000000000005</v>
      </c>
      <c r="Q9" s="50">
        <f t="shared" si="2"/>
        <v>0.67000000000000004</v>
      </c>
      <c r="R9" s="50">
        <f t="shared" si="2"/>
        <v>0.67000000000000004</v>
      </c>
      <c r="S9" s="50">
        <f t="shared" si="2"/>
        <v>0.67000000000000004</v>
      </c>
      <c r="T9" s="50">
        <f t="shared" si="2"/>
        <v>0.67000000000000004</v>
      </c>
      <c r="U9" s="50">
        <f t="shared" si="2"/>
        <v>0.55300000000000005</v>
      </c>
      <c r="V9" s="50">
        <f t="shared" si="2"/>
        <v>0.67000000000000004</v>
      </c>
      <c r="W9" s="50">
        <f t="shared" si="2"/>
        <v>0.67000000000000004</v>
      </c>
      <c r="X9" s="50">
        <f t="shared" si="2"/>
        <v>0.67000000000000004</v>
      </c>
      <c r="Y9" s="50">
        <f t="shared" si="2"/>
        <v>0.67000000000000004</v>
      </c>
      <c r="Z9" s="50">
        <f t="shared" si="2"/>
        <v>0.67000000000000004</v>
      </c>
      <c r="AA9" s="50">
        <f t="shared" si="2"/>
        <v>0.67000000000000004</v>
      </c>
      <c r="AB9" s="50">
        <f t="shared" si="2"/>
        <v>0.67000000000000004</v>
      </c>
      <c r="AC9" s="50">
        <f t="shared" si="2"/>
        <v>0.67000000000000004</v>
      </c>
      <c r="AD9" s="50">
        <f t="shared" si="2"/>
        <v>0.67000000000000004</v>
      </c>
      <c r="AE9" s="50">
        <f t="shared" si="2"/>
        <v>0.53400000000000003</v>
      </c>
      <c r="AF9" s="50">
        <f>$C$4*AF4+$C$5*AF5+$C$6*AF6+$C$7*AF7</f>
        <v>0.67000000000000004</v>
      </c>
      <c r="AG9" s="50">
        <f>$C$4*AG4+$C$5*AG5+$C$6*AG6+$C$7*AG7</f>
        <v>0.67000000000000004</v>
      </c>
      <c r="AH9" s="50">
        <f>$C$4*AH4+$C$5*AH5+$C$6*AH6+$C$7*AH7</f>
        <v>0.80600000000000005</v>
      </c>
      <c r="AI9" s="50">
        <f t="shared" si="0"/>
        <v>20.25500000000001</v>
      </c>
    </row>
    <row r="10" spans="1:35" ht="20.1" customHeight="1">
      <c r="A10" s="40" t="s">
        <v>151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235"/>
    </row>
    <row r="11" spans="1:35" ht="20.1" customHeight="1">
      <c r="A11" s="43">
        <v>1</v>
      </c>
      <c r="B11" s="44" t="s">
        <v>147</v>
      </c>
      <c r="C11" s="45">
        <v>0.193</v>
      </c>
      <c r="D11" s="234">
        <v>0</v>
      </c>
      <c r="E11" s="234">
        <v>1</v>
      </c>
      <c r="F11" s="234">
        <v>0</v>
      </c>
      <c r="G11" s="234">
        <v>1</v>
      </c>
      <c r="H11" s="234">
        <v>0</v>
      </c>
      <c r="I11" s="234">
        <v>1</v>
      </c>
      <c r="J11" s="234">
        <v>1</v>
      </c>
      <c r="K11" s="234">
        <v>0</v>
      </c>
      <c r="L11" s="234">
        <v>2</v>
      </c>
      <c r="M11" s="234">
        <v>2</v>
      </c>
      <c r="N11" s="234">
        <v>1</v>
      </c>
      <c r="O11" s="234">
        <v>0</v>
      </c>
      <c r="P11" s="234">
        <v>1</v>
      </c>
      <c r="Q11" s="234">
        <v>1</v>
      </c>
      <c r="R11" s="234">
        <v>0</v>
      </c>
      <c r="S11" s="234">
        <v>1</v>
      </c>
      <c r="T11" s="234">
        <v>1</v>
      </c>
      <c r="U11" s="234">
        <v>1</v>
      </c>
      <c r="V11" s="234">
        <v>0</v>
      </c>
      <c r="W11" s="234">
        <v>1</v>
      </c>
      <c r="X11" s="234">
        <v>1</v>
      </c>
      <c r="Y11" s="234">
        <v>0</v>
      </c>
      <c r="Z11" s="234">
        <v>1</v>
      </c>
      <c r="AA11" s="234">
        <v>1</v>
      </c>
      <c r="AB11" s="234">
        <v>1</v>
      </c>
      <c r="AC11" s="234">
        <v>0</v>
      </c>
      <c r="AD11" s="234">
        <v>1</v>
      </c>
      <c r="AE11" s="234">
        <v>1</v>
      </c>
      <c r="AF11" s="234">
        <v>0</v>
      </c>
      <c r="AG11" s="234">
        <v>1</v>
      </c>
      <c r="AH11" s="234">
        <v>1</v>
      </c>
      <c r="AI11" s="51">
        <f t="shared" si="3" ref="AI11:AI16">SUM(D11:AH11)</f>
        <v>23</v>
      </c>
    </row>
    <row r="12" spans="1:35" ht="20.1" customHeight="1">
      <c r="A12" s="43">
        <v>2</v>
      </c>
      <c r="B12" s="44" t="s">
        <v>144</v>
      </c>
      <c r="C12" s="47">
        <v>0.16400000000000001</v>
      </c>
      <c r="D12" s="234">
        <v>1</v>
      </c>
      <c r="E12" s="234">
        <v>1</v>
      </c>
      <c r="F12" s="234">
        <v>1</v>
      </c>
      <c r="G12" s="234">
        <v>1</v>
      </c>
      <c r="H12" s="234">
        <v>1</v>
      </c>
      <c r="I12" s="234">
        <v>1</v>
      </c>
      <c r="J12" s="234">
        <v>1</v>
      </c>
      <c r="K12" s="234">
        <v>1</v>
      </c>
      <c r="L12" s="234">
        <v>1</v>
      </c>
      <c r="M12" s="234">
        <v>1</v>
      </c>
      <c r="N12" s="234">
        <v>1</v>
      </c>
      <c r="O12" s="234">
        <v>1</v>
      </c>
      <c r="P12" s="234">
        <v>1</v>
      </c>
      <c r="Q12" s="234">
        <v>1</v>
      </c>
      <c r="R12" s="234">
        <v>1</v>
      </c>
      <c r="S12" s="234">
        <v>1</v>
      </c>
      <c r="T12" s="234">
        <v>1</v>
      </c>
      <c r="U12" s="234">
        <v>1</v>
      </c>
      <c r="V12" s="234">
        <v>1</v>
      </c>
      <c r="W12" s="234">
        <v>1</v>
      </c>
      <c r="X12" s="234">
        <v>1</v>
      </c>
      <c r="Y12" s="234">
        <v>1</v>
      </c>
      <c r="Z12" s="234">
        <v>1</v>
      </c>
      <c r="AA12" s="234">
        <v>1</v>
      </c>
      <c r="AB12" s="234">
        <v>1</v>
      </c>
      <c r="AC12" s="234">
        <v>1</v>
      </c>
      <c r="AD12" s="234">
        <v>1</v>
      </c>
      <c r="AE12" s="234">
        <v>1</v>
      </c>
      <c r="AF12" s="234">
        <v>1</v>
      </c>
      <c r="AG12" s="234">
        <v>1</v>
      </c>
      <c r="AH12" s="234">
        <v>1</v>
      </c>
      <c r="AI12" s="51">
        <f t="shared" si="3"/>
        <v>31</v>
      </c>
    </row>
    <row r="13" spans="1:35" ht="20.1" customHeight="1">
      <c r="A13" s="43">
        <v>3</v>
      </c>
      <c r="B13" s="44" t="s">
        <v>145</v>
      </c>
      <c r="C13" s="45">
        <v>0.13600000000000001</v>
      </c>
      <c r="D13" s="234">
        <v>2</v>
      </c>
      <c r="E13" s="234">
        <v>3</v>
      </c>
      <c r="F13" s="234">
        <v>2</v>
      </c>
      <c r="G13" s="234">
        <v>3</v>
      </c>
      <c r="H13" s="234">
        <v>2</v>
      </c>
      <c r="I13" s="234">
        <v>3</v>
      </c>
      <c r="J13" s="234">
        <v>3</v>
      </c>
      <c r="K13" s="234">
        <v>3</v>
      </c>
      <c r="L13" s="234">
        <v>3</v>
      </c>
      <c r="M13" s="234">
        <v>3</v>
      </c>
      <c r="N13" s="234">
        <v>3</v>
      </c>
      <c r="O13" s="234">
        <v>2</v>
      </c>
      <c r="P13" s="234">
        <v>2</v>
      </c>
      <c r="Q13" s="234">
        <v>3</v>
      </c>
      <c r="R13" s="234">
        <v>3</v>
      </c>
      <c r="S13" s="234">
        <v>3</v>
      </c>
      <c r="T13" s="234">
        <v>3</v>
      </c>
      <c r="U13" s="234">
        <v>2</v>
      </c>
      <c r="V13" s="234">
        <v>2</v>
      </c>
      <c r="W13" s="234">
        <v>4</v>
      </c>
      <c r="X13" s="234">
        <v>3</v>
      </c>
      <c r="Y13" s="234">
        <v>3</v>
      </c>
      <c r="Z13" s="234">
        <v>3</v>
      </c>
      <c r="AA13" s="234">
        <v>3</v>
      </c>
      <c r="AB13" s="234">
        <v>3</v>
      </c>
      <c r="AC13" s="234">
        <v>2</v>
      </c>
      <c r="AD13" s="234">
        <v>3</v>
      </c>
      <c r="AE13" s="234">
        <v>3</v>
      </c>
      <c r="AF13" s="234">
        <v>2</v>
      </c>
      <c r="AG13" s="234">
        <v>3</v>
      </c>
      <c r="AH13" s="234">
        <v>2</v>
      </c>
      <c r="AI13" s="51">
        <f t="shared" si="3"/>
        <v>84</v>
      </c>
    </row>
    <row r="14" spans="1:35" ht="20.1" customHeight="1">
      <c r="A14" s="43">
        <v>4</v>
      </c>
      <c r="B14" s="44" t="s">
        <v>146</v>
      </c>
      <c r="C14" s="47">
        <v>0.11700000000000001</v>
      </c>
      <c r="D14" s="234">
        <v>2</v>
      </c>
      <c r="E14" s="234">
        <v>1</v>
      </c>
      <c r="F14" s="234">
        <v>3</v>
      </c>
      <c r="G14" s="234">
        <v>3</v>
      </c>
      <c r="H14" s="234">
        <v>2</v>
      </c>
      <c r="I14" s="234">
        <v>3</v>
      </c>
      <c r="J14" s="234">
        <v>2</v>
      </c>
      <c r="K14" s="234">
        <v>2</v>
      </c>
      <c r="L14" s="234">
        <v>3</v>
      </c>
      <c r="M14" s="234">
        <v>3</v>
      </c>
      <c r="N14" s="234">
        <v>3</v>
      </c>
      <c r="O14" s="234">
        <v>2</v>
      </c>
      <c r="P14" s="234">
        <v>3</v>
      </c>
      <c r="Q14" s="234">
        <v>2</v>
      </c>
      <c r="R14" s="234">
        <v>2</v>
      </c>
      <c r="S14" s="234">
        <v>3</v>
      </c>
      <c r="T14" s="234">
        <v>3</v>
      </c>
      <c r="U14" s="234">
        <v>1</v>
      </c>
      <c r="V14" s="234">
        <v>2</v>
      </c>
      <c r="W14" s="234">
        <v>2</v>
      </c>
      <c r="X14" s="234">
        <v>2</v>
      </c>
      <c r="Y14" s="234">
        <v>2</v>
      </c>
      <c r="Z14" s="234">
        <v>3</v>
      </c>
      <c r="AA14" s="234">
        <v>4</v>
      </c>
      <c r="AB14" s="234">
        <v>3</v>
      </c>
      <c r="AC14" s="234">
        <v>2</v>
      </c>
      <c r="AD14" s="234">
        <v>4</v>
      </c>
      <c r="AE14" s="234">
        <v>3</v>
      </c>
      <c r="AF14" s="234">
        <v>2</v>
      </c>
      <c r="AG14" s="234">
        <v>3</v>
      </c>
      <c r="AH14" s="234">
        <v>3</v>
      </c>
      <c r="AI14" s="51">
        <f t="shared" si="3"/>
        <v>78</v>
      </c>
    </row>
    <row r="15" spans="1:35" ht="20.1" customHeight="1">
      <c r="A15" s="47" t="s">
        <v>132</v>
      </c>
      <c r="B15" s="53"/>
      <c r="C15" s="53"/>
      <c r="D15" s="48">
        <f>SUM(D11:D14)</f>
        <v>5</v>
      </c>
      <c r="E15" s="48">
        <f t="shared" si="4" ref="E15:AE15">SUM(E11:E14)</f>
        <v>6</v>
      </c>
      <c r="F15" s="48">
        <f t="shared" si="4"/>
        <v>6</v>
      </c>
      <c r="G15" s="48">
        <f t="shared" si="4"/>
        <v>8</v>
      </c>
      <c r="H15" s="48">
        <f t="shared" si="4"/>
        <v>5</v>
      </c>
      <c r="I15" s="48">
        <f t="shared" si="4"/>
        <v>8</v>
      </c>
      <c r="J15" s="48">
        <f>SUM(J11:J14)</f>
        <v>7</v>
      </c>
      <c r="K15" s="48">
        <f t="shared" si="4"/>
        <v>6</v>
      </c>
      <c r="L15" s="48">
        <f t="shared" si="4"/>
        <v>9</v>
      </c>
      <c r="M15" s="48">
        <f t="shared" si="4"/>
        <v>9</v>
      </c>
      <c r="N15" s="48">
        <f t="shared" si="4"/>
        <v>8</v>
      </c>
      <c r="O15" s="48">
        <f t="shared" si="4"/>
        <v>5</v>
      </c>
      <c r="P15" s="48">
        <f t="shared" si="4"/>
        <v>7</v>
      </c>
      <c r="Q15" s="48">
        <f t="shared" si="4"/>
        <v>7</v>
      </c>
      <c r="R15" s="48">
        <f t="shared" si="4"/>
        <v>6</v>
      </c>
      <c r="S15" s="48">
        <f t="shared" si="4"/>
        <v>8</v>
      </c>
      <c r="T15" s="48">
        <f t="shared" si="4"/>
        <v>8</v>
      </c>
      <c r="U15" s="48">
        <f t="shared" si="4"/>
        <v>5</v>
      </c>
      <c r="V15" s="48">
        <f t="shared" si="4"/>
        <v>5</v>
      </c>
      <c r="W15" s="48">
        <f t="shared" si="4"/>
        <v>8</v>
      </c>
      <c r="X15" s="48">
        <f t="shared" si="4"/>
        <v>7</v>
      </c>
      <c r="Y15" s="48">
        <f t="shared" si="4"/>
        <v>6</v>
      </c>
      <c r="Z15" s="48">
        <f t="shared" si="4"/>
        <v>8</v>
      </c>
      <c r="AA15" s="48">
        <f t="shared" si="4"/>
        <v>9</v>
      </c>
      <c r="AB15" s="48">
        <f t="shared" si="4"/>
        <v>8</v>
      </c>
      <c r="AC15" s="48">
        <f t="shared" si="4"/>
        <v>5</v>
      </c>
      <c r="AD15" s="48">
        <f t="shared" si="4"/>
        <v>9</v>
      </c>
      <c r="AE15" s="48">
        <f t="shared" si="4"/>
        <v>8</v>
      </c>
      <c r="AF15" s="48">
        <f>SUM(AF11:AF14)</f>
        <v>5</v>
      </c>
      <c r="AG15" s="48">
        <f>SUM(AG11:AG14)</f>
        <v>8</v>
      </c>
      <c r="AH15" s="48">
        <f>SUM(AH11:AH14)</f>
        <v>7</v>
      </c>
      <c r="AI15" s="49">
        <f t="shared" si="3"/>
        <v>216</v>
      </c>
    </row>
    <row r="16" spans="1:35" ht="20.1" customHeight="1">
      <c r="A16" s="47"/>
      <c r="B16" s="53"/>
      <c r="C16" s="53"/>
      <c r="D16" s="50">
        <f t="shared" si="5" ref="D16:AE16">$C$11*D11+$C$12*D12+$C$13*D13+$C$14*D14</f>
        <v>0.67000000000000004</v>
      </c>
      <c r="E16" s="50">
        <f t="shared" si="5"/>
        <v>0.88200000000000001</v>
      </c>
      <c r="F16" s="50">
        <f t="shared" si="5"/>
        <v>0.78700000000000014</v>
      </c>
      <c r="G16" s="50">
        <f t="shared" si="5"/>
        <v>1.1160000000000001</v>
      </c>
      <c r="H16" s="50">
        <f t="shared" si="5"/>
        <v>0.67000000000000004</v>
      </c>
      <c r="I16" s="50">
        <f t="shared" si="5"/>
        <v>1.1160000000000001</v>
      </c>
      <c r="J16" s="50">
        <f t="shared" si="5"/>
        <v>0.999</v>
      </c>
      <c r="K16" s="50">
        <f t="shared" si="5"/>
        <v>0.80600000000000005</v>
      </c>
      <c r="L16" s="50">
        <f t="shared" si="5"/>
        <v>1.3090000000000002</v>
      </c>
      <c r="M16" s="50">
        <f t="shared" si="5"/>
        <v>1.3090000000000002</v>
      </c>
      <c r="N16" s="50">
        <f t="shared" si="5"/>
        <v>1.1160000000000001</v>
      </c>
      <c r="O16" s="50">
        <f t="shared" si="5"/>
        <v>0.67000000000000004</v>
      </c>
      <c r="P16" s="50">
        <f t="shared" si="5"/>
        <v>0.97999999999999998</v>
      </c>
      <c r="Q16" s="50">
        <f t="shared" si="5"/>
        <v>0.999</v>
      </c>
      <c r="R16" s="50">
        <f t="shared" si="5"/>
        <v>0.80600000000000005</v>
      </c>
      <c r="S16" s="50">
        <f t="shared" si="5"/>
        <v>1.1160000000000001</v>
      </c>
      <c r="T16" s="50">
        <f t="shared" si="5"/>
        <v>1.1160000000000001</v>
      </c>
      <c r="U16" s="50">
        <f t="shared" si="5"/>
        <v>0.746</v>
      </c>
      <c r="V16" s="50">
        <f t="shared" si="5"/>
        <v>0.67000000000000004</v>
      </c>
      <c r="W16" s="50">
        <f t="shared" si="5"/>
        <v>1.135</v>
      </c>
      <c r="X16" s="50">
        <f t="shared" si="5"/>
        <v>0.999</v>
      </c>
      <c r="Y16" s="50">
        <f t="shared" si="5"/>
        <v>0.80600000000000005</v>
      </c>
      <c r="Z16" s="50">
        <f t="shared" si="5"/>
        <v>1.1160000000000001</v>
      </c>
      <c r="AA16" s="50">
        <f t="shared" si="5"/>
        <v>1.2330000000000001</v>
      </c>
      <c r="AB16" s="50">
        <f t="shared" si="5"/>
        <v>1.1160000000000001</v>
      </c>
      <c r="AC16" s="50">
        <f t="shared" si="5"/>
        <v>0.67000000000000004</v>
      </c>
      <c r="AD16" s="50">
        <f t="shared" si="5"/>
        <v>1.2330000000000001</v>
      </c>
      <c r="AE16" s="50">
        <f t="shared" si="5"/>
        <v>1.1160000000000001</v>
      </c>
      <c r="AF16" s="50">
        <f>$C$11*AF11+$C$12*AF12+$C$13*AF13+$C$14*AF14</f>
        <v>0.67000000000000004</v>
      </c>
      <c r="AG16" s="50">
        <f>$C$11*AG11+$C$12*AG12+$C$13*AG13+$C$14*AG14</f>
        <v>1.1160000000000001</v>
      </c>
      <c r="AH16" s="50">
        <f>$C$11*AH11+$C$12*AH12+$C$13*AH13+$C$14*AH14</f>
        <v>0.97999999999999998</v>
      </c>
      <c r="AI16" s="50">
        <f t="shared" si="3"/>
        <v>30.073000000000008</v>
      </c>
    </row>
    <row r="17" spans="1:35" ht="20.1" customHeight="1">
      <c r="A17" s="40" t="s">
        <v>148</v>
      </c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235"/>
    </row>
    <row r="18" spans="1:35" ht="20.1" customHeight="1">
      <c r="A18" s="43">
        <v>1</v>
      </c>
      <c r="B18" s="44" t="s">
        <v>143</v>
      </c>
      <c r="C18" s="45">
        <v>0.193</v>
      </c>
      <c r="D18" s="46">
        <v>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6">
        <v>0</v>
      </c>
      <c r="O18" s="46">
        <v>0</v>
      </c>
      <c r="P18" s="46">
        <v>0</v>
      </c>
      <c r="Q18" s="46">
        <v>0</v>
      </c>
      <c r="R18" s="46">
        <v>0</v>
      </c>
      <c r="S18" s="46">
        <v>0</v>
      </c>
      <c r="T18" s="46">
        <v>0</v>
      </c>
      <c r="U18" s="46">
        <v>0</v>
      </c>
      <c r="V18" s="46">
        <v>0</v>
      </c>
      <c r="W18" s="46">
        <v>0</v>
      </c>
      <c r="X18" s="46">
        <v>0</v>
      </c>
      <c r="Y18" s="46">
        <v>0</v>
      </c>
      <c r="Z18" s="46">
        <v>0</v>
      </c>
      <c r="AA18" s="46">
        <v>0</v>
      </c>
      <c r="AB18" s="46">
        <v>0</v>
      </c>
      <c r="AC18" s="234">
        <v>0</v>
      </c>
      <c r="AD18" s="46">
        <v>0</v>
      </c>
      <c r="AE18" s="46">
        <v>0</v>
      </c>
      <c r="AF18" s="46">
        <v>0</v>
      </c>
      <c r="AG18" s="46">
        <v>0</v>
      </c>
      <c r="AH18" s="46">
        <v>0</v>
      </c>
      <c r="AI18" s="51">
        <f t="shared" si="6" ref="AI18:AI23">SUM(D18:AH18)</f>
        <v>0</v>
      </c>
    </row>
    <row r="19" spans="1:35" ht="20.1" customHeight="1">
      <c r="A19" s="43">
        <v>2</v>
      </c>
      <c r="B19" s="44" t="s">
        <v>144</v>
      </c>
      <c r="C19" s="47">
        <v>0.16400000000000001</v>
      </c>
      <c r="D19" s="46">
        <v>1</v>
      </c>
      <c r="E19" s="46">
        <v>1</v>
      </c>
      <c r="F19" s="234">
        <v>1</v>
      </c>
      <c r="G19" s="46">
        <v>1</v>
      </c>
      <c r="H19" s="46">
        <v>1</v>
      </c>
      <c r="I19" s="46">
        <v>1</v>
      </c>
      <c r="J19" s="46">
        <v>1</v>
      </c>
      <c r="K19" s="46">
        <v>1</v>
      </c>
      <c r="L19" s="46">
        <v>1</v>
      </c>
      <c r="M19" s="46">
        <v>1</v>
      </c>
      <c r="N19" s="46">
        <v>1</v>
      </c>
      <c r="O19" s="46">
        <v>0</v>
      </c>
      <c r="P19" s="46">
        <v>0</v>
      </c>
      <c r="Q19" s="46">
        <v>1</v>
      </c>
      <c r="R19" s="46">
        <v>1</v>
      </c>
      <c r="S19" s="46">
        <v>1</v>
      </c>
      <c r="T19" s="46">
        <v>1</v>
      </c>
      <c r="U19" s="46">
        <v>1</v>
      </c>
      <c r="V19" s="46">
        <v>1</v>
      </c>
      <c r="W19" s="46">
        <v>1</v>
      </c>
      <c r="X19" s="46">
        <v>1</v>
      </c>
      <c r="Y19" s="46">
        <v>1</v>
      </c>
      <c r="Z19" s="46">
        <v>1</v>
      </c>
      <c r="AA19" s="46">
        <v>1</v>
      </c>
      <c r="AB19" s="46">
        <v>1</v>
      </c>
      <c r="AC19" s="234">
        <v>1</v>
      </c>
      <c r="AD19" s="46">
        <v>1</v>
      </c>
      <c r="AE19" s="46">
        <v>1</v>
      </c>
      <c r="AF19" s="46">
        <v>1</v>
      </c>
      <c r="AG19" s="46">
        <v>1</v>
      </c>
      <c r="AH19" s="46">
        <v>1</v>
      </c>
      <c r="AI19" s="51">
        <f t="shared" si="6"/>
        <v>29</v>
      </c>
    </row>
    <row r="20" spans="1:35" ht="20.1" customHeight="1">
      <c r="A20" s="43">
        <v>3</v>
      </c>
      <c r="B20" s="44" t="s">
        <v>145</v>
      </c>
      <c r="C20" s="45">
        <v>0.13600000000000001</v>
      </c>
      <c r="D20" s="46">
        <v>2</v>
      </c>
      <c r="E20" s="46">
        <v>1</v>
      </c>
      <c r="F20" s="46">
        <v>2</v>
      </c>
      <c r="G20" s="46">
        <v>2</v>
      </c>
      <c r="H20" s="46">
        <v>3</v>
      </c>
      <c r="I20" s="234">
        <v>2</v>
      </c>
      <c r="J20" s="46">
        <v>2</v>
      </c>
      <c r="K20" s="46">
        <v>2</v>
      </c>
      <c r="L20" s="46">
        <v>2</v>
      </c>
      <c r="M20" s="46">
        <v>2</v>
      </c>
      <c r="N20" s="46">
        <v>2</v>
      </c>
      <c r="O20" s="46">
        <v>3</v>
      </c>
      <c r="P20" s="46">
        <v>1</v>
      </c>
      <c r="Q20" s="46">
        <v>2</v>
      </c>
      <c r="R20" s="46">
        <v>2</v>
      </c>
      <c r="S20" s="46">
        <v>2</v>
      </c>
      <c r="T20" s="46">
        <v>1</v>
      </c>
      <c r="U20" s="46">
        <v>2</v>
      </c>
      <c r="V20" s="46">
        <v>3</v>
      </c>
      <c r="W20" s="46">
        <v>2</v>
      </c>
      <c r="X20" s="46">
        <v>1</v>
      </c>
      <c r="Y20" s="46">
        <v>2</v>
      </c>
      <c r="Z20" s="234">
        <v>1</v>
      </c>
      <c r="AA20" s="46">
        <v>1</v>
      </c>
      <c r="AB20" s="46">
        <v>2</v>
      </c>
      <c r="AC20" s="234">
        <v>3</v>
      </c>
      <c r="AD20" s="46">
        <v>2</v>
      </c>
      <c r="AE20" s="46">
        <v>1</v>
      </c>
      <c r="AF20" s="46">
        <v>2</v>
      </c>
      <c r="AG20" s="46">
        <v>2</v>
      </c>
      <c r="AH20" s="46">
        <v>2</v>
      </c>
      <c r="AI20" s="51">
        <f t="shared" si="6"/>
        <v>59</v>
      </c>
    </row>
    <row r="21" spans="1:35" ht="20.1" customHeight="1">
      <c r="A21" s="43">
        <v>4</v>
      </c>
      <c r="B21" s="44" t="s">
        <v>146</v>
      </c>
      <c r="C21" s="47">
        <v>0.11700000000000001</v>
      </c>
      <c r="D21" s="46">
        <v>1</v>
      </c>
      <c r="E21" s="46">
        <v>1</v>
      </c>
      <c r="F21" s="46">
        <v>2</v>
      </c>
      <c r="G21" s="46">
        <v>2</v>
      </c>
      <c r="H21" s="46">
        <v>2</v>
      </c>
      <c r="I21" s="46">
        <v>2</v>
      </c>
      <c r="J21" s="46">
        <v>2</v>
      </c>
      <c r="K21" s="46">
        <v>2</v>
      </c>
      <c r="L21" s="46">
        <v>2</v>
      </c>
      <c r="M21" s="46">
        <v>2</v>
      </c>
      <c r="N21" s="46">
        <v>2</v>
      </c>
      <c r="O21" s="46">
        <v>2</v>
      </c>
      <c r="P21" s="46">
        <v>2</v>
      </c>
      <c r="Q21" s="46">
        <v>2</v>
      </c>
      <c r="R21" s="46">
        <v>2</v>
      </c>
      <c r="S21" s="46">
        <v>1</v>
      </c>
      <c r="T21" s="46">
        <v>1</v>
      </c>
      <c r="U21" s="46">
        <v>2</v>
      </c>
      <c r="V21" s="46">
        <v>1</v>
      </c>
      <c r="W21" s="46">
        <v>2</v>
      </c>
      <c r="X21" s="46">
        <v>1</v>
      </c>
      <c r="Y21" s="46">
        <v>2</v>
      </c>
      <c r="Z21" s="46">
        <v>2</v>
      </c>
      <c r="AA21" s="46">
        <v>2</v>
      </c>
      <c r="AB21" s="46">
        <v>2</v>
      </c>
      <c r="AC21" s="234">
        <v>2</v>
      </c>
      <c r="AD21" s="46">
        <v>2</v>
      </c>
      <c r="AE21" s="46">
        <v>2</v>
      </c>
      <c r="AF21" s="46">
        <v>2</v>
      </c>
      <c r="AG21" s="46">
        <v>2</v>
      </c>
      <c r="AH21" s="46">
        <v>2</v>
      </c>
      <c r="AI21" s="51">
        <f t="shared" si="6"/>
        <v>56</v>
      </c>
    </row>
    <row r="22" spans="1:35" ht="20.1" customHeight="1">
      <c r="A22" s="47" t="s">
        <v>132</v>
      </c>
      <c r="B22" s="53"/>
      <c r="C22" s="53"/>
      <c r="D22" s="48">
        <f>SUM(D18:D21)</f>
        <v>4</v>
      </c>
      <c r="E22" s="48">
        <f t="shared" si="7" ref="E22:AE22">SUM(E18:E21)</f>
        <v>3</v>
      </c>
      <c r="F22" s="48">
        <f t="shared" si="7"/>
        <v>5</v>
      </c>
      <c r="G22" s="48">
        <f t="shared" si="7"/>
        <v>5</v>
      </c>
      <c r="H22" s="48">
        <f t="shared" si="7"/>
        <v>6</v>
      </c>
      <c r="I22" s="48">
        <f t="shared" si="7"/>
        <v>5</v>
      </c>
      <c r="J22" s="48">
        <f t="shared" si="7"/>
        <v>5</v>
      </c>
      <c r="K22" s="48">
        <f>SUM(K18:K21)</f>
        <v>5</v>
      </c>
      <c r="L22" s="48">
        <f t="shared" si="7"/>
        <v>5</v>
      </c>
      <c r="M22" s="48">
        <f t="shared" si="7"/>
        <v>5</v>
      </c>
      <c r="N22" s="48">
        <f t="shared" si="7"/>
        <v>5</v>
      </c>
      <c r="O22" s="48">
        <f t="shared" si="7"/>
        <v>5</v>
      </c>
      <c r="P22" s="48">
        <f t="shared" si="7"/>
        <v>3</v>
      </c>
      <c r="Q22" s="48">
        <f t="shared" si="7"/>
        <v>5</v>
      </c>
      <c r="R22" s="48">
        <f t="shared" si="7"/>
        <v>5</v>
      </c>
      <c r="S22" s="48">
        <f t="shared" si="7"/>
        <v>4</v>
      </c>
      <c r="T22" s="48">
        <f t="shared" si="7"/>
        <v>3</v>
      </c>
      <c r="U22" s="48">
        <f t="shared" si="7"/>
        <v>5</v>
      </c>
      <c r="V22" s="48">
        <f t="shared" si="7"/>
        <v>5</v>
      </c>
      <c r="W22" s="48">
        <f t="shared" si="7"/>
        <v>5</v>
      </c>
      <c r="X22" s="48">
        <f t="shared" si="7"/>
        <v>3</v>
      </c>
      <c r="Y22" s="48">
        <f t="shared" si="7"/>
        <v>5</v>
      </c>
      <c r="Z22" s="48">
        <f t="shared" si="7"/>
        <v>4</v>
      </c>
      <c r="AA22" s="48">
        <f t="shared" si="7"/>
        <v>4</v>
      </c>
      <c r="AB22" s="48">
        <f t="shared" si="7"/>
        <v>5</v>
      </c>
      <c r="AC22" s="48">
        <f t="shared" si="7"/>
        <v>6</v>
      </c>
      <c r="AD22" s="48">
        <f t="shared" si="7"/>
        <v>5</v>
      </c>
      <c r="AE22" s="48">
        <f t="shared" si="7"/>
        <v>4</v>
      </c>
      <c r="AF22" s="48">
        <f>SUM(AF18:AF21)</f>
        <v>5</v>
      </c>
      <c r="AG22" s="48">
        <f>SUM(AG18:AG21)</f>
        <v>5</v>
      </c>
      <c r="AH22" s="48">
        <f>SUM(AH18:AH21)</f>
        <v>5</v>
      </c>
      <c r="AI22" s="49">
        <f t="shared" si="6"/>
        <v>144</v>
      </c>
    </row>
    <row r="23" spans="1:35" ht="20.1" customHeight="1">
      <c r="A23" s="47"/>
      <c r="B23" s="53"/>
      <c r="C23" s="53"/>
      <c r="D23" s="50">
        <f>$C$18*D18+$C$19*D19+$C$20*D20+$C$21*D21</f>
        <v>0.55300000000000005</v>
      </c>
      <c r="E23" s="50">
        <f t="shared" si="8" ref="E23:AE23">$C$18*E18+$C$19*E19+$C$20*E20+$C$21*E21</f>
        <v>0.41700000000000004</v>
      </c>
      <c r="F23" s="48">
        <f t="shared" si="8"/>
        <v>0.67000000000000004</v>
      </c>
      <c r="G23" s="50">
        <f t="shared" si="8"/>
        <v>0.67000000000000004</v>
      </c>
      <c r="H23" s="50">
        <f t="shared" si="8"/>
        <v>0.80600000000000005</v>
      </c>
      <c r="I23" s="50">
        <f t="shared" si="8"/>
        <v>0.67000000000000004</v>
      </c>
      <c r="J23" s="50">
        <f t="shared" si="8"/>
        <v>0.67000000000000004</v>
      </c>
      <c r="K23" s="50">
        <f t="shared" si="8"/>
        <v>0.67000000000000004</v>
      </c>
      <c r="L23" s="50">
        <f>$C$18*L18+$C$19*L19+$C$20*L20+$C$21*L21</f>
        <v>0.67000000000000004</v>
      </c>
      <c r="M23" s="48">
        <f t="shared" si="8"/>
        <v>0.67000000000000004</v>
      </c>
      <c r="N23" s="50">
        <f t="shared" si="8"/>
        <v>0.67000000000000004</v>
      </c>
      <c r="O23" s="50">
        <f t="shared" si="8"/>
        <v>0.64200000000000002</v>
      </c>
      <c r="P23" s="50">
        <f t="shared" si="8"/>
        <v>0.37</v>
      </c>
      <c r="Q23" s="50">
        <f>$C$18*Q18+$C$19*Q19+$C$20*Q20+$C$21*Q21</f>
        <v>0.67000000000000004</v>
      </c>
      <c r="R23" s="50">
        <f t="shared" si="8"/>
        <v>0.67000000000000004</v>
      </c>
      <c r="S23" s="50">
        <f t="shared" si="8"/>
        <v>0.55300000000000005</v>
      </c>
      <c r="T23" s="50">
        <f t="shared" si="8"/>
        <v>0.41700000000000004</v>
      </c>
      <c r="U23" s="50">
        <f t="shared" si="8"/>
        <v>0.67000000000000004</v>
      </c>
      <c r="V23" s="50">
        <f t="shared" si="8"/>
        <v>0.68900000000000006</v>
      </c>
      <c r="W23" s="50">
        <f t="shared" si="8"/>
        <v>0.67000000000000004</v>
      </c>
      <c r="X23" s="50">
        <f t="shared" si="8"/>
        <v>0.41700000000000004</v>
      </c>
      <c r="Y23" s="50">
        <f t="shared" si="8"/>
        <v>0.67000000000000004</v>
      </c>
      <c r="Z23" s="50">
        <f t="shared" si="8"/>
        <v>0.53400000000000003</v>
      </c>
      <c r="AA23" s="50">
        <f t="shared" si="8"/>
        <v>0.53400000000000003</v>
      </c>
      <c r="AB23" s="50">
        <f t="shared" si="8"/>
        <v>0.67000000000000004</v>
      </c>
      <c r="AC23" s="50">
        <f t="shared" si="8"/>
        <v>0.80600000000000005</v>
      </c>
      <c r="AD23" s="50">
        <f t="shared" si="8"/>
        <v>0.67000000000000004</v>
      </c>
      <c r="AE23" s="50">
        <f t="shared" si="8"/>
        <v>0.53400000000000003</v>
      </c>
      <c r="AF23" s="50">
        <f>$C$18*AF18+$C$19*AF19+$C$20*AF20+$C$21*AF21</f>
        <v>0.67000000000000004</v>
      </c>
      <c r="AG23" s="50">
        <f>$C$18*AG18+$C$19*AG19+$C$20*AG20+$C$21*AG21</f>
        <v>0.67000000000000004</v>
      </c>
      <c r="AH23" s="50">
        <f>$C$18*AH18+$C$19*AH19+$C$20*AH20+$C$21*AH21</f>
        <v>0.67000000000000004</v>
      </c>
      <c r="AI23" s="50">
        <f t="shared" si="6"/>
        <v>19.332000000000008</v>
      </c>
    </row>
    <row r="24" spans="1:35" ht="20.1" customHeight="1">
      <c r="A24" s="40" t="s">
        <v>152</v>
      </c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235"/>
    </row>
    <row r="25" spans="1:35" ht="20.1" customHeight="1">
      <c r="A25" s="43">
        <v>1</v>
      </c>
      <c r="B25" s="52" t="s">
        <v>149</v>
      </c>
      <c r="C25" s="47">
        <v>0.13</v>
      </c>
      <c r="D25" s="46">
        <v>0</v>
      </c>
      <c r="E25" s="46">
        <v>0</v>
      </c>
      <c r="F25" s="46">
        <v>2</v>
      </c>
      <c r="G25" s="46">
        <v>2</v>
      </c>
      <c r="H25" s="46">
        <v>1</v>
      </c>
      <c r="I25" s="46">
        <v>2</v>
      </c>
      <c r="J25" s="46">
        <v>2</v>
      </c>
      <c r="K25" s="46">
        <v>2</v>
      </c>
      <c r="L25" s="46">
        <v>2</v>
      </c>
      <c r="M25" s="46">
        <v>2</v>
      </c>
      <c r="N25" s="46">
        <v>2</v>
      </c>
      <c r="O25" s="46">
        <v>1</v>
      </c>
      <c r="P25" s="46">
        <v>2</v>
      </c>
      <c r="Q25" s="46">
        <v>2</v>
      </c>
      <c r="R25" s="46">
        <v>2</v>
      </c>
      <c r="S25" s="46">
        <v>2</v>
      </c>
      <c r="T25" s="46">
        <v>2</v>
      </c>
      <c r="U25" s="46">
        <v>0</v>
      </c>
      <c r="V25" s="46">
        <v>1</v>
      </c>
      <c r="W25" s="46">
        <v>0</v>
      </c>
      <c r="X25" s="46">
        <v>2</v>
      </c>
      <c r="Y25" s="46">
        <v>2</v>
      </c>
      <c r="Z25" s="46">
        <v>2</v>
      </c>
      <c r="AA25" s="46">
        <v>2</v>
      </c>
      <c r="AB25" s="46">
        <v>2</v>
      </c>
      <c r="AC25" s="46">
        <v>1</v>
      </c>
      <c r="AD25" s="46">
        <v>2</v>
      </c>
      <c r="AE25" s="234">
        <v>2</v>
      </c>
      <c r="AF25" s="46">
        <v>2</v>
      </c>
      <c r="AG25" s="46">
        <v>2</v>
      </c>
      <c r="AH25" s="46">
        <v>2</v>
      </c>
      <c r="AI25" s="51">
        <f t="shared" si="9" ref="AI25:AI30">SUM(D25:AH25)</f>
        <v>50</v>
      </c>
    </row>
    <row r="26" spans="1:35" ht="20.1" customHeight="1">
      <c r="A26" s="43">
        <v>2</v>
      </c>
      <c r="B26" s="44" t="s">
        <v>144</v>
      </c>
      <c r="C26" s="47">
        <v>0.111</v>
      </c>
      <c r="D26" s="46">
        <v>0</v>
      </c>
      <c r="E26" s="46">
        <v>0</v>
      </c>
      <c r="F26" s="46">
        <v>0</v>
      </c>
      <c r="G26" s="46">
        <v>0</v>
      </c>
      <c r="H26" s="46">
        <v>0</v>
      </c>
      <c r="I26" s="46">
        <v>1</v>
      </c>
      <c r="J26" s="46">
        <v>0</v>
      </c>
      <c r="K26" s="46">
        <v>1</v>
      </c>
      <c r="L26" s="46">
        <v>0</v>
      </c>
      <c r="M26" s="46">
        <v>1</v>
      </c>
      <c r="N26" s="46">
        <v>0</v>
      </c>
      <c r="O26" s="46">
        <v>0</v>
      </c>
      <c r="P26" s="46">
        <v>1</v>
      </c>
      <c r="Q26" s="46">
        <v>0</v>
      </c>
      <c r="R26" s="46">
        <v>1</v>
      </c>
      <c r="S26" s="46">
        <v>0</v>
      </c>
      <c r="T26" s="46">
        <v>1</v>
      </c>
      <c r="U26" s="46">
        <v>0</v>
      </c>
      <c r="V26" s="46">
        <v>0</v>
      </c>
      <c r="W26" s="46">
        <v>0</v>
      </c>
      <c r="X26" s="46">
        <v>0</v>
      </c>
      <c r="Y26" s="46">
        <v>1</v>
      </c>
      <c r="Z26" s="46">
        <v>0</v>
      </c>
      <c r="AA26" s="46">
        <v>1</v>
      </c>
      <c r="AB26" s="46">
        <v>0</v>
      </c>
      <c r="AC26" s="46">
        <v>0</v>
      </c>
      <c r="AD26" s="46">
        <v>1</v>
      </c>
      <c r="AE26" s="234">
        <v>0</v>
      </c>
      <c r="AF26" s="46">
        <v>0</v>
      </c>
      <c r="AG26" s="46">
        <v>0</v>
      </c>
      <c r="AH26" s="46">
        <v>1</v>
      </c>
      <c r="AI26" s="51">
        <f t="shared" si="9"/>
        <v>10</v>
      </c>
    </row>
    <row r="27" spans="1:35" ht="20.1" customHeight="1">
      <c r="A27" s="43">
        <v>3</v>
      </c>
      <c r="B27" s="44" t="s">
        <v>145</v>
      </c>
      <c r="C27" s="47">
        <v>0.091999999999999998</v>
      </c>
      <c r="D27" s="46">
        <v>0</v>
      </c>
      <c r="E27" s="46">
        <v>0</v>
      </c>
      <c r="F27" s="46">
        <v>3</v>
      </c>
      <c r="G27" s="46">
        <v>3</v>
      </c>
      <c r="H27" s="46">
        <v>1</v>
      </c>
      <c r="I27" s="46">
        <v>3</v>
      </c>
      <c r="J27" s="46">
        <v>2</v>
      </c>
      <c r="K27" s="46">
        <v>3</v>
      </c>
      <c r="L27" s="46">
        <v>3</v>
      </c>
      <c r="M27" s="46">
        <v>3</v>
      </c>
      <c r="N27" s="46">
        <v>3</v>
      </c>
      <c r="O27" s="46">
        <v>1</v>
      </c>
      <c r="P27" s="46">
        <v>3</v>
      </c>
      <c r="Q27" s="46">
        <v>1</v>
      </c>
      <c r="R27" s="46">
        <v>2</v>
      </c>
      <c r="S27" s="46">
        <v>2</v>
      </c>
      <c r="T27" s="46">
        <v>3</v>
      </c>
      <c r="U27" s="46">
        <v>0</v>
      </c>
      <c r="V27" s="46">
        <v>2</v>
      </c>
      <c r="W27" s="46">
        <v>0</v>
      </c>
      <c r="X27" s="46">
        <v>1</v>
      </c>
      <c r="Y27" s="46">
        <v>2</v>
      </c>
      <c r="Z27" s="46">
        <v>2</v>
      </c>
      <c r="AA27" s="234">
        <v>3</v>
      </c>
      <c r="AB27" s="46">
        <v>2</v>
      </c>
      <c r="AC27" s="46">
        <v>1</v>
      </c>
      <c r="AD27" s="46">
        <v>3</v>
      </c>
      <c r="AE27" s="234">
        <v>3</v>
      </c>
      <c r="AF27" s="46">
        <v>3</v>
      </c>
      <c r="AG27" s="46">
        <v>3</v>
      </c>
      <c r="AH27" s="46">
        <v>3</v>
      </c>
      <c r="AI27" s="51">
        <f t="shared" si="9"/>
        <v>64</v>
      </c>
    </row>
    <row r="28" spans="1:35" ht="20.1" customHeight="1">
      <c r="A28" s="43">
        <v>4</v>
      </c>
      <c r="B28" s="44" t="s">
        <v>146</v>
      </c>
      <c r="C28" s="47">
        <v>0.079000000000000001</v>
      </c>
      <c r="D28" s="46">
        <v>0</v>
      </c>
      <c r="E28" s="46">
        <v>0</v>
      </c>
      <c r="F28" s="46">
        <v>5</v>
      </c>
      <c r="G28" s="234">
        <v>4</v>
      </c>
      <c r="H28" s="46">
        <v>1</v>
      </c>
      <c r="I28" s="46">
        <v>6</v>
      </c>
      <c r="J28" s="46">
        <v>4</v>
      </c>
      <c r="K28" s="46">
        <v>6</v>
      </c>
      <c r="L28" s="46">
        <v>4</v>
      </c>
      <c r="M28" s="46">
        <v>6</v>
      </c>
      <c r="N28" s="46">
        <v>4</v>
      </c>
      <c r="O28" s="46">
        <v>1</v>
      </c>
      <c r="P28" s="46">
        <v>6</v>
      </c>
      <c r="Q28" s="46">
        <v>4</v>
      </c>
      <c r="R28" s="46">
        <v>5</v>
      </c>
      <c r="S28" s="46">
        <v>4</v>
      </c>
      <c r="T28" s="46">
        <v>5</v>
      </c>
      <c r="U28" s="46">
        <v>0</v>
      </c>
      <c r="V28" s="46">
        <v>1</v>
      </c>
      <c r="W28" s="46">
        <v>0</v>
      </c>
      <c r="X28" s="234">
        <v>4</v>
      </c>
      <c r="Y28" s="46">
        <v>6</v>
      </c>
      <c r="Z28" s="46">
        <v>4</v>
      </c>
      <c r="AA28" s="46">
        <v>5</v>
      </c>
      <c r="AB28" s="46">
        <v>4</v>
      </c>
      <c r="AC28" s="46">
        <v>1</v>
      </c>
      <c r="AD28" s="234">
        <v>5</v>
      </c>
      <c r="AE28" s="234">
        <v>2</v>
      </c>
      <c r="AF28" s="46">
        <v>5</v>
      </c>
      <c r="AG28" s="46">
        <v>3</v>
      </c>
      <c r="AH28" s="46">
        <v>6</v>
      </c>
      <c r="AI28" s="51">
        <f t="shared" si="9"/>
        <v>111</v>
      </c>
    </row>
    <row r="29" spans="1:35" ht="20.1" customHeight="1">
      <c r="A29" s="47" t="s">
        <v>132</v>
      </c>
      <c r="B29" s="53"/>
      <c r="C29" s="53"/>
      <c r="D29" s="48">
        <f>SUM(D25:D28)</f>
        <v>0</v>
      </c>
      <c r="E29" s="48">
        <f t="shared" si="10" ref="E29:AE29">SUM(E25:E28)</f>
        <v>0</v>
      </c>
      <c r="F29" s="48">
        <f t="shared" si="10"/>
        <v>10</v>
      </c>
      <c r="G29" s="48">
        <f t="shared" si="10"/>
        <v>9</v>
      </c>
      <c r="H29" s="48">
        <f t="shared" si="10"/>
        <v>3</v>
      </c>
      <c r="I29" s="48">
        <f t="shared" si="10"/>
        <v>12</v>
      </c>
      <c r="J29" s="48">
        <f t="shared" si="10"/>
        <v>8</v>
      </c>
      <c r="K29" s="48">
        <f t="shared" si="10"/>
        <v>12</v>
      </c>
      <c r="L29" s="48">
        <f t="shared" si="10"/>
        <v>9</v>
      </c>
      <c r="M29" s="48">
        <f t="shared" si="10"/>
        <v>12</v>
      </c>
      <c r="N29" s="48">
        <f t="shared" si="10"/>
        <v>9</v>
      </c>
      <c r="O29" s="48">
        <f t="shared" si="10"/>
        <v>3</v>
      </c>
      <c r="P29" s="48">
        <f t="shared" si="10"/>
        <v>12</v>
      </c>
      <c r="Q29" s="48">
        <f t="shared" si="10"/>
        <v>7</v>
      </c>
      <c r="R29" s="48">
        <f t="shared" si="10"/>
        <v>10</v>
      </c>
      <c r="S29" s="48">
        <f t="shared" si="10"/>
        <v>8</v>
      </c>
      <c r="T29" s="48">
        <f t="shared" si="10"/>
        <v>11</v>
      </c>
      <c r="U29" s="48">
        <f t="shared" si="10"/>
        <v>0</v>
      </c>
      <c r="V29" s="48">
        <f t="shared" si="10"/>
        <v>4</v>
      </c>
      <c r="W29" s="48">
        <f t="shared" si="10"/>
        <v>0</v>
      </c>
      <c r="X29" s="48">
        <f t="shared" si="10"/>
        <v>7</v>
      </c>
      <c r="Y29" s="48">
        <f t="shared" si="10"/>
        <v>11</v>
      </c>
      <c r="Z29" s="48">
        <f t="shared" si="10"/>
        <v>8</v>
      </c>
      <c r="AA29" s="48">
        <f t="shared" si="10"/>
        <v>11</v>
      </c>
      <c r="AB29" s="48">
        <f t="shared" si="10"/>
        <v>8</v>
      </c>
      <c r="AC29" s="48">
        <f t="shared" si="10"/>
        <v>3</v>
      </c>
      <c r="AD29" s="48">
        <f t="shared" si="10"/>
        <v>11</v>
      </c>
      <c r="AE29" s="48">
        <f t="shared" si="10"/>
        <v>7</v>
      </c>
      <c r="AF29" s="48">
        <f>SUM(AF25:AF28)</f>
        <v>10</v>
      </c>
      <c r="AG29" s="48">
        <f>SUM(AG25:AG28)</f>
        <v>8</v>
      </c>
      <c r="AH29" s="48">
        <f>SUM(AH25:AH28)</f>
        <v>12</v>
      </c>
      <c r="AI29" s="49">
        <f t="shared" si="9"/>
        <v>235</v>
      </c>
    </row>
    <row r="30" spans="1:35" ht="20.1" customHeight="1">
      <c r="A30" s="53"/>
      <c r="B30" s="53"/>
      <c r="C30" s="53"/>
      <c r="D30" s="50">
        <f t="shared" si="11" ref="D30:AE30">$C$25*D25+$C$26*D26+$C$27*D27+$C$28*D28</f>
        <v>0</v>
      </c>
      <c r="E30" s="50">
        <f t="shared" si="11"/>
        <v>0</v>
      </c>
      <c r="F30" s="50">
        <f t="shared" si="11"/>
        <v>0.93100000000000005</v>
      </c>
      <c r="G30" s="50">
        <f t="shared" si="11"/>
        <v>0.85200000000000009</v>
      </c>
      <c r="H30" s="50">
        <f t="shared" si="11"/>
        <v>0.30099999999999999</v>
      </c>
      <c r="I30" s="50">
        <f t="shared" si="11"/>
        <v>1.121</v>
      </c>
      <c r="J30" s="50">
        <f t="shared" si="11"/>
        <v>0.76000000000000001</v>
      </c>
      <c r="K30" s="50">
        <f t="shared" si="11"/>
        <v>1.121</v>
      </c>
      <c r="L30" s="50">
        <f t="shared" si="11"/>
        <v>0.85200000000000009</v>
      </c>
      <c r="M30" s="50">
        <f t="shared" si="11"/>
        <v>1.121</v>
      </c>
      <c r="N30" s="50">
        <f t="shared" si="11"/>
        <v>0.85200000000000009</v>
      </c>
      <c r="O30" s="50">
        <f t="shared" si="11"/>
        <v>0.30099999999999999</v>
      </c>
      <c r="P30" s="50">
        <f>$C$25*P25+$C$26*P26+$C$27*P27+$C$28*P28</f>
        <v>1.121</v>
      </c>
      <c r="Q30" s="50">
        <f t="shared" si="11"/>
        <v>0.66799999999999993</v>
      </c>
      <c r="R30" s="50">
        <f t="shared" si="11"/>
        <v>0.94999999999999996</v>
      </c>
      <c r="S30" s="50">
        <f t="shared" si="11"/>
        <v>0.76000000000000001</v>
      </c>
      <c r="T30" s="50">
        <f t="shared" si="11"/>
        <v>1.042</v>
      </c>
      <c r="U30" s="50">
        <f t="shared" si="11"/>
        <v>0</v>
      </c>
      <c r="V30" s="50">
        <f t="shared" si="11"/>
        <v>0.39300000000000002</v>
      </c>
      <c r="W30" s="50">
        <f t="shared" si="11"/>
        <v>0</v>
      </c>
      <c r="X30" s="50">
        <f t="shared" si="11"/>
        <v>0.66799999999999993</v>
      </c>
      <c r="Y30" s="50">
        <f t="shared" si="11"/>
        <v>1.0289999999999999</v>
      </c>
      <c r="Z30" s="50">
        <f t="shared" si="11"/>
        <v>0.76000000000000001</v>
      </c>
      <c r="AA30" s="50">
        <f t="shared" si="11"/>
        <v>1.042</v>
      </c>
      <c r="AB30" s="50">
        <f t="shared" si="11"/>
        <v>0.76000000000000001</v>
      </c>
      <c r="AC30" s="50">
        <f t="shared" si="11"/>
        <v>0.30099999999999999</v>
      </c>
      <c r="AD30" s="50">
        <f t="shared" si="11"/>
        <v>1.042</v>
      </c>
      <c r="AE30" s="50">
        <f t="shared" si="11"/>
        <v>0.69400000000000006</v>
      </c>
      <c r="AF30" s="50">
        <f>$C$25*AF25+$C$26*AF26+$C$27*AF27+$C$28*AF28</f>
        <v>0.93100000000000005</v>
      </c>
      <c r="AG30" s="50">
        <f>$C$25*AG25+$C$26*AG26+$C$27*AG27+$C$28*AG28</f>
        <v>0.77300000000000002</v>
      </c>
      <c r="AH30" s="50">
        <f>$C$25*AH25+$C$26*AH26+$C$27*AH27+$C$28*AH28</f>
        <v>1.121</v>
      </c>
      <c r="AI30" s="50">
        <f t="shared" si="9"/>
        <v>22.266999999999999</v>
      </c>
    </row>
  </sheetData>
  <sheetProtection/>
  <mergeCells count="1">
    <mergeCell ref="A1:AI1"/>
  </mergeCells>
  <pageMargins left="0.25" right="0.25" top="0.75" bottom="0.75" header="0.3" footer="0.3"/>
  <pageSetup fitToHeight="0" orientation="landscape" paperSize="1" scale="56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A13E4A4F-10A5-4E99-9B57-67BB9610B9AB}">
  <sheetPr codeName="Sheet7">
    <pageSetUpPr fitToPage="1"/>
  </sheetPr>
  <dimension ref="A1:AL30"/>
  <sheetViews>
    <sheetView view="pageBreakPreview" zoomScale="70" zoomScaleNormal="47" zoomScaleSheetLayoutView="70" workbookViewId="0" topLeftCell="A1">
      <selection pane="topLeft" activeCell="M29" sqref="M29"/>
    </sheetView>
  </sheetViews>
  <sheetFormatPr defaultColWidth="8.57366071428571" defaultRowHeight="12.75"/>
  <cols>
    <col min="1" max="1" width="13.4285714285714" style="34" bestFit="1" customWidth="1"/>
    <col min="2" max="2" width="22.1428571428571" style="34" customWidth="1"/>
    <col min="3" max="3" width="9.42857142857143" style="34" customWidth="1"/>
    <col min="4" max="5" width="7.42857142857143" style="34" bestFit="1" customWidth="1"/>
    <col min="6" max="6" width="7.85714285714286" style="34" bestFit="1" customWidth="1"/>
    <col min="7" max="7" width="7.42857142857143" style="34" bestFit="1" customWidth="1"/>
    <col min="8" max="8" width="7.85714285714286" style="34" bestFit="1" customWidth="1"/>
    <col min="9" max="12" width="7.42857142857143" style="34" bestFit="1" customWidth="1"/>
    <col min="13" max="13" width="7.85714285714286" style="34" bestFit="1" customWidth="1"/>
    <col min="14" max="19" width="7.42857142857143" style="34" bestFit="1" customWidth="1"/>
    <col min="20" max="20" width="7.85714285714286" style="34" bestFit="1" customWidth="1"/>
    <col min="21" max="26" width="7.42857142857143" style="34" bestFit="1" customWidth="1"/>
    <col min="27" max="27" width="7.85714285714286" style="34" bestFit="1" customWidth="1"/>
    <col min="28" max="33" width="7.42857142857143" style="34" bestFit="1" customWidth="1"/>
    <col min="34" max="34" width="7.42857142857143" style="34" customWidth="1"/>
    <col min="35" max="35" width="12.4285714285714" style="34" customWidth="1"/>
    <col min="36" max="36" width="8.57142857142857" style="34"/>
    <col min="37" max="37" width="13" style="34" customWidth="1"/>
    <col min="38" max="16384" width="8.57142857142857" style="34"/>
  </cols>
  <sheetData>
    <row r="1" spans="1:35" ht="15.75">
      <c r="A1" s="609" t="str">
        <f>"DETAIL OF PART-B MEASUREMENT PTD SITE FOR "&amp;'Working Sheet'!C7&amp;" MONTH"</f>
        <v>DETAIL OF PART-B MEASUREMENT PTD SITE FOR OCTOBER-2025 MONTH</v>
      </c>
      <c r="B1" s="610"/>
      <c r="C1" s="610"/>
      <c r="D1" s="610"/>
      <c r="E1" s="610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1"/>
    </row>
    <row r="2" spans="1:35" ht="111.6" customHeight="1">
      <c r="A2" s="54" t="s">
        <v>150</v>
      </c>
      <c r="B2" s="54" t="s">
        <v>142</v>
      </c>
      <c r="C2" s="55" t="s">
        <v>154</v>
      </c>
      <c r="D2" s="56">
        <f>MB_PPU!D2</f>
        <v>45931</v>
      </c>
      <c r="E2" s="56">
        <f>MB_PPU!E2</f>
        <v>45932</v>
      </c>
      <c r="F2" s="56">
        <f>MB_PPU!F2</f>
        <v>45933</v>
      </c>
      <c r="G2" s="56">
        <f>MB_PPU!G2</f>
        <v>45934</v>
      </c>
      <c r="H2" s="56">
        <f>MB_PPU!H2</f>
        <v>45935</v>
      </c>
      <c r="I2" s="56">
        <f>MB_PPU!I2</f>
        <v>45936</v>
      </c>
      <c r="J2" s="56">
        <f>MB_PPU!J2</f>
        <v>45937</v>
      </c>
      <c r="K2" s="56">
        <f>MB_PPU!K2</f>
        <v>45938</v>
      </c>
      <c r="L2" s="56">
        <f>MB_PPU!L2</f>
        <v>45939</v>
      </c>
      <c r="M2" s="56">
        <f>MB_PPU!M2</f>
        <v>45940</v>
      </c>
      <c r="N2" s="56">
        <f>MB_PPU!N2</f>
        <v>45941</v>
      </c>
      <c r="O2" s="56">
        <f>MB_PPU!O2</f>
        <v>45942</v>
      </c>
      <c r="P2" s="56">
        <f>MB_PPU!P2</f>
        <v>45943</v>
      </c>
      <c r="Q2" s="56">
        <f>MB_PPU!Q2</f>
        <v>45944</v>
      </c>
      <c r="R2" s="56">
        <f>MB_PPU!R2</f>
        <v>45945</v>
      </c>
      <c r="S2" s="56">
        <f>MB_PPU!S2</f>
        <v>45946</v>
      </c>
      <c r="T2" s="56">
        <f>MB_PPU!T2</f>
        <v>45947</v>
      </c>
      <c r="U2" s="56">
        <f>MB_PPU!U2</f>
        <v>45948</v>
      </c>
      <c r="V2" s="56">
        <f>MB_PPU!V2</f>
        <v>45949</v>
      </c>
      <c r="W2" s="56">
        <f>MB_PPU!W2</f>
        <v>45950</v>
      </c>
      <c r="X2" s="56">
        <f>MB_PPU!X2</f>
        <v>45951</v>
      </c>
      <c r="Y2" s="56">
        <f>MB_PPU!Y2</f>
        <v>45952</v>
      </c>
      <c r="Z2" s="56">
        <f>MB_PPU!Z2</f>
        <v>45953</v>
      </c>
      <c r="AA2" s="56">
        <f>MB_PPU!AA2</f>
        <v>45954</v>
      </c>
      <c r="AB2" s="56">
        <f>MB_PPU!AB2</f>
        <v>45955</v>
      </c>
      <c r="AC2" s="56">
        <f>MB_PPU!AC2</f>
        <v>45956</v>
      </c>
      <c r="AD2" s="56">
        <f>MB_PPU!AD2</f>
        <v>45957</v>
      </c>
      <c r="AE2" s="56">
        <f>MB_PPU!AE2</f>
        <v>45958</v>
      </c>
      <c r="AF2" s="56">
        <f>MB_PPU!AF2</f>
        <v>45959</v>
      </c>
      <c r="AG2" s="56">
        <f>MB_PPU!AG2</f>
        <v>45960</v>
      </c>
      <c r="AH2" s="56">
        <f>MB_PPU!AH2</f>
        <v>45961</v>
      </c>
      <c r="AI2" s="57" t="s">
        <v>132</v>
      </c>
    </row>
    <row r="3" spans="1:35" ht="20.1" customHeight="1">
      <c r="A3" s="58" t="s">
        <v>155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60"/>
    </row>
    <row r="4" spans="1:37" ht="20.1" customHeight="1">
      <c r="A4" s="61">
        <v>1</v>
      </c>
      <c r="B4" s="62" t="s">
        <v>144</v>
      </c>
      <c r="C4" s="63">
        <v>0.585</v>
      </c>
      <c r="D4" s="64">
        <v>1</v>
      </c>
      <c r="E4" s="64">
        <v>1</v>
      </c>
      <c r="F4" s="64">
        <v>0</v>
      </c>
      <c r="G4" s="64">
        <v>1</v>
      </c>
      <c r="H4" s="64">
        <v>1</v>
      </c>
      <c r="I4" s="64">
        <v>1</v>
      </c>
      <c r="J4" s="64">
        <v>1</v>
      </c>
      <c r="K4" s="64">
        <v>1</v>
      </c>
      <c r="L4" s="237">
        <v>1</v>
      </c>
      <c r="M4" s="64">
        <v>1</v>
      </c>
      <c r="N4" s="64">
        <v>1</v>
      </c>
      <c r="O4" s="64">
        <v>1</v>
      </c>
      <c r="P4" s="64">
        <v>1</v>
      </c>
      <c r="Q4" s="64">
        <v>1</v>
      </c>
      <c r="R4" s="64">
        <v>1</v>
      </c>
      <c r="S4" s="64">
        <v>1</v>
      </c>
      <c r="T4" s="64">
        <v>1</v>
      </c>
      <c r="U4" s="64">
        <v>1</v>
      </c>
      <c r="V4" s="64">
        <v>1</v>
      </c>
      <c r="W4" s="64">
        <v>1</v>
      </c>
      <c r="X4" s="64">
        <v>1</v>
      </c>
      <c r="Y4" s="64">
        <v>1</v>
      </c>
      <c r="Z4" s="64">
        <v>1</v>
      </c>
      <c r="AA4" s="64">
        <v>1</v>
      </c>
      <c r="AB4" s="64">
        <v>1</v>
      </c>
      <c r="AC4" s="64">
        <v>1</v>
      </c>
      <c r="AD4" s="64">
        <v>1</v>
      </c>
      <c r="AE4" s="64">
        <v>1</v>
      </c>
      <c r="AF4" s="64">
        <v>1</v>
      </c>
      <c r="AG4" s="64">
        <v>1</v>
      </c>
      <c r="AH4" s="64">
        <v>0</v>
      </c>
      <c r="AI4" s="71">
        <f>SUM(D4:AH4)</f>
        <v>29</v>
      </c>
      <c r="AK4" s="70">
        <f>AI4+AI11+AI25+AI18</f>
        <v>125</v>
      </c>
    </row>
    <row r="5" spans="1:37" ht="20.1" customHeight="1">
      <c r="A5" s="61">
        <v>2</v>
      </c>
      <c r="B5" s="62" t="s">
        <v>146</v>
      </c>
      <c r="C5" s="65">
        <v>0.415</v>
      </c>
      <c r="D5" s="64">
        <v>1</v>
      </c>
      <c r="E5" s="64">
        <v>1</v>
      </c>
      <c r="F5" s="64">
        <v>1</v>
      </c>
      <c r="G5" s="64">
        <v>1</v>
      </c>
      <c r="H5" s="64">
        <v>1</v>
      </c>
      <c r="I5" s="64">
        <v>1</v>
      </c>
      <c r="J5" s="64">
        <v>1</v>
      </c>
      <c r="K5" s="64">
        <v>1</v>
      </c>
      <c r="L5" s="64">
        <v>1</v>
      </c>
      <c r="M5" s="64">
        <v>1</v>
      </c>
      <c r="N5" s="64">
        <v>1</v>
      </c>
      <c r="O5" s="64">
        <v>1</v>
      </c>
      <c r="P5" s="64">
        <v>1</v>
      </c>
      <c r="Q5" s="64">
        <v>1</v>
      </c>
      <c r="R5" s="64">
        <v>1</v>
      </c>
      <c r="S5" s="64">
        <v>1</v>
      </c>
      <c r="T5" s="64">
        <v>1</v>
      </c>
      <c r="U5" s="64">
        <v>1</v>
      </c>
      <c r="V5" s="64">
        <v>1</v>
      </c>
      <c r="W5" s="64">
        <v>1</v>
      </c>
      <c r="X5" s="64">
        <v>1</v>
      </c>
      <c r="Y5" s="64">
        <v>1</v>
      </c>
      <c r="Z5" s="64">
        <v>1</v>
      </c>
      <c r="AA5" s="64">
        <v>1</v>
      </c>
      <c r="AB5" s="64">
        <v>1</v>
      </c>
      <c r="AC5" s="64">
        <v>1</v>
      </c>
      <c r="AD5" s="64">
        <v>1</v>
      </c>
      <c r="AE5" s="64">
        <v>1</v>
      </c>
      <c r="AF5" s="64">
        <v>1</v>
      </c>
      <c r="AG5" s="64">
        <v>1</v>
      </c>
      <c r="AH5" s="64">
        <v>1</v>
      </c>
      <c r="AI5" s="71">
        <f>SUM(D5:AH5)</f>
        <v>31</v>
      </c>
      <c r="AK5" s="70">
        <f>AI5+AI12+AI26+AI19</f>
        <v>150</v>
      </c>
    </row>
    <row r="6" spans="1:37" ht="20.1" customHeight="1">
      <c r="A6" s="61"/>
      <c r="B6" s="62"/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71"/>
      <c r="AK6" s="70"/>
    </row>
    <row r="7" spans="1:35" ht="20.1" customHeight="1">
      <c r="A7" s="61"/>
      <c r="B7" s="62"/>
      <c r="C7" s="65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</row>
    <row r="8" spans="1:35" ht="20.1" customHeight="1">
      <c r="A8" s="65" t="s">
        <v>132</v>
      </c>
      <c r="B8" s="66"/>
      <c r="C8" s="66"/>
      <c r="D8" s="67">
        <f>SUM(D3:D7)</f>
        <v>2</v>
      </c>
      <c r="E8" s="67">
        <f>SUM(E3:E7)</f>
        <v>2</v>
      </c>
      <c r="F8" s="67">
        <f>SUM(F3:F7)</f>
        <v>1</v>
      </c>
      <c r="G8" s="67">
        <f>SUM(G3:G7)</f>
        <v>2</v>
      </c>
      <c r="H8" s="67">
        <f>SUM(H3:H7)</f>
        <v>2</v>
      </c>
      <c r="I8" s="67">
        <f t="shared" si="0" ref="I8:AE8">SUM(I3:I7)</f>
        <v>2</v>
      </c>
      <c r="J8" s="67">
        <f t="shared" si="0"/>
        <v>2</v>
      </c>
      <c r="K8" s="67">
        <f t="shared" si="0"/>
        <v>2</v>
      </c>
      <c r="L8" s="67">
        <f t="shared" si="0"/>
        <v>2</v>
      </c>
      <c r="M8" s="67">
        <f t="shared" si="0"/>
        <v>2</v>
      </c>
      <c r="N8" s="67">
        <f t="shared" si="0"/>
        <v>2</v>
      </c>
      <c r="O8" s="67">
        <f t="shared" si="0"/>
        <v>2</v>
      </c>
      <c r="P8" s="67">
        <f t="shared" si="0"/>
        <v>2</v>
      </c>
      <c r="Q8" s="67">
        <f t="shared" si="0"/>
        <v>2</v>
      </c>
      <c r="R8" s="67">
        <f t="shared" si="0"/>
        <v>2</v>
      </c>
      <c r="S8" s="67">
        <f t="shared" si="0"/>
        <v>2</v>
      </c>
      <c r="T8" s="67">
        <f t="shared" si="0"/>
        <v>2</v>
      </c>
      <c r="U8" s="67">
        <f t="shared" si="0"/>
        <v>2</v>
      </c>
      <c r="V8" s="67">
        <f t="shared" si="0"/>
        <v>2</v>
      </c>
      <c r="W8" s="67">
        <f t="shared" si="0"/>
        <v>2</v>
      </c>
      <c r="X8" s="67">
        <f t="shared" si="0"/>
        <v>2</v>
      </c>
      <c r="Y8" s="67">
        <f t="shared" si="0"/>
        <v>2</v>
      </c>
      <c r="Z8" s="67">
        <f t="shared" si="0"/>
        <v>2</v>
      </c>
      <c r="AA8" s="67">
        <f t="shared" si="0"/>
        <v>2</v>
      </c>
      <c r="AB8" s="67">
        <f t="shared" si="0"/>
        <v>2</v>
      </c>
      <c r="AC8" s="67">
        <f t="shared" si="0"/>
        <v>2</v>
      </c>
      <c r="AD8" s="67">
        <f t="shared" si="0"/>
        <v>2</v>
      </c>
      <c r="AE8" s="67">
        <f t="shared" si="0"/>
        <v>2</v>
      </c>
      <c r="AF8" s="67">
        <f>SUM(AF3:AF7)</f>
        <v>2</v>
      </c>
      <c r="AG8" s="67">
        <f>SUM(AG3:AG7)</f>
        <v>2</v>
      </c>
      <c r="AH8" s="67">
        <f>SUM(AH3:AH7)</f>
        <v>1</v>
      </c>
      <c r="AI8" s="68">
        <f>SUM(D8:AH8)</f>
        <v>60</v>
      </c>
    </row>
    <row r="9" spans="1:38" ht="20.1" customHeight="1">
      <c r="A9" s="65"/>
      <c r="B9" s="66"/>
      <c r="C9" s="66"/>
      <c r="D9" s="69">
        <f t="shared" si="1" ref="D9:AE9">$C$4*D4+$C$5*D5+$C$6*D6+$C$7*D7</f>
        <v>1</v>
      </c>
      <c r="E9" s="69">
        <f t="shared" si="1"/>
        <v>1</v>
      </c>
      <c r="F9" s="69">
        <f t="shared" si="1"/>
        <v>0.41499999999999998</v>
      </c>
      <c r="G9" s="69">
        <f t="shared" si="1"/>
        <v>1</v>
      </c>
      <c r="H9" s="69">
        <f t="shared" si="1"/>
        <v>1</v>
      </c>
      <c r="I9" s="69">
        <f t="shared" si="1"/>
        <v>1</v>
      </c>
      <c r="J9" s="69">
        <f t="shared" si="1"/>
        <v>1</v>
      </c>
      <c r="K9" s="69">
        <f t="shared" si="1"/>
        <v>1</v>
      </c>
      <c r="L9" s="69">
        <f t="shared" si="1"/>
        <v>1</v>
      </c>
      <c r="M9" s="69">
        <f t="shared" si="1"/>
        <v>1</v>
      </c>
      <c r="N9" s="69">
        <f t="shared" si="1"/>
        <v>1</v>
      </c>
      <c r="O9" s="69">
        <f t="shared" si="1"/>
        <v>1</v>
      </c>
      <c r="P9" s="69">
        <f t="shared" si="1"/>
        <v>1</v>
      </c>
      <c r="Q9" s="69">
        <f t="shared" si="1"/>
        <v>1</v>
      </c>
      <c r="R9" s="69">
        <f t="shared" si="1"/>
        <v>1</v>
      </c>
      <c r="S9" s="69">
        <f t="shared" si="1"/>
        <v>1</v>
      </c>
      <c r="T9" s="69">
        <f t="shared" si="1"/>
        <v>1</v>
      </c>
      <c r="U9" s="69">
        <f t="shared" si="1"/>
        <v>1</v>
      </c>
      <c r="V9" s="69">
        <f t="shared" si="1"/>
        <v>1</v>
      </c>
      <c r="W9" s="69">
        <f t="shared" si="1"/>
        <v>1</v>
      </c>
      <c r="X9" s="69">
        <f t="shared" si="1"/>
        <v>1</v>
      </c>
      <c r="Y9" s="69">
        <f t="shared" si="1"/>
        <v>1</v>
      </c>
      <c r="Z9" s="69">
        <f t="shared" si="1"/>
        <v>1</v>
      </c>
      <c r="AA9" s="69">
        <f t="shared" si="1"/>
        <v>1</v>
      </c>
      <c r="AB9" s="69">
        <f t="shared" si="1"/>
        <v>1</v>
      </c>
      <c r="AC9" s="69">
        <f t="shared" si="1"/>
        <v>1</v>
      </c>
      <c r="AD9" s="69">
        <f t="shared" si="1"/>
        <v>1</v>
      </c>
      <c r="AE9" s="69">
        <f t="shared" si="1"/>
        <v>1</v>
      </c>
      <c r="AF9" s="69">
        <f>$C$4*AF4+$C$5*AF5+$C$6*AF6+$C$7*AF7</f>
        <v>1</v>
      </c>
      <c r="AG9" s="69">
        <f>$C$4*AG4+$C$5*AG5+$C$6*AG6+$C$7*AG7</f>
        <v>1</v>
      </c>
      <c r="AH9" s="69">
        <f>$C$4*AH4+$C$5*AH5+$C$6*AH6+$C$7*AH7</f>
        <v>0.41499999999999998</v>
      </c>
      <c r="AI9" s="69">
        <f>SUM(D9:AH9)</f>
        <v>29.829999999999998</v>
      </c>
      <c r="AL9" s="70"/>
    </row>
    <row r="10" spans="1:38" ht="20.1" customHeight="1">
      <c r="A10" s="58" t="s">
        <v>151</v>
      </c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236"/>
      <c r="AL10" s="70"/>
    </row>
    <row r="11" spans="1:38" ht="20.1" customHeight="1">
      <c r="A11" s="61">
        <v>1</v>
      </c>
      <c r="B11" s="62" t="s">
        <v>144</v>
      </c>
      <c r="C11" s="63">
        <v>0.585</v>
      </c>
      <c r="D11" s="64">
        <v>0</v>
      </c>
      <c r="E11" s="64">
        <v>1</v>
      </c>
      <c r="F11" s="64">
        <v>1</v>
      </c>
      <c r="G11" s="64">
        <v>1</v>
      </c>
      <c r="H11" s="64">
        <v>1</v>
      </c>
      <c r="I11" s="64">
        <v>1</v>
      </c>
      <c r="J11" s="64">
        <v>1</v>
      </c>
      <c r="K11" s="64">
        <v>1</v>
      </c>
      <c r="L11" s="64">
        <v>1</v>
      </c>
      <c r="M11" s="64">
        <v>1</v>
      </c>
      <c r="N11" s="237">
        <v>1</v>
      </c>
      <c r="O11" s="64">
        <v>1</v>
      </c>
      <c r="P11" s="64">
        <v>1</v>
      </c>
      <c r="Q11" s="64">
        <v>1</v>
      </c>
      <c r="R11" s="64">
        <v>1</v>
      </c>
      <c r="S11" s="64">
        <v>1</v>
      </c>
      <c r="T11" s="64">
        <v>1</v>
      </c>
      <c r="U11" s="64">
        <v>1</v>
      </c>
      <c r="V11" s="64">
        <v>1</v>
      </c>
      <c r="W11" s="64">
        <v>1</v>
      </c>
      <c r="X11" s="64">
        <v>1</v>
      </c>
      <c r="Y11" s="64">
        <v>1</v>
      </c>
      <c r="Z11" s="64">
        <v>1</v>
      </c>
      <c r="AA11" s="64">
        <v>1</v>
      </c>
      <c r="AB11" s="64">
        <v>1</v>
      </c>
      <c r="AC11" s="64">
        <v>1</v>
      </c>
      <c r="AD11" s="64">
        <v>1</v>
      </c>
      <c r="AE11" s="64">
        <v>1</v>
      </c>
      <c r="AF11" s="64">
        <v>1</v>
      </c>
      <c r="AG11" s="64">
        <v>1</v>
      </c>
      <c r="AH11" s="64">
        <v>1</v>
      </c>
      <c r="AI11" s="71">
        <f>SUM(D11:AH11)</f>
        <v>30</v>
      </c>
      <c r="AL11" s="70"/>
    </row>
    <row r="12" spans="1:38" ht="20.1" customHeight="1">
      <c r="A12" s="61">
        <v>2</v>
      </c>
      <c r="B12" s="62" t="s">
        <v>146</v>
      </c>
      <c r="C12" s="65">
        <v>0.415</v>
      </c>
      <c r="D12" s="64">
        <v>1</v>
      </c>
      <c r="E12" s="64">
        <v>1</v>
      </c>
      <c r="F12" s="64">
        <v>1</v>
      </c>
      <c r="G12" s="64">
        <v>1</v>
      </c>
      <c r="H12" s="64">
        <v>1</v>
      </c>
      <c r="I12" s="64">
        <v>1</v>
      </c>
      <c r="J12" s="64">
        <v>1</v>
      </c>
      <c r="K12" s="64">
        <v>1</v>
      </c>
      <c r="L12" s="64">
        <v>1</v>
      </c>
      <c r="M12" s="64">
        <v>1</v>
      </c>
      <c r="N12" s="64">
        <v>1</v>
      </c>
      <c r="O12" s="64">
        <v>1</v>
      </c>
      <c r="P12" s="64">
        <v>1</v>
      </c>
      <c r="Q12" s="64">
        <v>1</v>
      </c>
      <c r="R12" s="64">
        <v>1</v>
      </c>
      <c r="S12" s="64">
        <v>1</v>
      </c>
      <c r="T12" s="64">
        <v>1</v>
      </c>
      <c r="U12" s="64">
        <v>1</v>
      </c>
      <c r="V12" s="64">
        <v>1</v>
      </c>
      <c r="W12" s="64">
        <v>1</v>
      </c>
      <c r="X12" s="64">
        <v>1</v>
      </c>
      <c r="Y12" s="64">
        <v>1</v>
      </c>
      <c r="Z12" s="64">
        <v>1</v>
      </c>
      <c r="AA12" s="64">
        <v>1</v>
      </c>
      <c r="AB12" s="64">
        <v>1</v>
      </c>
      <c r="AC12" s="64">
        <v>1</v>
      </c>
      <c r="AD12" s="64">
        <v>1</v>
      </c>
      <c r="AE12" s="64">
        <v>1</v>
      </c>
      <c r="AF12" s="64">
        <v>1</v>
      </c>
      <c r="AG12" s="64">
        <v>1</v>
      </c>
      <c r="AH12" s="64">
        <v>1</v>
      </c>
      <c r="AI12" s="71">
        <f>SUM(D12:AH12)</f>
        <v>31</v>
      </c>
      <c r="AL12" s="70"/>
    </row>
    <row r="13" spans="1:35" ht="20.1" customHeight="1">
      <c r="A13" s="61"/>
      <c r="B13" s="62"/>
      <c r="C13" s="63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71"/>
    </row>
    <row r="14" spans="1:35" ht="20.1" customHeight="1">
      <c r="A14" s="61"/>
      <c r="B14" s="62"/>
      <c r="C14" s="65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71"/>
    </row>
    <row r="15" spans="1:35" ht="20.1" customHeight="1">
      <c r="A15" s="65" t="s">
        <v>132</v>
      </c>
      <c r="B15" s="65"/>
      <c r="C15" s="65"/>
      <c r="D15" s="67">
        <f>SUM(D11:D14)</f>
        <v>1</v>
      </c>
      <c r="E15" s="67">
        <f t="shared" si="2" ref="E15:AE15">SUM(E11:E14)</f>
        <v>2</v>
      </c>
      <c r="F15" s="67">
        <f t="shared" si="2"/>
        <v>2</v>
      </c>
      <c r="G15" s="67">
        <f t="shared" si="2"/>
        <v>2</v>
      </c>
      <c r="H15" s="67">
        <f t="shared" si="2"/>
        <v>2</v>
      </c>
      <c r="I15" s="67">
        <f t="shared" si="2"/>
        <v>2</v>
      </c>
      <c r="J15" s="67">
        <f t="shared" si="2"/>
        <v>2</v>
      </c>
      <c r="K15" s="67">
        <f t="shared" si="2"/>
        <v>2</v>
      </c>
      <c r="L15" s="67">
        <f t="shared" si="2"/>
        <v>2</v>
      </c>
      <c r="M15" s="67">
        <f t="shared" si="2"/>
        <v>2</v>
      </c>
      <c r="N15" s="67">
        <f t="shared" si="2"/>
        <v>2</v>
      </c>
      <c r="O15" s="67">
        <f t="shared" si="2"/>
        <v>2</v>
      </c>
      <c r="P15" s="67">
        <f t="shared" si="2"/>
        <v>2</v>
      </c>
      <c r="Q15" s="67">
        <f t="shared" si="2"/>
        <v>2</v>
      </c>
      <c r="R15" s="67">
        <f t="shared" si="2"/>
        <v>2</v>
      </c>
      <c r="S15" s="67">
        <f t="shared" si="2"/>
        <v>2</v>
      </c>
      <c r="T15" s="67">
        <f t="shared" si="2"/>
        <v>2</v>
      </c>
      <c r="U15" s="67">
        <f t="shared" si="2"/>
        <v>2</v>
      </c>
      <c r="V15" s="67">
        <f t="shared" si="2"/>
        <v>2</v>
      </c>
      <c r="W15" s="67">
        <f t="shared" si="2"/>
        <v>2</v>
      </c>
      <c r="X15" s="67">
        <f t="shared" si="2"/>
        <v>2</v>
      </c>
      <c r="Y15" s="67">
        <f t="shared" si="2"/>
        <v>2</v>
      </c>
      <c r="Z15" s="67">
        <f t="shared" si="2"/>
        <v>2</v>
      </c>
      <c r="AA15" s="67">
        <f t="shared" si="2"/>
        <v>2</v>
      </c>
      <c r="AB15" s="67">
        <f t="shared" si="2"/>
        <v>2</v>
      </c>
      <c r="AC15" s="67">
        <f t="shared" si="2"/>
        <v>2</v>
      </c>
      <c r="AD15" s="67">
        <f t="shared" si="2"/>
        <v>2</v>
      </c>
      <c r="AE15" s="67">
        <f t="shared" si="2"/>
        <v>2</v>
      </c>
      <c r="AF15" s="67">
        <f>SUM(AF11:AF14)</f>
        <v>2</v>
      </c>
      <c r="AG15" s="67">
        <f>SUM(AG11:AG14)</f>
        <v>2</v>
      </c>
      <c r="AH15" s="67">
        <f>SUM(AH11:AH14)</f>
        <v>2</v>
      </c>
      <c r="AI15" s="68">
        <f>SUM(D15:AH15)</f>
        <v>61</v>
      </c>
    </row>
    <row r="16" spans="1:35" ht="20.1" customHeight="1">
      <c r="A16" s="65"/>
      <c r="B16" s="65"/>
      <c r="C16" s="65"/>
      <c r="D16" s="69">
        <f t="shared" si="3" ref="D16:AE16">$C$11*D11+$C$12*D12+$C$13*D13+$C$14*D14</f>
        <v>0.41499999999999998</v>
      </c>
      <c r="E16" s="69">
        <f t="shared" si="3"/>
        <v>1</v>
      </c>
      <c r="F16" s="69">
        <f t="shared" si="3"/>
        <v>1</v>
      </c>
      <c r="G16" s="69">
        <f t="shared" si="3"/>
        <v>1</v>
      </c>
      <c r="H16" s="69">
        <f t="shared" si="3"/>
        <v>1</v>
      </c>
      <c r="I16" s="69">
        <f t="shared" si="3"/>
        <v>1</v>
      </c>
      <c r="J16" s="69">
        <f t="shared" si="3"/>
        <v>1</v>
      </c>
      <c r="K16" s="69">
        <f t="shared" si="3"/>
        <v>1</v>
      </c>
      <c r="L16" s="69">
        <f t="shared" si="3"/>
        <v>1</v>
      </c>
      <c r="M16" s="69">
        <f t="shared" si="3"/>
        <v>1</v>
      </c>
      <c r="N16" s="69">
        <f t="shared" si="3"/>
        <v>1</v>
      </c>
      <c r="O16" s="69">
        <f t="shared" si="3"/>
        <v>1</v>
      </c>
      <c r="P16" s="69">
        <f t="shared" si="3"/>
        <v>1</v>
      </c>
      <c r="Q16" s="69">
        <f t="shared" si="3"/>
        <v>1</v>
      </c>
      <c r="R16" s="69">
        <f t="shared" si="3"/>
        <v>1</v>
      </c>
      <c r="S16" s="69">
        <f t="shared" si="3"/>
        <v>1</v>
      </c>
      <c r="T16" s="69">
        <f t="shared" si="3"/>
        <v>1</v>
      </c>
      <c r="U16" s="69">
        <f t="shared" si="3"/>
        <v>1</v>
      </c>
      <c r="V16" s="69">
        <f t="shared" si="3"/>
        <v>1</v>
      </c>
      <c r="W16" s="69">
        <f t="shared" si="3"/>
        <v>1</v>
      </c>
      <c r="X16" s="69">
        <f t="shared" si="3"/>
        <v>1</v>
      </c>
      <c r="Y16" s="69">
        <f t="shared" si="3"/>
        <v>1</v>
      </c>
      <c r="Z16" s="69">
        <f t="shared" si="3"/>
        <v>1</v>
      </c>
      <c r="AA16" s="69">
        <f t="shared" si="3"/>
        <v>1</v>
      </c>
      <c r="AB16" s="69">
        <f t="shared" si="3"/>
        <v>1</v>
      </c>
      <c r="AC16" s="69">
        <f t="shared" si="3"/>
        <v>1</v>
      </c>
      <c r="AD16" s="69">
        <f t="shared" si="3"/>
        <v>1</v>
      </c>
      <c r="AE16" s="69">
        <f t="shared" si="3"/>
        <v>1</v>
      </c>
      <c r="AF16" s="69">
        <f>$C$11*AF11+$C$12*AF12+$C$13*AF13+$C$14*AF14</f>
        <v>1</v>
      </c>
      <c r="AG16" s="69">
        <f>$C$11*AG11+$C$12*AG12+$C$13*AG13+$C$14*AG14</f>
        <v>1</v>
      </c>
      <c r="AH16" s="69">
        <f>$C$11*AH11+$C$12*AH12+$C$13*AH13+$C$14*AH14</f>
        <v>1</v>
      </c>
      <c r="AI16" s="69">
        <f>SUM(D16:AH16)</f>
        <v>30.414999999999999</v>
      </c>
    </row>
    <row r="17" spans="1:35" ht="20.1" customHeight="1">
      <c r="A17" s="58" t="s">
        <v>148</v>
      </c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236"/>
    </row>
    <row r="18" spans="1:35" ht="20.1" customHeight="1">
      <c r="A18" s="61">
        <v>1</v>
      </c>
      <c r="B18" s="62" t="s">
        <v>144</v>
      </c>
      <c r="C18" s="63">
        <v>0.585</v>
      </c>
      <c r="D18" s="64">
        <v>1</v>
      </c>
      <c r="E18" s="64">
        <v>1</v>
      </c>
      <c r="F18" s="64">
        <v>1</v>
      </c>
      <c r="G18" s="64">
        <v>1</v>
      </c>
      <c r="H18" s="64">
        <v>1</v>
      </c>
      <c r="I18" s="64">
        <v>1</v>
      </c>
      <c r="J18" s="64">
        <v>1</v>
      </c>
      <c r="K18" s="64">
        <v>1</v>
      </c>
      <c r="L18" s="64">
        <v>1</v>
      </c>
      <c r="M18" s="64">
        <v>1</v>
      </c>
      <c r="N18" s="64">
        <v>1</v>
      </c>
      <c r="O18" s="64">
        <v>0</v>
      </c>
      <c r="P18" s="64">
        <v>1</v>
      </c>
      <c r="Q18" s="64">
        <v>1</v>
      </c>
      <c r="R18" s="64">
        <v>1</v>
      </c>
      <c r="S18" s="64">
        <v>1</v>
      </c>
      <c r="T18" s="64">
        <v>1</v>
      </c>
      <c r="U18" s="64">
        <v>1</v>
      </c>
      <c r="V18" s="237">
        <v>0</v>
      </c>
      <c r="W18" s="64">
        <v>1</v>
      </c>
      <c r="X18" s="64">
        <v>1</v>
      </c>
      <c r="Y18" s="64">
        <v>1</v>
      </c>
      <c r="Z18" s="64">
        <v>1</v>
      </c>
      <c r="AA18" s="64">
        <v>1</v>
      </c>
      <c r="AB18" s="64">
        <v>1</v>
      </c>
      <c r="AC18" s="64">
        <v>0</v>
      </c>
      <c r="AD18" s="64">
        <v>1</v>
      </c>
      <c r="AE18" s="64">
        <v>1</v>
      </c>
      <c r="AF18" s="64">
        <v>1</v>
      </c>
      <c r="AG18" s="64">
        <v>1</v>
      </c>
      <c r="AH18" s="64">
        <v>1</v>
      </c>
      <c r="AI18" s="71">
        <f>SUM(D18:AH18)</f>
        <v>28</v>
      </c>
    </row>
    <row r="19" spans="1:35" ht="20.1" customHeight="1">
      <c r="A19" s="61">
        <v>2</v>
      </c>
      <c r="B19" s="62" t="s">
        <v>146</v>
      </c>
      <c r="C19" s="65">
        <v>0.415</v>
      </c>
      <c r="D19" s="64">
        <v>1</v>
      </c>
      <c r="E19" s="64">
        <v>1</v>
      </c>
      <c r="F19" s="64">
        <v>1</v>
      </c>
      <c r="G19" s="64">
        <v>1</v>
      </c>
      <c r="H19" s="64">
        <v>1</v>
      </c>
      <c r="I19" s="64">
        <v>1</v>
      </c>
      <c r="J19" s="64">
        <v>1</v>
      </c>
      <c r="K19" s="64">
        <v>1</v>
      </c>
      <c r="L19" s="64">
        <v>1</v>
      </c>
      <c r="M19" s="64">
        <v>1</v>
      </c>
      <c r="N19" s="64">
        <v>1</v>
      </c>
      <c r="O19" s="64">
        <v>1</v>
      </c>
      <c r="P19" s="64">
        <v>1</v>
      </c>
      <c r="Q19" s="64">
        <v>1</v>
      </c>
      <c r="R19" s="64">
        <v>1</v>
      </c>
      <c r="S19" s="64">
        <v>1</v>
      </c>
      <c r="T19" s="64">
        <v>1</v>
      </c>
      <c r="U19" s="64">
        <v>1</v>
      </c>
      <c r="V19" s="237">
        <v>1</v>
      </c>
      <c r="W19" s="64">
        <v>1</v>
      </c>
      <c r="X19" s="64">
        <v>1</v>
      </c>
      <c r="Y19" s="64">
        <v>1</v>
      </c>
      <c r="Z19" s="64">
        <v>1</v>
      </c>
      <c r="AA19" s="64">
        <v>1</v>
      </c>
      <c r="AB19" s="64">
        <v>1</v>
      </c>
      <c r="AC19" s="64">
        <v>1</v>
      </c>
      <c r="AD19" s="64">
        <v>1</v>
      </c>
      <c r="AE19" s="64">
        <v>1</v>
      </c>
      <c r="AF19" s="64">
        <v>1</v>
      </c>
      <c r="AG19" s="64">
        <v>1</v>
      </c>
      <c r="AH19" s="64">
        <v>1</v>
      </c>
      <c r="AI19" s="71">
        <f>SUM(D19:AH19)</f>
        <v>31</v>
      </c>
    </row>
    <row r="20" spans="1:35" ht="20.1" customHeight="1">
      <c r="A20" s="61"/>
      <c r="B20" s="62"/>
      <c r="C20" s="63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71"/>
    </row>
    <row r="21" spans="1:35" ht="20.1" customHeight="1">
      <c r="A21" s="61"/>
      <c r="B21" s="62"/>
      <c r="C21" s="65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71"/>
    </row>
    <row r="22" spans="1:35" ht="20.1" customHeight="1">
      <c r="A22" s="65" t="s">
        <v>132</v>
      </c>
      <c r="B22" s="66"/>
      <c r="C22" s="66"/>
      <c r="D22" s="67">
        <f>SUM(D18:D21)</f>
        <v>2</v>
      </c>
      <c r="E22" s="67">
        <f t="shared" si="4" ref="E22:AE22">SUM(E18:E21)</f>
        <v>2</v>
      </c>
      <c r="F22" s="67">
        <f t="shared" si="4"/>
        <v>2</v>
      </c>
      <c r="G22" s="67">
        <f t="shared" si="4"/>
        <v>2</v>
      </c>
      <c r="H22" s="67">
        <f t="shared" si="4"/>
        <v>2</v>
      </c>
      <c r="I22" s="67">
        <f t="shared" si="4"/>
        <v>2</v>
      </c>
      <c r="J22" s="67">
        <f t="shared" si="4"/>
        <v>2</v>
      </c>
      <c r="K22" s="67">
        <f t="shared" si="4"/>
        <v>2</v>
      </c>
      <c r="L22" s="67">
        <f t="shared" si="4"/>
        <v>2</v>
      </c>
      <c r="M22" s="67">
        <f t="shared" si="4"/>
        <v>2</v>
      </c>
      <c r="N22" s="67">
        <f t="shared" si="4"/>
        <v>2</v>
      </c>
      <c r="O22" s="67">
        <f t="shared" si="4"/>
        <v>1</v>
      </c>
      <c r="P22" s="67">
        <f t="shared" si="4"/>
        <v>2</v>
      </c>
      <c r="Q22" s="67">
        <f t="shared" si="4"/>
        <v>2</v>
      </c>
      <c r="R22" s="67">
        <f t="shared" si="4"/>
        <v>2</v>
      </c>
      <c r="S22" s="67">
        <f t="shared" si="4"/>
        <v>2</v>
      </c>
      <c r="T22" s="67">
        <f t="shared" si="4"/>
        <v>2</v>
      </c>
      <c r="U22" s="67">
        <f t="shared" si="4"/>
        <v>2</v>
      </c>
      <c r="V22" s="67">
        <f t="shared" si="4"/>
        <v>1</v>
      </c>
      <c r="W22" s="67">
        <f t="shared" si="4"/>
        <v>2</v>
      </c>
      <c r="X22" s="67">
        <f t="shared" si="4"/>
        <v>2</v>
      </c>
      <c r="Y22" s="67">
        <f t="shared" si="4"/>
        <v>2</v>
      </c>
      <c r="Z22" s="67">
        <f t="shared" si="4"/>
        <v>2</v>
      </c>
      <c r="AA22" s="67">
        <f t="shared" si="4"/>
        <v>2</v>
      </c>
      <c r="AB22" s="67">
        <f t="shared" si="4"/>
        <v>2</v>
      </c>
      <c r="AC22" s="67">
        <f t="shared" si="4"/>
        <v>1</v>
      </c>
      <c r="AD22" s="67">
        <f t="shared" si="4"/>
        <v>2</v>
      </c>
      <c r="AE22" s="67">
        <f t="shared" si="4"/>
        <v>2</v>
      </c>
      <c r="AF22" s="67">
        <f>SUM(AF18:AF21)</f>
        <v>2</v>
      </c>
      <c r="AG22" s="67">
        <f>SUM(AG18:AG21)</f>
        <v>2</v>
      </c>
      <c r="AH22" s="67">
        <f>SUM(AH18:AH21)</f>
        <v>2</v>
      </c>
      <c r="AI22" s="68">
        <f>SUM(D22:AH22)</f>
        <v>59</v>
      </c>
    </row>
    <row r="23" spans="1:35" ht="20.1" customHeight="1">
      <c r="A23" s="65"/>
      <c r="B23" s="66"/>
      <c r="C23" s="66"/>
      <c r="D23" s="69">
        <f>$C$18*D18+$C$19*D19+$C$20*D20+$C$21*D21</f>
        <v>1</v>
      </c>
      <c r="E23" s="69">
        <f t="shared" si="5" ref="E23:AE23">$C$18*E18+$C$19*E19+$C$20*E20+$C$21*E21</f>
        <v>1</v>
      </c>
      <c r="F23" s="69">
        <f t="shared" si="5"/>
        <v>1</v>
      </c>
      <c r="G23" s="69">
        <f t="shared" si="5"/>
        <v>1</v>
      </c>
      <c r="H23" s="69">
        <f t="shared" si="5"/>
        <v>1</v>
      </c>
      <c r="I23" s="69">
        <f t="shared" si="5"/>
        <v>1</v>
      </c>
      <c r="J23" s="69">
        <f t="shared" si="5"/>
        <v>1</v>
      </c>
      <c r="K23" s="69">
        <f t="shared" si="5"/>
        <v>1</v>
      </c>
      <c r="L23" s="69">
        <f>$C$18*L18+$C$19*L19+$C$20*L20+$C$21*L21</f>
        <v>1</v>
      </c>
      <c r="M23" s="69">
        <f t="shared" si="5"/>
        <v>1</v>
      </c>
      <c r="N23" s="69">
        <f t="shared" si="5"/>
        <v>1</v>
      </c>
      <c r="O23" s="69">
        <f t="shared" si="5"/>
        <v>0.41499999999999998</v>
      </c>
      <c r="P23" s="69">
        <f t="shared" si="5"/>
        <v>1</v>
      </c>
      <c r="Q23" s="69">
        <f>$C$18*Q18+$C$19*Q19+$C$20*Q20+$C$21*Q21</f>
        <v>1</v>
      </c>
      <c r="R23" s="69">
        <f t="shared" si="5"/>
        <v>1</v>
      </c>
      <c r="S23" s="69">
        <f t="shared" si="5"/>
        <v>1</v>
      </c>
      <c r="T23" s="69">
        <f t="shared" si="5"/>
        <v>1</v>
      </c>
      <c r="U23" s="69">
        <f t="shared" si="5"/>
        <v>1</v>
      </c>
      <c r="V23" s="69">
        <f t="shared" si="5"/>
        <v>0.41499999999999998</v>
      </c>
      <c r="W23" s="69">
        <f t="shared" si="5"/>
        <v>1</v>
      </c>
      <c r="X23" s="69">
        <f t="shared" si="5"/>
        <v>1</v>
      </c>
      <c r="Y23" s="69">
        <f t="shared" si="5"/>
        <v>1</v>
      </c>
      <c r="Z23" s="69">
        <f t="shared" si="5"/>
        <v>1</v>
      </c>
      <c r="AA23" s="69">
        <f t="shared" si="5"/>
        <v>1</v>
      </c>
      <c r="AB23" s="69">
        <f t="shared" si="5"/>
        <v>1</v>
      </c>
      <c r="AC23" s="69">
        <f t="shared" si="5"/>
        <v>0.41499999999999998</v>
      </c>
      <c r="AD23" s="69">
        <f t="shared" si="5"/>
        <v>1</v>
      </c>
      <c r="AE23" s="69">
        <f t="shared" si="5"/>
        <v>1</v>
      </c>
      <c r="AF23" s="69">
        <f>$C$18*AF18+$C$19*AF19+$C$20*AF20+$C$21*AF21</f>
        <v>1</v>
      </c>
      <c r="AG23" s="69">
        <f>$C$18*AG18+$C$19*AG19+$C$20*AG20+$C$21*AG21</f>
        <v>1</v>
      </c>
      <c r="AH23" s="69">
        <f>$C$18*AH18+$C$19*AH19+$C$20*AH20+$C$21*AH21</f>
        <v>1</v>
      </c>
      <c r="AI23" s="69">
        <f>SUM(D23:AH23)</f>
        <v>29.244999999999997</v>
      </c>
    </row>
    <row r="24" spans="1:35" ht="20.1" customHeight="1">
      <c r="A24" s="58" t="s">
        <v>152</v>
      </c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236"/>
    </row>
    <row r="25" spans="1:35" ht="20.1" customHeight="1">
      <c r="A25" s="61">
        <v>1</v>
      </c>
      <c r="B25" s="72" t="s">
        <v>144</v>
      </c>
      <c r="C25" s="65">
        <v>0.41299999999999998</v>
      </c>
      <c r="D25" s="64">
        <v>0</v>
      </c>
      <c r="E25" s="64">
        <v>0</v>
      </c>
      <c r="F25" s="64">
        <v>2</v>
      </c>
      <c r="G25" s="64">
        <v>2</v>
      </c>
      <c r="H25" s="64">
        <v>0</v>
      </c>
      <c r="I25" s="64">
        <v>2</v>
      </c>
      <c r="J25" s="237">
        <v>2</v>
      </c>
      <c r="K25" s="64">
        <v>1</v>
      </c>
      <c r="L25" s="64">
        <v>2</v>
      </c>
      <c r="M25" s="64">
        <v>1</v>
      </c>
      <c r="N25" s="64">
        <v>2</v>
      </c>
      <c r="O25" s="64">
        <v>0</v>
      </c>
      <c r="P25" s="64">
        <v>2</v>
      </c>
      <c r="Q25" s="64">
        <v>2</v>
      </c>
      <c r="R25" s="64">
        <v>1</v>
      </c>
      <c r="S25" s="64">
        <v>2</v>
      </c>
      <c r="T25" s="64">
        <v>1</v>
      </c>
      <c r="U25" s="64">
        <v>0</v>
      </c>
      <c r="V25" s="64">
        <v>0</v>
      </c>
      <c r="W25" s="64">
        <v>0</v>
      </c>
      <c r="X25" s="64">
        <v>2</v>
      </c>
      <c r="Y25" s="64">
        <v>1</v>
      </c>
      <c r="Z25" s="64">
        <v>2</v>
      </c>
      <c r="AA25" s="64">
        <v>1</v>
      </c>
      <c r="AB25" s="64">
        <v>2</v>
      </c>
      <c r="AC25" s="64">
        <v>0</v>
      </c>
      <c r="AD25" s="64">
        <v>1</v>
      </c>
      <c r="AE25" s="64">
        <v>2</v>
      </c>
      <c r="AF25" s="64">
        <v>1</v>
      </c>
      <c r="AG25" s="64">
        <v>2</v>
      </c>
      <c r="AH25" s="64">
        <v>2</v>
      </c>
      <c r="AI25" s="71">
        <f>SUM(D25:AH25)</f>
        <v>38</v>
      </c>
    </row>
    <row r="26" spans="1:35" ht="20.1" customHeight="1">
      <c r="A26" s="61">
        <v>2</v>
      </c>
      <c r="B26" s="62" t="s">
        <v>146</v>
      </c>
      <c r="C26" s="65">
        <v>0.29399999999999998</v>
      </c>
      <c r="D26" s="64">
        <v>0</v>
      </c>
      <c r="E26" s="64">
        <v>0</v>
      </c>
      <c r="F26" s="64">
        <v>2</v>
      </c>
      <c r="G26" s="64">
        <v>3</v>
      </c>
      <c r="H26" s="64">
        <v>0</v>
      </c>
      <c r="I26" s="64">
        <v>2</v>
      </c>
      <c r="J26" s="237">
        <v>3</v>
      </c>
      <c r="K26" s="64">
        <v>2</v>
      </c>
      <c r="L26" s="64">
        <v>3</v>
      </c>
      <c r="M26" s="64">
        <v>2</v>
      </c>
      <c r="N26" s="237">
        <v>3</v>
      </c>
      <c r="O26" s="64">
        <v>0</v>
      </c>
      <c r="P26" s="64">
        <v>2</v>
      </c>
      <c r="Q26" s="64">
        <v>3</v>
      </c>
      <c r="R26" s="64">
        <v>2</v>
      </c>
      <c r="S26" s="64">
        <v>3</v>
      </c>
      <c r="T26" s="64">
        <v>2</v>
      </c>
      <c r="U26" s="64">
        <v>0</v>
      </c>
      <c r="V26" s="64">
        <v>0</v>
      </c>
      <c r="W26" s="64">
        <v>0</v>
      </c>
      <c r="X26" s="64">
        <v>3</v>
      </c>
      <c r="Y26" s="64">
        <v>2</v>
      </c>
      <c r="Z26" s="64">
        <v>3</v>
      </c>
      <c r="AA26" s="64">
        <v>2</v>
      </c>
      <c r="AB26" s="64">
        <v>3</v>
      </c>
      <c r="AC26" s="64">
        <v>0</v>
      </c>
      <c r="AD26" s="64">
        <v>2</v>
      </c>
      <c r="AE26" s="64">
        <v>3</v>
      </c>
      <c r="AF26" s="64">
        <v>2</v>
      </c>
      <c r="AG26" s="64">
        <v>3</v>
      </c>
      <c r="AH26" s="64">
        <v>2</v>
      </c>
      <c r="AI26" s="71">
        <f>SUM(D26:AH26)</f>
        <v>57</v>
      </c>
    </row>
    <row r="27" spans="1:35" ht="20.1" customHeight="1">
      <c r="A27" s="61"/>
      <c r="B27" s="62"/>
      <c r="C27" s="65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71"/>
    </row>
    <row r="28" spans="1:35" ht="20.1" customHeight="1">
      <c r="A28" s="61"/>
      <c r="B28" s="62"/>
      <c r="C28" s="65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71"/>
    </row>
    <row r="29" spans="1:35" ht="20.1" customHeight="1">
      <c r="A29" s="65" t="s">
        <v>132</v>
      </c>
      <c r="B29" s="66"/>
      <c r="C29" s="66"/>
      <c r="D29" s="67">
        <f>SUM(D25:D28)</f>
        <v>0</v>
      </c>
      <c r="E29" s="67">
        <f t="shared" si="6" ref="E29:AE29">SUM(E25:E28)</f>
        <v>0</v>
      </c>
      <c r="F29" s="67">
        <f t="shared" si="6"/>
        <v>4</v>
      </c>
      <c r="G29" s="67">
        <f t="shared" si="6"/>
        <v>5</v>
      </c>
      <c r="H29" s="67">
        <f t="shared" si="6"/>
        <v>0</v>
      </c>
      <c r="I29" s="67">
        <f t="shared" si="6"/>
        <v>4</v>
      </c>
      <c r="J29" s="67">
        <f t="shared" si="6"/>
        <v>5</v>
      </c>
      <c r="K29" s="67">
        <f t="shared" si="6"/>
        <v>3</v>
      </c>
      <c r="L29" s="67">
        <f t="shared" si="6"/>
        <v>5</v>
      </c>
      <c r="M29" s="67">
        <f t="shared" si="6"/>
        <v>3</v>
      </c>
      <c r="N29" s="67">
        <f t="shared" si="6"/>
        <v>5</v>
      </c>
      <c r="O29" s="67">
        <f t="shared" si="6"/>
        <v>0</v>
      </c>
      <c r="P29" s="67">
        <f t="shared" si="6"/>
        <v>4</v>
      </c>
      <c r="Q29" s="67">
        <f t="shared" si="6"/>
        <v>5</v>
      </c>
      <c r="R29" s="67">
        <f t="shared" si="6"/>
        <v>3</v>
      </c>
      <c r="S29" s="67">
        <f t="shared" si="6"/>
        <v>5</v>
      </c>
      <c r="T29" s="67">
        <f t="shared" si="6"/>
        <v>3</v>
      </c>
      <c r="U29" s="67">
        <f t="shared" si="6"/>
        <v>0</v>
      </c>
      <c r="V29" s="67">
        <f t="shared" si="6"/>
        <v>0</v>
      </c>
      <c r="W29" s="67">
        <f t="shared" si="6"/>
        <v>0</v>
      </c>
      <c r="X29" s="67">
        <f t="shared" si="6"/>
        <v>5</v>
      </c>
      <c r="Y29" s="67">
        <f t="shared" si="6"/>
        <v>3</v>
      </c>
      <c r="Z29" s="67">
        <f t="shared" si="6"/>
        <v>5</v>
      </c>
      <c r="AA29" s="67">
        <f t="shared" si="6"/>
        <v>3</v>
      </c>
      <c r="AB29" s="67">
        <f t="shared" si="6"/>
        <v>5</v>
      </c>
      <c r="AC29" s="67">
        <f t="shared" si="6"/>
        <v>0</v>
      </c>
      <c r="AD29" s="67">
        <f t="shared" si="6"/>
        <v>3</v>
      </c>
      <c r="AE29" s="67">
        <f t="shared" si="6"/>
        <v>5</v>
      </c>
      <c r="AF29" s="67">
        <f>SUM(AF25:AF28)</f>
        <v>3</v>
      </c>
      <c r="AG29" s="67">
        <f>SUM(AG25:AG28)</f>
        <v>5</v>
      </c>
      <c r="AH29" s="67">
        <f>SUM(AH25:AH28)</f>
        <v>4</v>
      </c>
      <c r="AI29" s="68">
        <f>SUM(D29:AH29)</f>
        <v>95</v>
      </c>
    </row>
    <row r="30" spans="1:35" ht="20.1" customHeight="1">
      <c r="A30" s="66"/>
      <c r="B30" s="66"/>
      <c r="C30" s="66"/>
      <c r="D30" s="69">
        <f t="shared" si="7" ref="D30:AE30">$C$25*D25+$C$26*D26+$C$27*D27+$C$28*D28</f>
        <v>0</v>
      </c>
      <c r="E30" s="69">
        <f t="shared" si="7"/>
        <v>0</v>
      </c>
      <c r="F30" s="69">
        <f t="shared" si="7"/>
        <v>1.4139999999999999</v>
      </c>
      <c r="G30" s="69">
        <f t="shared" si="7"/>
        <v>1.7079999999999997</v>
      </c>
      <c r="H30" s="69">
        <f t="shared" si="7"/>
        <v>0</v>
      </c>
      <c r="I30" s="69">
        <f t="shared" si="7"/>
        <v>1.4139999999999999</v>
      </c>
      <c r="J30" s="69">
        <f t="shared" si="7"/>
        <v>1.7079999999999997</v>
      </c>
      <c r="K30" s="69">
        <f t="shared" si="7"/>
        <v>1.0009999999999999</v>
      </c>
      <c r="L30" s="69">
        <f t="shared" si="7"/>
        <v>1.7079999999999997</v>
      </c>
      <c r="M30" s="69">
        <f t="shared" si="7"/>
        <v>1.0009999999999999</v>
      </c>
      <c r="N30" s="69">
        <f t="shared" si="7"/>
        <v>1.7079999999999997</v>
      </c>
      <c r="O30" s="69">
        <f t="shared" si="7"/>
        <v>0</v>
      </c>
      <c r="P30" s="69">
        <f>$C$25*P25+$C$26*P26+$C$27*P27+$C$28*P28</f>
        <v>1.4139999999999999</v>
      </c>
      <c r="Q30" s="69">
        <f t="shared" si="7"/>
        <v>1.7079999999999997</v>
      </c>
      <c r="R30" s="69">
        <f t="shared" si="7"/>
        <v>1.0009999999999999</v>
      </c>
      <c r="S30" s="69">
        <f t="shared" si="7"/>
        <v>1.7079999999999997</v>
      </c>
      <c r="T30" s="69">
        <f t="shared" si="7"/>
        <v>1.0009999999999999</v>
      </c>
      <c r="U30" s="69">
        <f t="shared" si="7"/>
        <v>0</v>
      </c>
      <c r="V30" s="69">
        <f t="shared" si="7"/>
        <v>0</v>
      </c>
      <c r="W30" s="69">
        <f t="shared" si="7"/>
        <v>0</v>
      </c>
      <c r="X30" s="69">
        <f t="shared" si="7"/>
        <v>1.7079999999999997</v>
      </c>
      <c r="Y30" s="69">
        <f t="shared" si="7"/>
        <v>1.0009999999999999</v>
      </c>
      <c r="Z30" s="69">
        <f t="shared" si="7"/>
        <v>1.7079999999999997</v>
      </c>
      <c r="AA30" s="69">
        <f t="shared" si="7"/>
        <v>1.0009999999999999</v>
      </c>
      <c r="AB30" s="69">
        <f t="shared" si="7"/>
        <v>1.7079999999999997</v>
      </c>
      <c r="AC30" s="69">
        <f t="shared" si="7"/>
        <v>0</v>
      </c>
      <c r="AD30" s="69">
        <f t="shared" si="7"/>
        <v>1.0009999999999999</v>
      </c>
      <c r="AE30" s="69">
        <f t="shared" si="7"/>
        <v>1.7079999999999997</v>
      </c>
      <c r="AF30" s="69">
        <f>$C$25*AF25+$C$26*AF26+$C$27*AF27+$C$28*AF28</f>
        <v>1.0009999999999999</v>
      </c>
      <c r="AG30" s="69">
        <f>$C$25*AG25+$C$26*AG26+$C$27*AG27+$C$28*AG28</f>
        <v>1.7079999999999997</v>
      </c>
      <c r="AH30" s="69">
        <f>$C$25*AH25+$C$26*AH26+$C$27*AH27+$C$28*AH28</f>
        <v>1.4139999999999999</v>
      </c>
      <c r="AI30" s="69">
        <f>SUM(D30:AH30)</f>
        <v>32.451999999999998</v>
      </c>
    </row>
  </sheetData>
  <sheetProtection/>
  <mergeCells count="1">
    <mergeCell ref="A1:AI1"/>
  </mergeCells>
  <pageMargins left="0.25" right="0.25" top="0.75" bottom="0.75" header="0.3" footer="0.3"/>
  <pageSetup fitToHeight="0" orientation="landscape" paperSize="1" scale="47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0CBACBE-B56E-4007-8183-961A89BCB9AB}">
  <sheetPr codeName="Sheet9">
    <pageSetUpPr fitToPage="1"/>
  </sheetPr>
  <dimension ref="A1:AM37"/>
  <sheetViews>
    <sheetView view="pageBreakPreview" zoomScale="80" zoomScaleNormal="62" zoomScaleSheetLayoutView="80" workbookViewId="0" topLeftCell="A1">
      <selection pane="topLeft" activeCell="K29" sqref="K29"/>
    </sheetView>
  </sheetViews>
  <sheetFormatPr defaultRowHeight="12.75"/>
  <cols>
    <col min="1" max="1" width="13.4285714285714" bestFit="1" customWidth="1"/>
    <col min="2" max="2" width="19.4285714285714" customWidth="1"/>
    <col min="3" max="7" width="6.57142857142857" customWidth="1"/>
    <col min="8" max="8" width="7.42857142857143" bestFit="1" customWidth="1"/>
    <col min="9" max="10" width="6.57142857142857" customWidth="1"/>
    <col min="11" max="11" width="7.85714285714286" bestFit="1" customWidth="1"/>
    <col min="12" max="16" width="6.57142857142857" customWidth="1"/>
    <col min="17" max="17" width="6.42857142857143" customWidth="1"/>
    <col min="18" max="34" width="6.57142857142857" customWidth="1"/>
    <col min="35" max="35" width="9.42857142857143" customWidth="1"/>
  </cols>
  <sheetData>
    <row r="1" spans="1:35" ht="12.75">
      <c r="A1" s="606" t="str">
        <f>"DETAIL OF PART-B MEASUREMENT LLDPE  SITE FOR "&amp;'Working Sheet'!C7&amp;" MONTH"</f>
        <v>DETAIL OF PART-B MEASUREMENT LLDPE  SITE FOR OCTOBER-2025 MONTH</v>
      </c>
      <c r="B1" s="607"/>
      <c r="C1" s="607"/>
      <c r="D1" s="607"/>
      <c r="E1" s="607"/>
      <c r="F1" s="607"/>
      <c r="G1" s="607"/>
      <c r="H1" s="607"/>
      <c r="I1" s="607"/>
      <c r="J1" s="607"/>
      <c r="K1" s="607"/>
      <c r="L1" s="607"/>
      <c r="M1" s="607"/>
      <c r="N1" s="607"/>
      <c r="O1" s="607"/>
      <c r="P1" s="607"/>
      <c r="Q1" s="607"/>
      <c r="R1" s="607"/>
      <c r="S1" s="607"/>
      <c r="T1" s="607"/>
      <c r="U1" s="607"/>
      <c r="V1" s="607"/>
      <c r="W1" s="607"/>
      <c r="X1" s="607"/>
      <c r="Y1" s="607"/>
      <c r="Z1" s="607"/>
      <c r="AA1" s="607"/>
      <c r="AB1" s="607"/>
      <c r="AC1" s="607"/>
      <c r="AD1" s="607"/>
      <c r="AE1" s="607"/>
      <c r="AF1" s="607"/>
      <c r="AG1" s="607"/>
      <c r="AH1" s="607"/>
      <c r="AI1" s="608"/>
    </row>
    <row r="2" spans="1:35" ht="92.45" customHeight="1">
      <c r="A2" s="36" t="s">
        <v>150</v>
      </c>
      <c r="B2" s="36" t="s">
        <v>142</v>
      </c>
      <c r="C2" s="37" t="s">
        <v>154</v>
      </c>
      <c r="D2" s="38">
        <f>DATE('Working Sheet'!$C$12,'Working Sheet'!$C$11,1)</f>
        <v>45931</v>
      </c>
      <c r="E2" s="38">
        <f>DATE('Working Sheet'!$C$12,'Working Sheet'!$C$11,2)</f>
        <v>45932</v>
      </c>
      <c r="F2" s="38">
        <f>DATE('Working Sheet'!$C$12,'Working Sheet'!$C$11,3)</f>
        <v>45933</v>
      </c>
      <c r="G2" s="38">
        <f>DATE('Working Sheet'!$C$12,'Working Sheet'!$C$11,4)</f>
        <v>45934</v>
      </c>
      <c r="H2" s="38">
        <f>DATE('Working Sheet'!$C$12,'Working Sheet'!$C$11,5)</f>
        <v>45935</v>
      </c>
      <c r="I2" s="38">
        <f>DATE('Working Sheet'!$C$12,'Working Sheet'!$C$11,6)</f>
        <v>45936</v>
      </c>
      <c r="J2" s="38">
        <f>DATE('Working Sheet'!$C$12,'Working Sheet'!$C$11,7)</f>
        <v>45937</v>
      </c>
      <c r="K2" s="38">
        <f>DATE('Working Sheet'!$C$12,'Working Sheet'!$C$11,8)</f>
        <v>45938</v>
      </c>
      <c r="L2" s="38">
        <f>DATE('Working Sheet'!$C$12,'Working Sheet'!$C$11,9)</f>
        <v>45939</v>
      </c>
      <c r="M2" s="38">
        <f>DATE('Working Sheet'!$C$12,'Working Sheet'!$C$11,10)</f>
        <v>45940</v>
      </c>
      <c r="N2" s="38">
        <f>DATE('Working Sheet'!$C$12,'Working Sheet'!$C$11,11)</f>
        <v>45941</v>
      </c>
      <c r="O2" s="38">
        <f>DATE('Working Sheet'!$C$12,'Working Sheet'!$C$11,12)</f>
        <v>45942</v>
      </c>
      <c r="P2" s="38">
        <f>DATE('Working Sheet'!$C$12,'Working Sheet'!$C$11,13)</f>
        <v>45943</v>
      </c>
      <c r="Q2" s="38">
        <f>DATE('Working Sheet'!$C$12,'Working Sheet'!$C$11,14)</f>
        <v>45944</v>
      </c>
      <c r="R2" s="38">
        <f>DATE('Working Sheet'!$C$12,'Working Sheet'!$C$11,15)</f>
        <v>45945</v>
      </c>
      <c r="S2" s="38">
        <f>DATE('Working Sheet'!$C$12,'Working Sheet'!$C$11,16)</f>
        <v>45946</v>
      </c>
      <c r="T2" s="38">
        <f>DATE('Working Sheet'!$C$12,'Working Sheet'!$C$11,17)</f>
        <v>45947</v>
      </c>
      <c r="U2" s="38">
        <f>DATE('Working Sheet'!$C$12,'Working Sheet'!$C$11,18)</f>
        <v>45948</v>
      </c>
      <c r="V2" s="38">
        <f>DATE('Working Sheet'!$C$12,'Working Sheet'!$C$11,19)</f>
        <v>45949</v>
      </c>
      <c r="W2" s="38">
        <f>DATE('Working Sheet'!$C$12,'Working Sheet'!$C$11,20)</f>
        <v>45950</v>
      </c>
      <c r="X2" s="38">
        <f>DATE('Working Sheet'!$C$12,'Working Sheet'!$C$11,21)</f>
        <v>45951</v>
      </c>
      <c r="Y2" s="38">
        <f>DATE('Working Sheet'!$C$12,'Working Sheet'!$C$11,22)</f>
        <v>45952</v>
      </c>
      <c r="Z2" s="38">
        <f>DATE('Working Sheet'!$C$12,'Working Sheet'!$C$11,23)</f>
        <v>45953</v>
      </c>
      <c r="AA2" s="38">
        <f>DATE('Working Sheet'!$C$12,'Working Sheet'!$C$11,24)</f>
        <v>45954</v>
      </c>
      <c r="AB2" s="38">
        <f>DATE('Working Sheet'!$C$12,'Working Sheet'!$C$11,25)</f>
        <v>45955</v>
      </c>
      <c r="AC2" s="38">
        <f>DATE('Working Sheet'!$C$12,'Working Sheet'!$C$11,26)</f>
        <v>45956</v>
      </c>
      <c r="AD2" s="38">
        <f>DATE('Working Sheet'!$C$12,'Working Sheet'!$C$11,27)</f>
        <v>45957</v>
      </c>
      <c r="AE2" s="38">
        <f>DATE('Working Sheet'!$C$12,'Working Sheet'!$C$11,28)</f>
        <v>45958</v>
      </c>
      <c r="AF2" s="38">
        <f>DATE('Working Sheet'!$C$12,'Working Sheet'!$C$11,29)</f>
        <v>45959</v>
      </c>
      <c r="AG2" s="38">
        <f>DATE('Working Sheet'!$C$12,'Working Sheet'!$C$11,30)</f>
        <v>45960</v>
      </c>
      <c r="AH2" s="38">
        <f>DATE('Working Sheet'!$C$12,'Working Sheet'!$C$11,31)</f>
        <v>45961</v>
      </c>
      <c r="AI2" s="39" t="s">
        <v>132</v>
      </c>
    </row>
    <row r="3" spans="1:35" ht="20.1" customHeight="1">
      <c r="A3" s="40" t="s">
        <v>155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2"/>
    </row>
    <row r="4" spans="1:35" ht="20.1" customHeight="1">
      <c r="A4" s="43">
        <v>1</v>
      </c>
      <c r="B4" s="44" t="s">
        <v>147</v>
      </c>
      <c r="C4" s="45">
        <v>0.17</v>
      </c>
      <c r="D4" s="234">
        <v>0</v>
      </c>
      <c r="E4" s="234">
        <v>1</v>
      </c>
      <c r="F4" s="234">
        <v>1</v>
      </c>
      <c r="G4" s="234">
        <v>0</v>
      </c>
      <c r="H4" s="234">
        <v>1</v>
      </c>
      <c r="I4" s="234">
        <v>1</v>
      </c>
      <c r="J4" s="234">
        <v>1</v>
      </c>
      <c r="K4" s="234">
        <v>0</v>
      </c>
      <c r="L4" s="234">
        <v>2</v>
      </c>
      <c r="M4" s="234">
        <v>1</v>
      </c>
      <c r="N4" s="234">
        <v>0</v>
      </c>
      <c r="O4" s="234">
        <v>1</v>
      </c>
      <c r="P4" s="234">
        <v>1</v>
      </c>
      <c r="Q4" s="234">
        <v>1</v>
      </c>
      <c r="R4" s="234">
        <v>0</v>
      </c>
      <c r="S4" s="234">
        <v>2</v>
      </c>
      <c r="T4" s="234">
        <v>1</v>
      </c>
      <c r="U4" s="234">
        <v>1</v>
      </c>
      <c r="V4" s="234">
        <v>1</v>
      </c>
      <c r="W4" s="234">
        <v>1</v>
      </c>
      <c r="X4" s="234">
        <v>1</v>
      </c>
      <c r="Y4" s="234">
        <v>0</v>
      </c>
      <c r="Z4" s="234">
        <v>2</v>
      </c>
      <c r="AA4" s="234">
        <v>1</v>
      </c>
      <c r="AB4" s="234">
        <v>1</v>
      </c>
      <c r="AC4" s="234">
        <v>1</v>
      </c>
      <c r="AD4" s="234">
        <v>1</v>
      </c>
      <c r="AE4" s="234">
        <v>1</v>
      </c>
      <c r="AF4" s="234">
        <v>0</v>
      </c>
      <c r="AG4" s="234">
        <v>1</v>
      </c>
      <c r="AH4" s="234">
        <v>1</v>
      </c>
      <c r="AI4" s="51">
        <f t="shared" si="0" ref="AI4:AI9">SUM(D4:AH4)</f>
        <v>27</v>
      </c>
    </row>
    <row r="5" spans="1:35" ht="20.1" customHeight="1">
      <c r="A5" s="43">
        <v>2</v>
      </c>
      <c r="B5" s="44" t="s">
        <v>144</v>
      </c>
      <c r="C5" s="47">
        <v>0.14499999999999999</v>
      </c>
      <c r="D5" s="234">
        <v>1</v>
      </c>
      <c r="E5" s="234">
        <v>0</v>
      </c>
      <c r="F5" s="234">
        <v>1</v>
      </c>
      <c r="G5" s="234">
        <v>1</v>
      </c>
      <c r="H5" s="234">
        <v>2</v>
      </c>
      <c r="I5" s="234">
        <v>2</v>
      </c>
      <c r="J5" s="234">
        <v>0</v>
      </c>
      <c r="K5" s="234">
        <v>0</v>
      </c>
      <c r="L5" s="234">
        <v>0</v>
      </c>
      <c r="M5" s="234">
        <v>1</v>
      </c>
      <c r="N5" s="234">
        <v>1</v>
      </c>
      <c r="O5" s="234">
        <v>2</v>
      </c>
      <c r="P5" s="234">
        <v>2</v>
      </c>
      <c r="Q5" s="234">
        <v>0</v>
      </c>
      <c r="R5" s="234">
        <v>1</v>
      </c>
      <c r="S5" s="234">
        <v>0</v>
      </c>
      <c r="T5" s="234">
        <v>1</v>
      </c>
      <c r="U5" s="234">
        <v>1</v>
      </c>
      <c r="V5" s="234">
        <v>2</v>
      </c>
      <c r="W5" s="234">
        <v>2</v>
      </c>
      <c r="X5" s="234">
        <v>0</v>
      </c>
      <c r="Y5" s="234">
        <v>0</v>
      </c>
      <c r="Z5" s="234">
        <v>0</v>
      </c>
      <c r="AA5" s="234">
        <v>1</v>
      </c>
      <c r="AB5" s="234">
        <v>1</v>
      </c>
      <c r="AC5" s="234">
        <v>2</v>
      </c>
      <c r="AD5" s="234">
        <v>2</v>
      </c>
      <c r="AE5" s="234">
        <v>1</v>
      </c>
      <c r="AF5" s="234">
        <v>1</v>
      </c>
      <c r="AG5" s="234">
        <v>0</v>
      </c>
      <c r="AH5" s="234">
        <v>1</v>
      </c>
      <c r="AI5" s="51">
        <f t="shared" si="0"/>
        <v>29</v>
      </c>
    </row>
    <row r="6" spans="1:39" ht="20.1" customHeight="1">
      <c r="A6" s="43">
        <v>3</v>
      </c>
      <c r="B6" s="44" t="s">
        <v>145</v>
      </c>
      <c r="C6" s="45">
        <v>0.12</v>
      </c>
      <c r="D6" s="234">
        <v>4</v>
      </c>
      <c r="E6" s="234">
        <v>3</v>
      </c>
      <c r="F6" s="234">
        <v>4</v>
      </c>
      <c r="G6" s="234">
        <v>3</v>
      </c>
      <c r="H6" s="234">
        <v>3</v>
      </c>
      <c r="I6" s="234">
        <v>4</v>
      </c>
      <c r="J6" s="234">
        <v>5</v>
      </c>
      <c r="K6" s="234">
        <v>4</v>
      </c>
      <c r="L6" s="234">
        <v>4</v>
      </c>
      <c r="M6" s="234">
        <v>4</v>
      </c>
      <c r="N6" s="234">
        <v>3</v>
      </c>
      <c r="O6" s="234">
        <v>3</v>
      </c>
      <c r="P6" s="234">
        <v>4</v>
      </c>
      <c r="Q6" s="234">
        <v>4</v>
      </c>
      <c r="R6" s="234">
        <v>4</v>
      </c>
      <c r="S6" s="234">
        <v>5</v>
      </c>
      <c r="T6" s="234">
        <v>4</v>
      </c>
      <c r="U6" s="234">
        <v>3</v>
      </c>
      <c r="V6" s="234">
        <v>4</v>
      </c>
      <c r="W6" s="234">
        <v>5</v>
      </c>
      <c r="X6" s="234">
        <v>4</v>
      </c>
      <c r="Y6" s="234">
        <v>4</v>
      </c>
      <c r="Z6" s="234">
        <v>4</v>
      </c>
      <c r="AA6" s="234">
        <v>5</v>
      </c>
      <c r="AB6" s="234">
        <v>3</v>
      </c>
      <c r="AC6" s="234">
        <v>3</v>
      </c>
      <c r="AD6" s="234">
        <v>4</v>
      </c>
      <c r="AE6" s="234">
        <v>4</v>
      </c>
      <c r="AF6" s="234">
        <v>5</v>
      </c>
      <c r="AG6" s="234">
        <v>5</v>
      </c>
      <c r="AH6" s="234">
        <v>4</v>
      </c>
      <c r="AI6" s="51">
        <f t="shared" si="0"/>
        <v>122</v>
      </c>
      <c r="AM6" s="35">
        <f>AI4+AI11+AI18+AI25+AI32</f>
        <v>111.5</v>
      </c>
    </row>
    <row r="7" spans="1:39" ht="20.1" customHeight="1">
      <c r="A7" s="43">
        <v>4</v>
      </c>
      <c r="B7" s="44" t="s">
        <v>146</v>
      </c>
      <c r="C7" s="47">
        <v>0.10299999999999999</v>
      </c>
      <c r="D7" s="234">
        <v>4</v>
      </c>
      <c r="E7" s="234">
        <v>2</v>
      </c>
      <c r="F7" s="234">
        <v>5</v>
      </c>
      <c r="G7" s="234">
        <v>3</v>
      </c>
      <c r="H7" s="234">
        <v>5</v>
      </c>
      <c r="I7" s="234">
        <v>5</v>
      </c>
      <c r="J7" s="234">
        <v>4</v>
      </c>
      <c r="K7" s="234">
        <v>3</v>
      </c>
      <c r="L7" s="234">
        <v>4</v>
      </c>
      <c r="M7" s="234">
        <v>6</v>
      </c>
      <c r="N7" s="234">
        <v>4</v>
      </c>
      <c r="O7" s="234">
        <v>5</v>
      </c>
      <c r="P7" s="234">
        <v>3</v>
      </c>
      <c r="Q7" s="234">
        <v>3</v>
      </c>
      <c r="R7" s="234">
        <v>5</v>
      </c>
      <c r="S7" s="234">
        <v>4</v>
      </c>
      <c r="T7" s="234">
        <v>6</v>
      </c>
      <c r="U7" s="234">
        <v>6</v>
      </c>
      <c r="V7" s="234">
        <v>5</v>
      </c>
      <c r="W7" s="234">
        <v>4</v>
      </c>
      <c r="X7" s="234">
        <v>3</v>
      </c>
      <c r="Y7" s="234">
        <v>4</v>
      </c>
      <c r="Z7" s="234">
        <v>5</v>
      </c>
      <c r="AA7" s="234">
        <v>4</v>
      </c>
      <c r="AB7" s="234">
        <v>3</v>
      </c>
      <c r="AC7" s="234">
        <v>5</v>
      </c>
      <c r="AD7" s="234">
        <v>6</v>
      </c>
      <c r="AE7" s="234">
        <v>3</v>
      </c>
      <c r="AF7" s="234">
        <v>2</v>
      </c>
      <c r="AG7" s="234">
        <v>4</v>
      </c>
      <c r="AH7" s="234">
        <v>6</v>
      </c>
      <c r="AI7" s="51">
        <f t="shared" si="0"/>
        <v>131</v>
      </c>
      <c r="AM7" s="35">
        <f>AI5+AI12+AI19+AI26+AI33</f>
        <v>133.5</v>
      </c>
    </row>
    <row r="8" spans="1:39" ht="20.1" customHeight="1">
      <c r="A8" s="47" t="s">
        <v>132</v>
      </c>
      <c r="B8" s="47"/>
      <c r="C8" s="47"/>
      <c r="D8" s="48">
        <f t="shared" si="1" ref="D8:K8">SUM(D3:D7)</f>
        <v>9</v>
      </c>
      <c r="E8" s="48">
        <f t="shared" si="1"/>
        <v>6</v>
      </c>
      <c r="F8" s="48">
        <f t="shared" si="1"/>
        <v>11</v>
      </c>
      <c r="G8" s="48">
        <f t="shared" si="1"/>
        <v>7</v>
      </c>
      <c r="H8" s="48">
        <f t="shared" si="1"/>
        <v>11</v>
      </c>
      <c r="I8" s="48">
        <f t="shared" si="1"/>
        <v>12</v>
      </c>
      <c r="J8" s="48">
        <f t="shared" si="1"/>
        <v>10</v>
      </c>
      <c r="K8" s="48">
        <f t="shared" si="1"/>
        <v>7</v>
      </c>
      <c r="L8" s="48">
        <f t="shared" si="2" ref="L8:AG8">SUM(L3:L7)</f>
        <v>10</v>
      </c>
      <c r="M8" s="48">
        <f t="shared" si="2"/>
        <v>12</v>
      </c>
      <c r="N8" s="48">
        <f t="shared" si="2"/>
        <v>8</v>
      </c>
      <c r="O8" s="48">
        <f t="shared" si="2"/>
        <v>11</v>
      </c>
      <c r="P8" s="48">
        <f t="shared" si="2"/>
        <v>10</v>
      </c>
      <c r="Q8" s="48">
        <f t="shared" si="2"/>
        <v>8</v>
      </c>
      <c r="R8" s="48">
        <f t="shared" si="2"/>
        <v>10</v>
      </c>
      <c r="S8" s="48">
        <f t="shared" si="2"/>
        <v>11</v>
      </c>
      <c r="T8" s="48">
        <f t="shared" si="2"/>
        <v>12</v>
      </c>
      <c r="U8" s="48">
        <f t="shared" si="2"/>
        <v>11</v>
      </c>
      <c r="V8" s="48">
        <f t="shared" si="2"/>
        <v>12</v>
      </c>
      <c r="W8" s="48">
        <f t="shared" si="2"/>
        <v>12</v>
      </c>
      <c r="X8" s="48">
        <f t="shared" si="2"/>
        <v>8</v>
      </c>
      <c r="Y8" s="48">
        <f t="shared" si="2"/>
        <v>8</v>
      </c>
      <c r="Z8" s="48">
        <f t="shared" si="2"/>
        <v>11</v>
      </c>
      <c r="AA8" s="48">
        <f t="shared" si="2"/>
        <v>11</v>
      </c>
      <c r="AB8" s="48">
        <f t="shared" si="2"/>
        <v>8</v>
      </c>
      <c r="AC8" s="48">
        <f t="shared" si="2"/>
        <v>11</v>
      </c>
      <c r="AD8" s="48">
        <f t="shared" si="2"/>
        <v>13</v>
      </c>
      <c r="AE8" s="48">
        <f t="shared" si="2"/>
        <v>9</v>
      </c>
      <c r="AF8" s="48">
        <f t="shared" si="2"/>
        <v>8</v>
      </c>
      <c r="AG8" s="48">
        <f t="shared" si="2"/>
        <v>10</v>
      </c>
      <c r="AH8" s="48">
        <f>SUM(AH3:AH7)</f>
        <v>12</v>
      </c>
      <c r="AI8" s="49">
        <f t="shared" si="0"/>
        <v>309</v>
      </c>
      <c r="AL8" s="35"/>
      <c r="AM8" s="35">
        <f>AI6+AI13+AI20+AI27+AI34</f>
        <v>437</v>
      </c>
    </row>
    <row r="9" spans="1:39" ht="20.1" customHeight="1">
      <c r="A9" s="47"/>
      <c r="B9" s="47"/>
      <c r="C9" s="47"/>
      <c r="D9" s="50">
        <f t="shared" si="3" ref="D9:AD9">$C$4*D4+$C$5*D5+$C$6*D6+$C$7*D7</f>
        <v>1.0369999999999999</v>
      </c>
      <c r="E9" s="50">
        <f t="shared" si="3"/>
        <v>0.73599999999999999</v>
      </c>
      <c r="F9" s="50">
        <f t="shared" si="3"/>
        <v>1.3100000000000001</v>
      </c>
      <c r="G9" s="50">
        <f t="shared" si="3"/>
        <v>0.81400000000000006</v>
      </c>
      <c r="H9" s="50">
        <f t="shared" si="3"/>
        <v>1.335</v>
      </c>
      <c r="I9" s="50">
        <f t="shared" si="3"/>
        <v>1.4550000000000001</v>
      </c>
      <c r="J9" s="50">
        <f t="shared" si="3"/>
        <v>1.1819999999999999</v>
      </c>
      <c r="K9" s="50">
        <f t="shared" si="3"/>
        <v>0.78899999999999992</v>
      </c>
      <c r="L9" s="50">
        <f t="shared" si="3"/>
        <v>1.232</v>
      </c>
      <c r="M9" s="50">
        <f t="shared" si="3"/>
        <v>1.4129999999999998</v>
      </c>
      <c r="N9" s="50">
        <f t="shared" si="3"/>
        <v>0.91700000000000004</v>
      </c>
      <c r="O9" s="50">
        <f t="shared" si="3"/>
        <v>1.335</v>
      </c>
      <c r="P9" s="50">
        <f t="shared" si="3"/>
        <v>1.2489999999999999</v>
      </c>
      <c r="Q9" s="50">
        <f t="shared" si="3"/>
        <v>0.95900000000000007</v>
      </c>
      <c r="R9" s="50">
        <f t="shared" si="3"/>
        <v>1.1400000000000001</v>
      </c>
      <c r="S9" s="50">
        <f t="shared" si="3"/>
        <v>1.3519999999999999</v>
      </c>
      <c r="T9" s="50">
        <f t="shared" si="3"/>
        <v>1.4129999999999998</v>
      </c>
      <c r="U9" s="50">
        <f t="shared" si="3"/>
        <v>1.2930000000000001</v>
      </c>
      <c r="V9" s="50">
        <f t="shared" si="3"/>
        <v>1.4550000000000001</v>
      </c>
      <c r="W9" s="50">
        <f t="shared" si="3"/>
        <v>1.472</v>
      </c>
      <c r="X9" s="50">
        <f t="shared" si="3"/>
        <v>0.95900000000000007</v>
      </c>
      <c r="Y9" s="50">
        <f t="shared" si="3"/>
        <v>0.8919999999999999</v>
      </c>
      <c r="Z9" s="50">
        <f t="shared" si="3"/>
        <v>1.335</v>
      </c>
      <c r="AA9" s="50">
        <f t="shared" si="3"/>
        <v>1.327</v>
      </c>
      <c r="AB9" s="50">
        <f t="shared" si="3"/>
        <v>0.98399999999999999</v>
      </c>
      <c r="AC9" s="50">
        <f t="shared" si="3"/>
        <v>1.335</v>
      </c>
      <c r="AD9" s="50">
        <f t="shared" si="3"/>
        <v>1.5579999999999998</v>
      </c>
      <c r="AE9" s="50">
        <f>$C$4*AE4+$C$5*AE5+$C$6*AE6+$C$7*AE7</f>
        <v>1.1039999999999999</v>
      </c>
      <c r="AF9" s="50">
        <f>$C$4*AF4+$C$5*AF5+$C$6*AF6+$C$7*AF7</f>
        <v>0.95099999999999996</v>
      </c>
      <c r="AG9" s="50">
        <f>$C$4*AG4+$C$5*AG5+$C$6*AG6+$C$7*AG7</f>
        <v>1.1819999999999999</v>
      </c>
      <c r="AH9" s="50">
        <f>$C$4*AH4+$C$5*AH5+$C$6*AH6+$C$7*AH7</f>
        <v>1.4129999999999998</v>
      </c>
      <c r="AI9" s="50">
        <f t="shared" si="0"/>
        <v>36.927999999999997</v>
      </c>
      <c r="AM9" s="35">
        <f>AI7+AI14+AI21+AI28+AI35</f>
        <v>399</v>
      </c>
    </row>
    <row r="10" spans="1:35" ht="20.1" customHeight="1">
      <c r="A10" s="40" t="s">
        <v>151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235"/>
    </row>
    <row r="11" spans="1:35" ht="20.1" customHeight="1">
      <c r="A11" s="43">
        <v>1</v>
      </c>
      <c r="B11" s="44" t="s">
        <v>147</v>
      </c>
      <c r="C11" s="45">
        <v>0.17</v>
      </c>
      <c r="D11" s="46">
        <v>0</v>
      </c>
      <c r="E11" s="46">
        <v>1</v>
      </c>
      <c r="F11" s="46">
        <v>1</v>
      </c>
      <c r="G11" s="46">
        <v>1</v>
      </c>
      <c r="H11" s="46">
        <v>2</v>
      </c>
      <c r="I11" s="46">
        <v>2</v>
      </c>
      <c r="J11" s="46">
        <v>2</v>
      </c>
      <c r="K11" s="46">
        <v>1</v>
      </c>
      <c r="L11" s="46">
        <v>1</v>
      </c>
      <c r="M11" s="46">
        <v>1</v>
      </c>
      <c r="N11" s="46">
        <v>1</v>
      </c>
      <c r="O11" s="46">
        <v>1</v>
      </c>
      <c r="P11" s="46">
        <v>1</v>
      </c>
      <c r="Q11" s="46">
        <v>2</v>
      </c>
      <c r="R11" s="46">
        <v>1</v>
      </c>
      <c r="S11" s="46">
        <v>1</v>
      </c>
      <c r="T11" s="46">
        <v>1</v>
      </c>
      <c r="U11" s="46">
        <v>1</v>
      </c>
      <c r="V11" s="46">
        <v>1</v>
      </c>
      <c r="W11" s="46">
        <v>1</v>
      </c>
      <c r="X11" s="46">
        <v>1</v>
      </c>
      <c r="Y11" s="46">
        <v>1</v>
      </c>
      <c r="Z11" s="46">
        <v>1</v>
      </c>
      <c r="AA11" s="46">
        <v>1</v>
      </c>
      <c r="AB11" s="46">
        <v>1</v>
      </c>
      <c r="AC11" s="46">
        <v>2</v>
      </c>
      <c r="AD11" s="46">
        <v>2</v>
      </c>
      <c r="AE11" s="46">
        <v>2</v>
      </c>
      <c r="AF11" s="46">
        <v>1</v>
      </c>
      <c r="AG11" s="46">
        <v>1</v>
      </c>
      <c r="AH11" s="46">
        <v>1</v>
      </c>
      <c r="AI11" s="51">
        <f t="shared" si="4" ref="AI11:AI16">SUM(D11:AH11)</f>
        <v>37</v>
      </c>
    </row>
    <row r="12" spans="1:35" ht="20.1" customHeight="1">
      <c r="A12" s="43">
        <v>2</v>
      </c>
      <c r="B12" s="44" t="s">
        <v>144</v>
      </c>
      <c r="C12" s="47">
        <v>0.14499999999999999</v>
      </c>
      <c r="D12" s="46">
        <v>1</v>
      </c>
      <c r="E12" s="46">
        <v>1</v>
      </c>
      <c r="F12" s="46">
        <v>2</v>
      </c>
      <c r="G12" s="46">
        <v>2</v>
      </c>
      <c r="H12" s="46">
        <v>1</v>
      </c>
      <c r="I12" s="46">
        <v>0</v>
      </c>
      <c r="J12" s="46">
        <v>0</v>
      </c>
      <c r="K12" s="46">
        <v>1</v>
      </c>
      <c r="L12" s="46">
        <v>1</v>
      </c>
      <c r="M12" s="46">
        <v>2</v>
      </c>
      <c r="N12" s="46">
        <v>2</v>
      </c>
      <c r="O12" s="46">
        <v>1</v>
      </c>
      <c r="P12" s="46">
        <v>1</v>
      </c>
      <c r="Q12" s="46">
        <v>0</v>
      </c>
      <c r="R12" s="46">
        <v>1</v>
      </c>
      <c r="S12" s="46">
        <v>1</v>
      </c>
      <c r="T12" s="46">
        <v>2</v>
      </c>
      <c r="U12" s="46">
        <v>2</v>
      </c>
      <c r="V12" s="46">
        <v>0</v>
      </c>
      <c r="W12" s="46">
        <v>1</v>
      </c>
      <c r="X12" s="46">
        <v>0</v>
      </c>
      <c r="Y12" s="46">
        <v>1</v>
      </c>
      <c r="Z12" s="46">
        <v>1</v>
      </c>
      <c r="AA12" s="46">
        <v>2</v>
      </c>
      <c r="AB12" s="46">
        <v>2</v>
      </c>
      <c r="AC12" s="46">
        <v>1</v>
      </c>
      <c r="AD12" s="46">
        <v>1</v>
      </c>
      <c r="AE12" s="46">
        <v>0</v>
      </c>
      <c r="AF12" s="46">
        <v>1</v>
      </c>
      <c r="AG12" s="46">
        <v>1</v>
      </c>
      <c r="AH12" s="46">
        <v>2</v>
      </c>
      <c r="AI12" s="51">
        <f t="shared" si="4"/>
        <v>34</v>
      </c>
    </row>
    <row r="13" spans="1:35" ht="20.1" customHeight="1">
      <c r="A13" s="43">
        <v>3</v>
      </c>
      <c r="B13" s="44" t="s">
        <v>145</v>
      </c>
      <c r="C13" s="45">
        <v>0.12</v>
      </c>
      <c r="D13" s="46">
        <v>1</v>
      </c>
      <c r="E13" s="46">
        <v>2</v>
      </c>
      <c r="F13" s="46">
        <v>3</v>
      </c>
      <c r="G13" s="46">
        <v>4</v>
      </c>
      <c r="H13" s="46">
        <v>4</v>
      </c>
      <c r="I13" s="46">
        <v>4</v>
      </c>
      <c r="J13" s="46">
        <v>4</v>
      </c>
      <c r="K13" s="46">
        <v>5</v>
      </c>
      <c r="L13" s="46">
        <v>3</v>
      </c>
      <c r="M13" s="46">
        <v>2</v>
      </c>
      <c r="N13" s="46">
        <v>4</v>
      </c>
      <c r="O13" s="46">
        <v>5</v>
      </c>
      <c r="P13" s="46">
        <v>3</v>
      </c>
      <c r="Q13" s="46">
        <v>4</v>
      </c>
      <c r="R13" s="46">
        <v>4</v>
      </c>
      <c r="S13" s="46">
        <v>3</v>
      </c>
      <c r="T13" s="46">
        <v>3</v>
      </c>
      <c r="U13" s="46">
        <v>4</v>
      </c>
      <c r="V13" s="46">
        <v>4</v>
      </c>
      <c r="W13" s="46">
        <v>3</v>
      </c>
      <c r="X13" s="46">
        <v>4</v>
      </c>
      <c r="Y13" s="46">
        <v>3</v>
      </c>
      <c r="Z13" s="46">
        <v>2</v>
      </c>
      <c r="AA13" s="46">
        <v>3</v>
      </c>
      <c r="AB13" s="46">
        <v>4</v>
      </c>
      <c r="AC13" s="46">
        <v>5</v>
      </c>
      <c r="AD13" s="46">
        <v>5</v>
      </c>
      <c r="AE13" s="46">
        <v>5</v>
      </c>
      <c r="AF13" s="46">
        <v>5</v>
      </c>
      <c r="AG13" s="46">
        <v>2</v>
      </c>
      <c r="AH13" s="46">
        <v>3</v>
      </c>
      <c r="AI13" s="51">
        <f t="shared" si="4"/>
        <v>110</v>
      </c>
    </row>
    <row r="14" spans="1:35" ht="20.1" customHeight="1">
      <c r="A14" s="43">
        <v>4</v>
      </c>
      <c r="B14" s="44" t="s">
        <v>146</v>
      </c>
      <c r="C14" s="47">
        <v>0.10299999999999999</v>
      </c>
      <c r="D14" s="46">
        <v>1</v>
      </c>
      <c r="E14" s="46">
        <v>2</v>
      </c>
      <c r="F14" s="46">
        <v>4</v>
      </c>
      <c r="G14" s="46">
        <v>5</v>
      </c>
      <c r="H14" s="46">
        <v>3</v>
      </c>
      <c r="I14" s="46">
        <v>3</v>
      </c>
      <c r="J14" s="46">
        <v>4</v>
      </c>
      <c r="K14" s="46">
        <v>3</v>
      </c>
      <c r="L14" s="46">
        <v>3</v>
      </c>
      <c r="M14" s="46">
        <v>6</v>
      </c>
      <c r="N14" s="46">
        <v>4</v>
      </c>
      <c r="O14" s="46">
        <v>3</v>
      </c>
      <c r="P14" s="46">
        <v>4</v>
      </c>
      <c r="Q14" s="46">
        <v>4</v>
      </c>
      <c r="R14" s="46">
        <v>3</v>
      </c>
      <c r="S14" s="46">
        <v>4</v>
      </c>
      <c r="T14" s="46">
        <v>5</v>
      </c>
      <c r="U14" s="234">
        <v>5</v>
      </c>
      <c r="V14" s="46">
        <v>3</v>
      </c>
      <c r="W14" s="46">
        <v>1</v>
      </c>
      <c r="X14" s="46">
        <v>2</v>
      </c>
      <c r="Y14" s="46">
        <v>4</v>
      </c>
      <c r="Z14" s="46">
        <v>4</v>
      </c>
      <c r="AA14" s="46">
        <v>5</v>
      </c>
      <c r="AB14" s="46">
        <v>5</v>
      </c>
      <c r="AC14" s="46">
        <v>2</v>
      </c>
      <c r="AD14" s="46">
        <v>2</v>
      </c>
      <c r="AE14" s="46">
        <v>2</v>
      </c>
      <c r="AF14" s="46">
        <v>3</v>
      </c>
      <c r="AG14" s="46">
        <v>6</v>
      </c>
      <c r="AH14" s="46">
        <v>6</v>
      </c>
      <c r="AI14" s="51">
        <f t="shared" si="4"/>
        <v>111</v>
      </c>
    </row>
    <row r="15" spans="1:35" ht="20.1" customHeight="1">
      <c r="A15" s="47" t="s">
        <v>132</v>
      </c>
      <c r="B15" s="47"/>
      <c r="C15" s="47"/>
      <c r="D15" s="48">
        <f>SUM(D11:D14)</f>
        <v>3</v>
      </c>
      <c r="E15" s="48">
        <f t="shared" si="5" ref="E15:AE15">SUM(E11:E14)</f>
        <v>6</v>
      </c>
      <c r="F15" s="48">
        <f t="shared" si="5"/>
        <v>10</v>
      </c>
      <c r="G15" s="48">
        <f t="shared" si="5"/>
        <v>12</v>
      </c>
      <c r="H15" s="48">
        <f t="shared" si="5"/>
        <v>10</v>
      </c>
      <c r="I15" s="48">
        <f t="shared" si="5"/>
        <v>9</v>
      </c>
      <c r="J15" s="48">
        <f t="shared" si="5"/>
        <v>10</v>
      </c>
      <c r="K15" s="48">
        <f t="shared" si="5"/>
        <v>10</v>
      </c>
      <c r="L15" s="48">
        <f t="shared" si="5"/>
        <v>8</v>
      </c>
      <c r="M15" s="48">
        <f t="shared" si="5"/>
        <v>11</v>
      </c>
      <c r="N15" s="48">
        <f t="shared" si="5"/>
        <v>11</v>
      </c>
      <c r="O15" s="48">
        <f t="shared" si="5"/>
        <v>10</v>
      </c>
      <c r="P15" s="48">
        <f t="shared" si="5"/>
        <v>9</v>
      </c>
      <c r="Q15" s="48">
        <f t="shared" si="5"/>
        <v>10</v>
      </c>
      <c r="R15" s="48">
        <f t="shared" si="5"/>
        <v>9</v>
      </c>
      <c r="S15" s="48">
        <f t="shared" si="5"/>
        <v>9</v>
      </c>
      <c r="T15" s="48">
        <f t="shared" si="5"/>
        <v>11</v>
      </c>
      <c r="U15" s="48">
        <f t="shared" si="5"/>
        <v>12</v>
      </c>
      <c r="V15" s="48">
        <f t="shared" si="5"/>
        <v>8</v>
      </c>
      <c r="W15" s="48">
        <f t="shared" si="5"/>
        <v>6</v>
      </c>
      <c r="X15" s="48">
        <f t="shared" si="5"/>
        <v>7</v>
      </c>
      <c r="Y15" s="48">
        <f t="shared" si="5"/>
        <v>9</v>
      </c>
      <c r="Z15" s="48">
        <f t="shared" si="5"/>
        <v>8</v>
      </c>
      <c r="AA15" s="48">
        <f t="shared" si="5"/>
        <v>11</v>
      </c>
      <c r="AB15" s="48">
        <f t="shared" si="5"/>
        <v>12</v>
      </c>
      <c r="AC15" s="48">
        <f t="shared" si="5"/>
        <v>10</v>
      </c>
      <c r="AD15" s="48">
        <f t="shared" si="5"/>
        <v>10</v>
      </c>
      <c r="AE15" s="48">
        <f t="shared" si="5"/>
        <v>9</v>
      </c>
      <c r="AF15" s="48">
        <f>SUM(AF11:AF14)</f>
        <v>10</v>
      </c>
      <c r="AG15" s="48">
        <f>SUM(AG11:AG14)</f>
        <v>10</v>
      </c>
      <c r="AH15" s="48">
        <f>SUM(AH11:AH14)</f>
        <v>12</v>
      </c>
      <c r="AI15" s="49">
        <f t="shared" si="4"/>
        <v>292</v>
      </c>
    </row>
    <row r="16" spans="1:35" ht="20.1" customHeight="1">
      <c r="A16" s="47"/>
      <c r="B16" s="47"/>
      <c r="C16" s="47"/>
      <c r="D16" s="50">
        <f t="shared" si="6" ref="D16:AE16">$C$11*D11+$C$12*D12+$C$13*D13+$C$14*D14</f>
        <v>0.36799999999999999</v>
      </c>
      <c r="E16" s="50">
        <f t="shared" si="6"/>
        <v>0.7609999999999999</v>
      </c>
      <c r="F16" s="50">
        <f t="shared" si="6"/>
        <v>1.232</v>
      </c>
      <c r="G16" s="50">
        <f t="shared" si="6"/>
        <v>1.4550000000000001</v>
      </c>
      <c r="H16" s="50">
        <f t="shared" si="6"/>
        <v>1.274</v>
      </c>
      <c r="I16" s="50">
        <f t="shared" si="6"/>
        <v>1.129</v>
      </c>
      <c r="J16" s="50">
        <f t="shared" si="6"/>
        <v>1.232</v>
      </c>
      <c r="K16" s="50">
        <f t="shared" si="6"/>
        <v>1.224</v>
      </c>
      <c r="L16" s="50">
        <f t="shared" si="6"/>
        <v>0.98399999999999999</v>
      </c>
      <c r="M16" s="50">
        <f t="shared" si="6"/>
        <v>1.3180000000000001</v>
      </c>
      <c r="N16" s="50">
        <f t="shared" si="6"/>
        <v>1.3519999999999999</v>
      </c>
      <c r="O16" s="50">
        <f t="shared" si="6"/>
        <v>1.224</v>
      </c>
      <c r="P16" s="50">
        <f t="shared" si="6"/>
        <v>1.087</v>
      </c>
      <c r="Q16" s="50">
        <f>$C$11*Q11+$C$12*Q12+$C$13*Q13+$C$14*Q14</f>
        <v>1.232</v>
      </c>
      <c r="R16" s="50">
        <f t="shared" si="6"/>
        <v>1.1039999999999999</v>
      </c>
      <c r="S16" s="50">
        <f t="shared" si="6"/>
        <v>1.087</v>
      </c>
      <c r="T16" s="50">
        <f t="shared" si="6"/>
        <v>1.335</v>
      </c>
      <c r="U16" s="50">
        <f>$C$11*U11+$C$12*U12+$C$13*U13+$C$14*U14</f>
        <v>1.4550000000000001</v>
      </c>
      <c r="V16" s="50">
        <f t="shared" si="6"/>
        <v>0.95900000000000007</v>
      </c>
      <c r="W16" s="50">
        <f t="shared" si="6"/>
        <v>0.77800000000000002</v>
      </c>
      <c r="X16" s="50">
        <f t="shared" si="6"/>
        <v>0.85599999999999998</v>
      </c>
      <c r="Y16" s="50">
        <f t="shared" si="6"/>
        <v>1.087</v>
      </c>
      <c r="Z16" s="50">
        <f t="shared" si="6"/>
        <v>0.96699999999999986</v>
      </c>
      <c r="AA16" s="50">
        <f t="shared" si="6"/>
        <v>1.335</v>
      </c>
      <c r="AB16" s="50">
        <f t="shared" si="6"/>
        <v>1.4550000000000001</v>
      </c>
      <c r="AC16" s="50">
        <f t="shared" si="6"/>
        <v>1.2909999999999999</v>
      </c>
      <c r="AD16" s="50">
        <f t="shared" si="6"/>
        <v>1.2909999999999999</v>
      </c>
      <c r="AE16" s="50">
        <f t="shared" si="6"/>
        <v>1.1459999999999999</v>
      </c>
      <c r="AF16" s="50">
        <f>$C$11*AF11+$C$12*AF12+$C$13*AF13+$C$14*AF14</f>
        <v>1.224</v>
      </c>
      <c r="AG16" s="50">
        <f>$C$11*AG11+$C$12*AG12+$C$13*AG13+$C$14*AG14</f>
        <v>1.173</v>
      </c>
      <c r="AH16" s="50">
        <f>$C$11*AH11+$C$12*AH12+$C$13*AH13+$C$14*AH14</f>
        <v>1.4379999999999999</v>
      </c>
      <c r="AI16" s="50">
        <f t="shared" si="4"/>
        <v>35.853000000000002</v>
      </c>
    </row>
    <row r="17" spans="1:35" ht="20.1" customHeight="1">
      <c r="A17" s="40" t="s">
        <v>148</v>
      </c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2"/>
    </row>
    <row r="18" spans="1:35" ht="20.1" customHeight="1">
      <c r="A18" s="43">
        <v>1</v>
      </c>
      <c r="B18" s="44" t="s">
        <v>147</v>
      </c>
      <c r="C18" s="45">
        <v>0.17</v>
      </c>
      <c r="D18" s="46">
        <v>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6">
        <v>0</v>
      </c>
      <c r="O18" s="46">
        <v>0</v>
      </c>
      <c r="P18" s="46">
        <v>0</v>
      </c>
      <c r="Q18" s="46">
        <v>0</v>
      </c>
      <c r="R18" s="46">
        <v>0</v>
      </c>
      <c r="S18" s="46">
        <v>0</v>
      </c>
      <c r="T18" s="46">
        <v>0</v>
      </c>
      <c r="U18" s="46">
        <v>0</v>
      </c>
      <c r="V18" s="46">
        <v>0</v>
      </c>
      <c r="W18" s="46">
        <v>0</v>
      </c>
      <c r="X18" s="46">
        <v>0</v>
      </c>
      <c r="Y18" s="46">
        <v>0</v>
      </c>
      <c r="Z18" s="46">
        <v>0</v>
      </c>
      <c r="AA18" s="46">
        <v>0</v>
      </c>
      <c r="AB18" s="46">
        <v>0</v>
      </c>
      <c r="AC18" s="46">
        <v>0</v>
      </c>
      <c r="AD18" s="46">
        <v>0</v>
      </c>
      <c r="AE18" s="46">
        <v>0</v>
      </c>
      <c r="AF18" s="46">
        <v>0</v>
      </c>
      <c r="AG18" s="46">
        <v>0</v>
      </c>
      <c r="AH18" s="46">
        <v>0</v>
      </c>
      <c r="AI18" s="51">
        <f t="shared" si="7" ref="AI18:AI23">SUM(D18:AH18)</f>
        <v>0</v>
      </c>
    </row>
    <row r="19" spans="1:35" ht="20.1" customHeight="1">
      <c r="A19" s="43">
        <v>2</v>
      </c>
      <c r="B19" s="44" t="s">
        <v>144</v>
      </c>
      <c r="C19" s="47">
        <v>0.14499999999999999</v>
      </c>
      <c r="D19" s="46">
        <v>2</v>
      </c>
      <c r="E19" s="46">
        <v>1</v>
      </c>
      <c r="F19" s="46">
        <v>0</v>
      </c>
      <c r="G19" s="46">
        <v>0</v>
      </c>
      <c r="H19" s="46">
        <v>1</v>
      </c>
      <c r="I19" s="46">
        <v>1</v>
      </c>
      <c r="J19" s="46">
        <v>2</v>
      </c>
      <c r="K19" s="46">
        <v>2</v>
      </c>
      <c r="L19" s="46">
        <v>0</v>
      </c>
      <c r="M19" s="234">
        <v>1</v>
      </c>
      <c r="N19" s="46">
        <v>0</v>
      </c>
      <c r="O19" s="46">
        <v>1</v>
      </c>
      <c r="P19" s="46">
        <v>1</v>
      </c>
      <c r="Q19" s="46">
        <v>2</v>
      </c>
      <c r="R19" s="46">
        <v>2</v>
      </c>
      <c r="S19" s="46">
        <v>0.5</v>
      </c>
      <c r="T19" s="46">
        <v>0</v>
      </c>
      <c r="U19" s="46">
        <v>0</v>
      </c>
      <c r="V19" s="46">
        <v>1</v>
      </c>
      <c r="W19" s="46">
        <v>1</v>
      </c>
      <c r="X19" s="46">
        <v>2</v>
      </c>
      <c r="Y19" s="46">
        <v>2</v>
      </c>
      <c r="Z19" s="46">
        <v>0</v>
      </c>
      <c r="AA19" s="46">
        <v>0</v>
      </c>
      <c r="AB19" s="46">
        <v>0</v>
      </c>
      <c r="AC19" s="46">
        <v>1</v>
      </c>
      <c r="AD19" s="46">
        <v>1</v>
      </c>
      <c r="AE19" s="46">
        <v>2</v>
      </c>
      <c r="AF19" s="46">
        <v>2</v>
      </c>
      <c r="AG19" s="46">
        <v>0</v>
      </c>
      <c r="AH19" s="46">
        <v>1</v>
      </c>
      <c r="AI19" s="51">
        <f t="shared" si="7"/>
        <v>29.5</v>
      </c>
    </row>
    <row r="20" spans="1:35" ht="20.1" customHeight="1">
      <c r="A20" s="43">
        <v>3</v>
      </c>
      <c r="B20" s="44" t="s">
        <v>145</v>
      </c>
      <c r="C20" s="45">
        <v>0.12</v>
      </c>
      <c r="D20" s="46">
        <v>1</v>
      </c>
      <c r="E20" s="46">
        <v>4</v>
      </c>
      <c r="F20" s="46">
        <v>4</v>
      </c>
      <c r="G20" s="46">
        <v>4</v>
      </c>
      <c r="H20" s="46">
        <v>4</v>
      </c>
      <c r="I20" s="46">
        <v>3</v>
      </c>
      <c r="J20" s="46">
        <v>3</v>
      </c>
      <c r="K20" s="46">
        <v>3</v>
      </c>
      <c r="L20" s="46">
        <v>4</v>
      </c>
      <c r="M20" s="234">
        <v>4</v>
      </c>
      <c r="N20" s="46">
        <v>4</v>
      </c>
      <c r="O20" s="46">
        <v>3</v>
      </c>
      <c r="P20" s="46">
        <v>3</v>
      </c>
      <c r="Q20" s="46">
        <v>3</v>
      </c>
      <c r="R20" s="46">
        <v>4</v>
      </c>
      <c r="S20" s="46">
        <v>3</v>
      </c>
      <c r="T20" s="46">
        <v>5</v>
      </c>
      <c r="U20" s="46">
        <v>4</v>
      </c>
      <c r="V20" s="46">
        <v>3</v>
      </c>
      <c r="W20" s="46">
        <v>2</v>
      </c>
      <c r="X20" s="46">
        <v>3</v>
      </c>
      <c r="Y20" s="46">
        <v>4</v>
      </c>
      <c r="Z20" s="46">
        <v>4</v>
      </c>
      <c r="AA20" s="46">
        <v>5</v>
      </c>
      <c r="AB20" s="46">
        <v>4</v>
      </c>
      <c r="AC20" s="46">
        <v>4</v>
      </c>
      <c r="AD20" s="46">
        <v>3</v>
      </c>
      <c r="AE20" s="46">
        <v>4</v>
      </c>
      <c r="AF20" s="46">
        <v>4</v>
      </c>
      <c r="AG20" s="46">
        <v>4</v>
      </c>
      <c r="AH20" s="46">
        <v>4</v>
      </c>
      <c r="AI20" s="51">
        <f t="shared" si="7"/>
        <v>111</v>
      </c>
    </row>
    <row r="21" spans="1:35" ht="20.1" customHeight="1">
      <c r="A21" s="43">
        <v>3</v>
      </c>
      <c r="B21" s="44" t="s">
        <v>146</v>
      </c>
      <c r="C21" s="47">
        <v>0.10299999999999999</v>
      </c>
      <c r="D21" s="46">
        <v>4</v>
      </c>
      <c r="E21" s="46">
        <v>2</v>
      </c>
      <c r="F21" s="46">
        <v>1</v>
      </c>
      <c r="G21" s="46">
        <v>3</v>
      </c>
      <c r="H21" s="46">
        <v>3</v>
      </c>
      <c r="I21" s="46">
        <v>1</v>
      </c>
      <c r="J21" s="46">
        <v>4</v>
      </c>
      <c r="K21" s="46">
        <v>5</v>
      </c>
      <c r="L21" s="46">
        <v>2</v>
      </c>
      <c r="M21" s="46">
        <v>2</v>
      </c>
      <c r="N21" s="46">
        <v>2</v>
      </c>
      <c r="O21" s="46">
        <v>3</v>
      </c>
      <c r="P21" s="46">
        <v>2</v>
      </c>
      <c r="Q21" s="46">
        <v>3</v>
      </c>
      <c r="R21" s="46">
        <v>3</v>
      </c>
      <c r="S21" s="46">
        <v>3</v>
      </c>
      <c r="T21" s="46">
        <v>2</v>
      </c>
      <c r="U21" s="46">
        <v>3</v>
      </c>
      <c r="V21" s="234">
        <v>3</v>
      </c>
      <c r="W21" s="46">
        <v>4</v>
      </c>
      <c r="X21" s="46">
        <v>5</v>
      </c>
      <c r="Y21" s="46">
        <v>4</v>
      </c>
      <c r="Z21" s="46">
        <v>3</v>
      </c>
      <c r="AA21" s="46">
        <v>2</v>
      </c>
      <c r="AB21" s="46">
        <v>3</v>
      </c>
      <c r="AC21" s="46">
        <v>2</v>
      </c>
      <c r="AD21" s="46">
        <v>4</v>
      </c>
      <c r="AE21" s="46">
        <v>4</v>
      </c>
      <c r="AF21" s="46">
        <v>4</v>
      </c>
      <c r="AG21" s="46">
        <v>3</v>
      </c>
      <c r="AH21" s="46">
        <v>3</v>
      </c>
      <c r="AI21" s="51">
        <f t="shared" si="7"/>
        <v>92</v>
      </c>
    </row>
    <row r="22" spans="1:35" ht="20.1" customHeight="1">
      <c r="A22" s="47" t="s">
        <v>132</v>
      </c>
      <c r="B22" s="47"/>
      <c r="C22" s="47"/>
      <c r="D22" s="48">
        <f>SUM(D18:D21)</f>
        <v>7</v>
      </c>
      <c r="E22" s="48">
        <f t="shared" si="8" ref="E22:AE22">SUM(E18:E21)</f>
        <v>7</v>
      </c>
      <c r="F22" s="48">
        <f t="shared" si="8"/>
        <v>5</v>
      </c>
      <c r="G22" s="48">
        <f t="shared" si="8"/>
        <v>7</v>
      </c>
      <c r="H22" s="48">
        <f t="shared" si="8"/>
        <v>8</v>
      </c>
      <c r="I22" s="48">
        <f t="shared" si="8"/>
        <v>5</v>
      </c>
      <c r="J22" s="48">
        <f t="shared" si="8"/>
        <v>9</v>
      </c>
      <c r="K22" s="48">
        <f t="shared" si="8"/>
        <v>10</v>
      </c>
      <c r="L22" s="48">
        <f t="shared" si="8"/>
        <v>6</v>
      </c>
      <c r="M22" s="48">
        <f t="shared" si="8"/>
        <v>7</v>
      </c>
      <c r="N22" s="48">
        <f t="shared" si="8"/>
        <v>6</v>
      </c>
      <c r="O22" s="48">
        <f t="shared" si="8"/>
        <v>7</v>
      </c>
      <c r="P22" s="48">
        <f t="shared" si="8"/>
        <v>6</v>
      </c>
      <c r="Q22" s="48">
        <f t="shared" si="8"/>
        <v>8</v>
      </c>
      <c r="R22" s="48">
        <f t="shared" si="8"/>
        <v>9</v>
      </c>
      <c r="S22" s="48">
        <f t="shared" si="8"/>
        <v>6.5</v>
      </c>
      <c r="T22" s="48">
        <f t="shared" si="8"/>
        <v>7</v>
      </c>
      <c r="U22" s="48">
        <f t="shared" si="8"/>
        <v>7</v>
      </c>
      <c r="V22" s="48">
        <f t="shared" si="8"/>
        <v>7</v>
      </c>
      <c r="W22" s="48">
        <f t="shared" si="8"/>
        <v>7</v>
      </c>
      <c r="X22" s="48">
        <f t="shared" si="8"/>
        <v>10</v>
      </c>
      <c r="Y22" s="48">
        <f t="shared" si="8"/>
        <v>10</v>
      </c>
      <c r="Z22" s="48">
        <f t="shared" si="8"/>
        <v>7</v>
      </c>
      <c r="AA22" s="48">
        <f t="shared" si="8"/>
        <v>7</v>
      </c>
      <c r="AB22" s="48">
        <f t="shared" si="8"/>
        <v>7</v>
      </c>
      <c r="AC22" s="48">
        <f t="shared" si="8"/>
        <v>7</v>
      </c>
      <c r="AD22" s="48">
        <f t="shared" si="8"/>
        <v>8</v>
      </c>
      <c r="AE22" s="48">
        <f t="shared" si="8"/>
        <v>10</v>
      </c>
      <c r="AF22" s="48">
        <f>SUM(AF18:AF21)</f>
        <v>10</v>
      </c>
      <c r="AG22" s="48">
        <f>SUM(AG18:AG21)</f>
        <v>7</v>
      </c>
      <c r="AH22" s="48">
        <f>SUM(AH18:AH21)</f>
        <v>8</v>
      </c>
      <c r="AI22" s="49">
        <f t="shared" si="7"/>
        <v>232.5</v>
      </c>
    </row>
    <row r="23" spans="1:35" ht="20.1" customHeight="1">
      <c r="A23" s="47"/>
      <c r="B23" s="47"/>
      <c r="C23" s="47"/>
      <c r="D23" s="50">
        <f>$C$18*D18+$C$19*D19+$C$20*D20+$C$21*D21</f>
        <v>0.82199999999999995</v>
      </c>
      <c r="E23" s="50">
        <f t="shared" si="9" ref="E23:AE23">$C$18*E18+$C$19*E19+$C$20*E20+$C$21*E21</f>
        <v>0.83099999999999996</v>
      </c>
      <c r="F23" s="48">
        <f t="shared" si="9"/>
        <v>0.58299999999999996</v>
      </c>
      <c r="G23" s="50">
        <f t="shared" si="9"/>
        <v>0.78899999999999992</v>
      </c>
      <c r="H23" s="50">
        <f t="shared" si="9"/>
        <v>0.93399999999999994</v>
      </c>
      <c r="I23" s="50">
        <f t="shared" si="9"/>
        <v>0.60799999999999998</v>
      </c>
      <c r="J23" s="50">
        <f t="shared" si="9"/>
        <v>1.0619999999999998</v>
      </c>
      <c r="K23" s="50">
        <f t="shared" si="9"/>
        <v>1.165</v>
      </c>
      <c r="L23" s="50">
        <f>$C$18*L18+$C$19*L19+$C$20*L20+$C$21*L21</f>
        <v>0.68599999999999994</v>
      </c>
      <c r="M23" s="48">
        <f t="shared" si="9"/>
        <v>0.83099999999999996</v>
      </c>
      <c r="N23" s="50">
        <f t="shared" si="9"/>
        <v>0.68599999999999994</v>
      </c>
      <c r="O23" s="50">
        <f t="shared" si="9"/>
        <v>0.81400000000000006</v>
      </c>
      <c r="P23" s="50">
        <f t="shared" si="9"/>
        <v>0.71099999999999997</v>
      </c>
      <c r="Q23" s="50">
        <f>$C$18*Q18+$C$19*Q19+$C$20*Q20+$C$21*Q21</f>
        <v>0.95899999999999985</v>
      </c>
      <c r="R23" s="50">
        <f t="shared" si="9"/>
        <v>1.079</v>
      </c>
      <c r="S23" s="50">
        <f t="shared" si="9"/>
        <v>0.74150000000000005</v>
      </c>
      <c r="T23" s="50">
        <f t="shared" si="9"/>
        <v>0.80599999999999994</v>
      </c>
      <c r="U23" s="50">
        <f t="shared" si="9"/>
        <v>0.78899999999999992</v>
      </c>
      <c r="V23" s="50">
        <f t="shared" si="9"/>
        <v>0.81400000000000006</v>
      </c>
      <c r="W23" s="50">
        <f t="shared" si="9"/>
        <v>0.79699999999999993</v>
      </c>
      <c r="X23" s="50">
        <f t="shared" si="9"/>
        <v>1.165</v>
      </c>
      <c r="Y23" s="50">
        <f t="shared" si="9"/>
        <v>1.1819999999999999</v>
      </c>
      <c r="Z23" s="50">
        <f t="shared" si="9"/>
        <v>0.78899999999999992</v>
      </c>
      <c r="AA23" s="50">
        <f t="shared" si="9"/>
        <v>0.80599999999999994</v>
      </c>
      <c r="AB23" s="50">
        <f t="shared" si="9"/>
        <v>0.78899999999999992</v>
      </c>
      <c r="AC23" s="50">
        <f t="shared" si="9"/>
        <v>0.83099999999999996</v>
      </c>
      <c r="AD23" s="50">
        <f t="shared" si="9"/>
        <v>0.91700000000000004</v>
      </c>
      <c r="AE23" s="50">
        <f t="shared" si="9"/>
        <v>1.1819999999999999</v>
      </c>
      <c r="AF23" s="50">
        <f>$C$18*AF18+$C$19*AF19+$C$20*AF20+$C$21*AF21</f>
        <v>1.1819999999999999</v>
      </c>
      <c r="AG23" s="50">
        <f>$C$18*AG18+$C$19*AG19+$C$20*AG20+$C$21*AG21</f>
        <v>0.78899999999999992</v>
      </c>
      <c r="AH23" s="50">
        <f>$C$18*AH18+$C$19*AH19+$C$20*AH20+$C$21*AH21</f>
        <v>0.93399999999999994</v>
      </c>
      <c r="AI23" s="50">
        <f t="shared" si="7"/>
        <v>27.073500000000003</v>
      </c>
    </row>
    <row r="24" spans="1:35" ht="20.1" customHeight="1">
      <c r="A24" s="40" t="s">
        <v>152</v>
      </c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2"/>
    </row>
    <row r="25" spans="1:35" ht="20.1" customHeight="1">
      <c r="A25" s="43">
        <v>1</v>
      </c>
      <c r="B25" s="52" t="s">
        <v>406</v>
      </c>
      <c r="C25" s="47">
        <v>0.060999999999999999</v>
      </c>
      <c r="D25" s="46">
        <v>0</v>
      </c>
      <c r="E25" s="46">
        <v>0</v>
      </c>
      <c r="F25" s="46">
        <v>0</v>
      </c>
      <c r="G25" s="46">
        <v>1</v>
      </c>
      <c r="H25" s="46">
        <v>0</v>
      </c>
      <c r="I25" s="46">
        <v>1</v>
      </c>
      <c r="J25" s="46">
        <v>1</v>
      </c>
      <c r="K25" s="46">
        <v>1</v>
      </c>
      <c r="L25" s="46">
        <v>1</v>
      </c>
      <c r="M25" s="46">
        <v>1</v>
      </c>
      <c r="N25" s="46">
        <v>0</v>
      </c>
      <c r="O25" s="46">
        <v>0</v>
      </c>
      <c r="P25" s="46">
        <v>1</v>
      </c>
      <c r="Q25" s="46">
        <v>1</v>
      </c>
      <c r="R25" s="46">
        <v>1</v>
      </c>
      <c r="S25" s="46">
        <v>1</v>
      </c>
      <c r="T25" s="46">
        <v>1</v>
      </c>
      <c r="U25" s="46">
        <v>0</v>
      </c>
      <c r="V25" s="46">
        <v>0</v>
      </c>
      <c r="W25" s="46">
        <v>0</v>
      </c>
      <c r="X25" s="46">
        <v>0</v>
      </c>
      <c r="Y25" s="46">
        <v>0</v>
      </c>
      <c r="Z25" s="46">
        <v>0</v>
      </c>
      <c r="AA25" s="46">
        <v>1</v>
      </c>
      <c r="AB25" s="46">
        <v>1</v>
      </c>
      <c r="AC25" s="46">
        <v>0</v>
      </c>
      <c r="AD25" s="46">
        <v>1</v>
      </c>
      <c r="AE25" s="46">
        <v>1</v>
      </c>
      <c r="AF25" s="46">
        <v>1</v>
      </c>
      <c r="AG25" s="46">
        <v>2</v>
      </c>
      <c r="AH25" s="46">
        <v>2</v>
      </c>
      <c r="AI25" s="51">
        <f t="shared" si="10" ref="AI25:AI30">SUM(D25:AH25)</f>
        <v>20</v>
      </c>
    </row>
    <row r="26" spans="1:35" ht="20.1" customHeight="1">
      <c r="A26" s="43">
        <v>2</v>
      </c>
      <c r="B26" s="44" t="s">
        <v>144</v>
      </c>
      <c r="C26" s="47">
        <v>0.051999999999999998</v>
      </c>
      <c r="D26" s="46">
        <v>0</v>
      </c>
      <c r="E26" s="46">
        <v>0</v>
      </c>
      <c r="F26" s="46">
        <v>0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0</v>
      </c>
      <c r="W26" s="46">
        <v>0</v>
      </c>
      <c r="X26" s="46">
        <v>0</v>
      </c>
      <c r="Y26" s="46">
        <v>0</v>
      </c>
      <c r="Z26" s="46">
        <v>0</v>
      </c>
      <c r="AA26" s="46">
        <v>0</v>
      </c>
      <c r="AB26" s="46">
        <v>0</v>
      </c>
      <c r="AC26" s="46">
        <v>0</v>
      </c>
      <c r="AD26" s="46">
        <v>0</v>
      </c>
      <c r="AE26" s="46">
        <v>0</v>
      </c>
      <c r="AF26" s="46">
        <v>0</v>
      </c>
      <c r="AG26" s="46">
        <v>0</v>
      </c>
      <c r="AH26" s="46">
        <v>0</v>
      </c>
      <c r="AI26" s="51">
        <f t="shared" si="10"/>
        <v>0</v>
      </c>
    </row>
    <row r="27" spans="1:35" ht="20.1" customHeight="1">
      <c r="A27" s="43">
        <v>3</v>
      </c>
      <c r="B27" s="44" t="s">
        <v>145</v>
      </c>
      <c r="C27" s="47">
        <v>0.042999999999999997</v>
      </c>
      <c r="D27" s="46">
        <v>0</v>
      </c>
      <c r="E27" s="46">
        <v>0</v>
      </c>
      <c r="F27" s="46">
        <v>2</v>
      </c>
      <c r="G27" s="46">
        <v>3</v>
      </c>
      <c r="H27" s="46">
        <v>0</v>
      </c>
      <c r="I27" s="46">
        <v>3</v>
      </c>
      <c r="J27" s="46">
        <v>3</v>
      </c>
      <c r="K27" s="46">
        <v>3</v>
      </c>
      <c r="L27" s="46">
        <v>3</v>
      </c>
      <c r="M27" s="46">
        <v>2</v>
      </c>
      <c r="N27" s="46">
        <v>1</v>
      </c>
      <c r="O27" s="46">
        <v>0</v>
      </c>
      <c r="P27" s="234">
        <v>1</v>
      </c>
      <c r="Q27" s="46">
        <v>2</v>
      </c>
      <c r="R27" s="46">
        <v>4</v>
      </c>
      <c r="S27" s="46">
        <v>3</v>
      </c>
      <c r="T27" s="234">
        <v>3</v>
      </c>
      <c r="U27" s="46">
        <v>0</v>
      </c>
      <c r="V27" s="46">
        <v>0</v>
      </c>
      <c r="W27" s="46">
        <v>0</v>
      </c>
      <c r="X27" s="46">
        <v>3</v>
      </c>
      <c r="Y27" s="46">
        <v>2</v>
      </c>
      <c r="Z27" s="46">
        <v>2</v>
      </c>
      <c r="AA27" s="46">
        <v>3</v>
      </c>
      <c r="AB27" s="46">
        <v>3</v>
      </c>
      <c r="AC27" s="46">
        <v>0</v>
      </c>
      <c r="AD27" s="46">
        <v>3</v>
      </c>
      <c r="AE27" s="46">
        <v>3</v>
      </c>
      <c r="AF27" s="46">
        <v>3</v>
      </c>
      <c r="AG27" s="46">
        <v>3</v>
      </c>
      <c r="AH27" s="46">
        <v>3</v>
      </c>
      <c r="AI27" s="51">
        <f t="shared" si="10"/>
        <v>61</v>
      </c>
    </row>
    <row r="28" spans="1:35" ht="20.1" customHeight="1">
      <c r="A28" s="43">
        <v>4</v>
      </c>
      <c r="B28" s="44" t="s">
        <v>146</v>
      </c>
      <c r="C28" s="47">
        <v>0.036999999999999998</v>
      </c>
      <c r="D28" s="46">
        <v>0</v>
      </c>
      <c r="E28" s="46">
        <v>0</v>
      </c>
      <c r="F28" s="46">
        <v>0</v>
      </c>
      <c r="G28" s="46">
        <v>1</v>
      </c>
      <c r="H28" s="46">
        <v>0</v>
      </c>
      <c r="I28" s="46">
        <v>2</v>
      </c>
      <c r="J28" s="46">
        <v>1</v>
      </c>
      <c r="K28" s="46">
        <v>1</v>
      </c>
      <c r="L28" s="46">
        <v>2</v>
      </c>
      <c r="M28" s="46">
        <v>2</v>
      </c>
      <c r="N28" s="46">
        <v>2</v>
      </c>
      <c r="O28" s="46">
        <v>0</v>
      </c>
      <c r="P28" s="46">
        <v>3</v>
      </c>
      <c r="Q28" s="46">
        <v>2</v>
      </c>
      <c r="R28" s="46">
        <v>1</v>
      </c>
      <c r="S28" s="46">
        <v>2</v>
      </c>
      <c r="T28" s="46">
        <v>0</v>
      </c>
      <c r="U28" s="234">
        <v>0</v>
      </c>
      <c r="V28" s="46">
        <v>0</v>
      </c>
      <c r="W28" s="46">
        <v>0</v>
      </c>
      <c r="X28" s="46">
        <v>2</v>
      </c>
      <c r="Y28" s="46">
        <v>1</v>
      </c>
      <c r="Z28" s="46">
        <v>1</v>
      </c>
      <c r="AA28" s="46">
        <v>1</v>
      </c>
      <c r="AB28" s="46">
        <v>3</v>
      </c>
      <c r="AC28" s="46">
        <v>0</v>
      </c>
      <c r="AD28" s="46">
        <v>2</v>
      </c>
      <c r="AE28" s="46">
        <v>4</v>
      </c>
      <c r="AF28" s="46">
        <v>1</v>
      </c>
      <c r="AG28" s="46">
        <v>2</v>
      </c>
      <c r="AH28" s="46">
        <v>1</v>
      </c>
      <c r="AI28" s="51">
        <f t="shared" si="10"/>
        <v>37</v>
      </c>
    </row>
    <row r="29" spans="1:35" ht="20.1" customHeight="1">
      <c r="A29" s="47" t="s">
        <v>132</v>
      </c>
      <c r="B29" s="47"/>
      <c r="C29" s="47"/>
      <c r="D29" s="48">
        <f>SUM(D25:D28)</f>
        <v>0</v>
      </c>
      <c r="E29" s="48">
        <f t="shared" si="11" ref="E29:AE29">SUM(E25:E28)</f>
        <v>0</v>
      </c>
      <c r="F29" s="48">
        <f t="shared" si="11"/>
        <v>2</v>
      </c>
      <c r="G29" s="48">
        <f t="shared" si="11"/>
        <v>5</v>
      </c>
      <c r="H29" s="48">
        <f t="shared" si="11"/>
        <v>0</v>
      </c>
      <c r="I29" s="48">
        <f t="shared" si="11"/>
        <v>6</v>
      </c>
      <c r="J29" s="48">
        <f t="shared" si="11"/>
        <v>5</v>
      </c>
      <c r="K29" s="48">
        <f t="shared" si="11"/>
        <v>5</v>
      </c>
      <c r="L29" s="48">
        <f t="shared" si="11"/>
        <v>6</v>
      </c>
      <c r="M29" s="48">
        <f t="shared" si="11"/>
        <v>5</v>
      </c>
      <c r="N29" s="48">
        <f t="shared" si="11"/>
        <v>3</v>
      </c>
      <c r="O29" s="48">
        <f t="shared" si="11"/>
        <v>0</v>
      </c>
      <c r="P29" s="48">
        <f t="shared" si="11"/>
        <v>5</v>
      </c>
      <c r="Q29" s="48">
        <f t="shared" si="11"/>
        <v>5</v>
      </c>
      <c r="R29" s="48">
        <f t="shared" si="11"/>
        <v>6</v>
      </c>
      <c r="S29" s="48">
        <f t="shared" si="11"/>
        <v>6</v>
      </c>
      <c r="T29" s="48">
        <f t="shared" si="11"/>
        <v>4</v>
      </c>
      <c r="U29" s="48">
        <f t="shared" si="11"/>
        <v>0</v>
      </c>
      <c r="V29" s="48">
        <f t="shared" si="11"/>
        <v>0</v>
      </c>
      <c r="W29" s="48">
        <f t="shared" si="11"/>
        <v>0</v>
      </c>
      <c r="X29" s="48">
        <f t="shared" si="11"/>
        <v>5</v>
      </c>
      <c r="Y29" s="48">
        <f t="shared" si="11"/>
        <v>3</v>
      </c>
      <c r="Z29" s="48">
        <f t="shared" si="11"/>
        <v>3</v>
      </c>
      <c r="AA29" s="48">
        <f t="shared" si="11"/>
        <v>5</v>
      </c>
      <c r="AB29" s="48">
        <f t="shared" si="11"/>
        <v>7</v>
      </c>
      <c r="AC29" s="48">
        <f t="shared" si="11"/>
        <v>0</v>
      </c>
      <c r="AD29" s="48">
        <f t="shared" si="11"/>
        <v>6</v>
      </c>
      <c r="AE29" s="48">
        <f t="shared" si="11"/>
        <v>8</v>
      </c>
      <c r="AF29" s="48">
        <f>SUM(AF25:AF28)</f>
        <v>5</v>
      </c>
      <c r="AG29" s="48">
        <f>SUM(AG25:AG28)</f>
        <v>7</v>
      </c>
      <c r="AH29" s="48">
        <f>SUM(AH25:AH28)</f>
        <v>6</v>
      </c>
      <c r="AI29" s="49">
        <f t="shared" si="10"/>
        <v>118</v>
      </c>
    </row>
    <row r="30" spans="1:35" ht="20.1" customHeight="1">
      <c r="A30" s="47"/>
      <c r="B30" s="47"/>
      <c r="C30" s="47"/>
      <c r="D30" s="50">
        <f t="shared" si="12" ref="D30:AE30">$C$25*D25+$C$26*D26+$C$27*D27+$C$28*D28</f>
        <v>0</v>
      </c>
      <c r="E30" s="50">
        <f t="shared" si="12"/>
        <v>0</v>
      </c>
      <c r="F30" s="50">
        <f t="shared" si="12"/>
        <v>0.085999999999999993</v>
      </c>
      <c r="G30" s="50">
        <f t="shared" si="12"/>
        <v>0.22700000000000001</v>
      </c>
      <c r="H30" s="50">
        <f t="shared" si="12"/>
        <v>0</v>
      </c>
      <c r="I30" s="50">
        <f t="shared" si="12"/>
        <v>0.26400000000000001</v>
      </c>
      <c r="J30" s="50">
        <f t="shared" si="12"/>
        <v>0.22700000000000001</v>
      </c>
      <c r="K30" s="50">
        <f t="shared" si="12"/>
        <v>0.22700000000000001</v>
      </c>
      <c r="L30" s="50">
        <f t="shared" si="12"/>
        <v>0.26400000000000001</v>
      </c>
      <c r="M30" s="50">
        <f t="shared" si="12"/>
        <v>0.22099999999999997</v>
      </c>
      <c r="N30" s="50">
        <f t="shared" si="12"/>
        <v>0.11699999999999999</v>
      </c>
      <c r="O30" s="50">
        <f t="shared" si="12"/>
        <v>0</v>
      </c>
      <c r="P30" s="50">
        <f>$C$25*P25+$C$26*P26+$C$27*P27+$C$28*P28</f>
        <v>0.21499999999999997</v>
      </c>
      <c r="Q30" s="50">
        <f t="shared" si="12"/>
        <v>0.22099999999999997</v>
      </c>
      <c r="R30" s="50">
        <f t="shared" si="12"/>
        <v>0.26999999999999996</v>
      </c>
      <c r="S30" s="50">
        <f t="shared" si="12"/>
        <v>0.26400000000000001</v>
      </c>
      <c r="T30" s="50">
        <f t="shared" si="12"/>
        <v>0.19</v>
      </c>
      <c r="U30" s="50">
        <f t="shared" si="12"/>
        <v>0</v>
      </c>
      <c r="V30" s="50">
        <f t="shared" si="12"/>
        <v>0</v>
      </c>
      <c r="W30" s="50">
        <f t="shared" si="12"/>
        <v>0</v>
      </c>
      <c r="X30" s="50">
        <f t="shared" si="12"/>
        <v>0.20300000000000001</v>
      </c>
      <c r="Y30" s="50">
        <f t="shared" si="12"/>
        <v>0.123</v>
      </c>
      <c r="Z30" s="50">
        <f t="shared" si="12"/>
        <v>0.123</v>
      </c>
      <c r="AA30" s="50">
        <f t="shared" si="12"/>
        <v>0.22700000000000001</v>
      </c>
      <c r="AB30" s="50">
        <f t="shared" si="12"/>
        <v>0.30099999999999999</v>
      </c>
      <c r="AC30" s="50">
        <f t="shared" si="12"/>
        <v>0</v>
      </c>
      <c r="AD30" s="50">
        <f t="shared" si="12"/>
        <v>0.26400000000000001</v>
      </c>
      <c r="AE30" s="50">
        <f t="shared" si="12"/>
        <v>0.33799999999999997</v>
      </c>
      <c r="AF30" s="50">
        <f>$C$25*AF25+$C$26*AF26+$C$27*AF27+$C$28*AF28</f>
        <v>0.22700000000000001</v>
      </c>
      <c r="AG30" s="50">
        <f>$C$25*AG25+$C$26*AG26+$C$27*AG27+$C$28*AG28</f>
        <v>0.32500000000000001</v>
      </c>
      <c r="AH30" s="50">
        <f>$C$25*AH25+$C$26*AH26+$C$27*AH27+$C$28*AH28</f>
        <v>0.28799999999999998</v>
      </c>
      <c r="AI30" s="50">
        <f t="shared" si="10"/>
        <v>5.2120000000000006</v>
      </c>
    </row>
    <row r="31" spans="1:35" ht="20.1" customHeight="1">
      <c r="A31" s="40" t="s">
        <v>153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2"/>
    </row>
    <row r="32" spans="1:35" ht="20.1" customHeight="1">
      <c r="A32" s="47">
        <v>1</v>
      </c>
      <c r="B32" s="44" t="s">
        <v>143</v>
      </c>
      <c r="C32" s="47">
        <v>0.188</v>
      </c>
      <c r="D32" s="43">
        <v>0</v>
      </c>
      <c r="E32" s="43">
        <v>0</v>
      </c>
      <c r="F32" s="43">
        <v>1</v>
      </c>
      <c r="G32" s="43">
        <v>1</v>
      </c>
      <c r="H32" s="43">
        <v>0</v>
      </c>
      <c r="I32" s="43">
        <v>1</v>
      </c>
      <c r="J32" s="43">
        <v>1</v>
      </c>
      <c r="K32" s="43">
        <v>1</v>
      </c>
      <c r="L32" s="43">
        <v>3</v>
      </c>
      <c r="M32" s="43">
        <v>1</v>
      </c>
      <c r="N32" s="43">
        <v>1</v>
      </c>
      <c r="O32" s="43">
        <v>0</v>
      </c>
      <c r="P32" s="43">
        <v>1</v>
      </c>
      <c r="Q32" s="43">
        <v>0</v>
      </c>
      <c r="R32" s="43">
        <v>0</v>
      </c>
      <c r="S32" s="43">
        <v>0</v>
      </c>
      <c r="T32" s="43">
        <v>1</v>
      </c>
      <c r="U32" s="43">
        <v>0</v>
      </c>
      <c r="V32" s="43">
        <v>0</v>
      </c>
      <c r="W32" s="43">
        <v>0</v>
      </c>
      <c r="X32" s="43">
        <v>4</v>
      </c>
      <c r="Y32" s="43">
        <v>2.25</v>
      </c>
      <c r="Z32" s="43">
        <v>1</v>
      </c>
      <c r="AA32" s="43">
        <v>1</v>
      </c>
      <c r="AB32" s="43">
        <v>1</v>
      </c>
      <c r="AC32" s="43">
        <v>0</v>
      </c>
      <c r="AD32" s="43">
        <v>1</v>
      </c>
      <c r="AE32" s="43">
        <v>1</v>
      </c>
      <c r="AF32" s="43">
        <v>1</v>
      </c>
      <c r="AG32" s="43">
        <v>2.25</v>
      </c>
      <c r="AH32" s="43">
        <v>1</v>
      </c>
      <c r="AI32" s="51">
        <f t="shared" si="13" ref="AI32:AI37">SUM(D32:AH32)</f>
        <v>27.5</v>
      </c>
    </row>
    <row r="33" spans="1:35" ht="20.1" customHeight="1">
      <c r="A33" s="43">
        <v>2</v>
      </c>
      <c r="B33" s="44" t="s">
        <v>421</v>
      </c>
      <c r="C33" s="45">
        <v>0.16</v>
      </c>
      <c r="D33" s="46">
        <v>0</v>
      </c>
      <c r="E33" s="46">
        <v>0</v>
      </c>
      <c r="F33" s="234">
        <v>2</v>
      </c>
      <c r="G33" s="46">
        <v>2</v>
      </c>
      <c r="H33" s="46">
        <v>0</v>
      </c>
      <c r="I33" s="46">
        <v>1</v>
      </c>
      <c r="J33" s="46">
        <v>2</v>
      </c>
      <c r="K33" s="46">
        <v>2</v>
      </c>
      <c r="L33" s="46">
        <v>2</v>
      </c>
      <c r="M33" s="46">
        <v>1</v>
      </c>
      <c r="N33" s="46">
        <v>1</v>
      </c>
      <c r="O33" s="46">
        <v>0</v>
      </c>
      <c r="P33" s="46">
        <v>1</v>
      </c>
      <c r="Q33" s="46">
        <v>2</v>
      </c>
      <c r="R33" s="46">
        <v>2</v>
      </c>
      <c r="S33" s="46">
        <v>2</v>
      </c>
      <c r="T33" s="46">
        <v>2</v>
      </c>
      <c r="U33" s="46">
        <v>0</v>
      </c>
      <c r="V33" s="46">
        <v>0</v>
      </c>
      <c r="W33" s="46">
        <v>0</v>
      </c>
      <c r="X33" s="46">
        <v>2</v>
      </c>
      <c r="Y33" s="46">
        <v>2</v>
      </c>
      <c r="Z33" s="46">
        <v>2</v>
      </c>
      <c r="AA33" s="46">
        <v>2</v>
      </c>
      <c r="AB33" s="46">
        <v>1</v>
      </c>
      <c r="AC33" s="46">
        <v>0</v>
      </c>
      <c r="AD33" s="46">
        <v>2</v>
      </c>
      <c r="AE33" s="46">
        <v>2</v>
      </c>
      <c r="AF33" s="46">
        <v>2</v>
      </c>
      <c r="AG33" s="46">
        <v>2</v>
      </c>
      <c r="AH33" s="46">
        <v>2</v>
      </c>
      <c r="AI33" s="51">
        <f t="shared" si="13"/>
        <v>41</v>
      </c>
    </row>
    <row r="34" spans="1:35" ht="20.1" customHeight="1">
      <c r="A34" s="43">
        <v>3</v>
      </c>
      <c r="B34" s="52" t="s">
        <v>420</v>
      </c>
      <c r="C34" s="47">
        <v>0.13300000000000001</v>
      </c>
      <c r="D34" s="46">
        <v>0</v>
      </c>
      <c r="E34" s="46">
        <v>0</v>
      </c>
      <c r="F34" s="46">
        <v>1</v>
      </c>
      <c r="G34" s="46">
        <v>1</v>
      </c>
      <c r="H34" s="46">
        <v>0</v>
      </c>
      <c r="I34" s="46">
        <v>1</v>
      </c>
      <c r="J34" s="46">
        <v>2</v>
      </c>
      <c r="K34" s="46">
        <v>2</v>
      </c>
      <c r="L34" s="46">
        <v>2</v>
      </c>
      <c r="M34" s="46">
        <v>2</v>
      </c>
      <c r="N34" s="46">
        <v>2</v>
      </c>
      <c r="O34" s="46">
        <v>0</v>
      </c>
      <c r="P34" s="46">
        <v>2</v>
      </c>
      <c r="Q34" s="46">
        <v>1</v>
      </c>
      <c r="R34" s="46">
        <v>1</v>
      </c>
      <c r="S34" s="46">
        <v>2</v>
      </c>
      <c r="T34" s="46">
        <v>1</v>
      </c>
      <c r="U34" s="46">
        <v>0</v>
      </c>
      <c r="V34" s="46">
        <v>0</v>
      </c>
      <c r="W34" s="46">
        <v>0</v>
      </c>
      <c r="X34" s="46">
        <v>1</v>
      </c>
      <c r="Y34" s="46">
        <v>1</v>
      </c>
      <c r="Z34" s="46">
        <v>2</v>
      </c>
      <c r="AA34" s="46">
        <v>2</v>
      </c>
      <c r="AB34" s="46">
        <v>2</v>
      </c>
      <c r="AC34" s="46">
        <v>0</v>
      </c>
      <c r="AD34" s="46">
        <v>1</v>
      </c>
      <c r="AE34" s="46">
        <v>1</v>
      </c>
      <c r="AF34" s="46">
        <v>1</v>
      </c>
      <c r="AG34" s="46">
        <v>1</v>
      </c>
      <c r="AH34" s="46">
        <v>1</v>
      </c>
      <c r="AI34" s="51">
        <f t="shared" si="13"/>
        <v>33</v>
      </c>
    </row>
    <row r="35" spans="1:35" ht="20.1" customHeight="1">
      <c r="A35" s="43">
        <v>4</v>
      </c>
      <c r="B35" s="44" t="s">
        <v>146</v>
      </c>
      <c r="C35" s="47">
        <v>0.114</v>
      </c>
      <c r="D35" s="46">
        <v>0</v>
      </c>
      <c r="E35" s="46">
        <v>0</v>
      </c>
      <c r="F35" s="46">
        <v>1</v>
      </c>
      <c r="G35" s="46">
        <v>2</v>
      </c>
      <c r="H35" s="46">
        <v>0</v>
      </c>
      <c r="I35" s="46">
        <v>2</v>
      </c>
      <c r="J35" s="46">
        <v>2</v>
      </c>
      <c r="K35" s="46">
        <v>1</v>
      </c>
      <c r="L35" s="46">
        <v>2</v>
      </c>
      <c r="M35" s="46">
        <v>1</v>
      </c>
      <c r="N35" s="46">
        <v>1</v>
      </c>
      <c r="O35" s="46">
        <v>0</v>
      </c>
      <c r="P35" s="46">
        <v>1</v>
      </c>
      <c r="Q35" s="46">
        <v>0</v>
      </c>
      <c r="R35" s="46">
        <v>0</v>
      </c>
      <c r="S35" s="46">
        <v>2</v>
      </c>
      <c r="T35" s="234">
        <v>2</v>
      </c>
      <c r="U35" s="46">
        <v>0</v>
      </c>
      <c r="V35" s="46">
        <v>0</v>
      </c>
      <c r="W35" s="46">
        <v>0</v>
      </c>
      <c r="X35" s="46">
        <v>0</v>
      </c>
      <c r="Y35" s="46">
        <v>0</v>
      </c>
      <c r="Z35" s="46">
        <v>1</v>
      </c>
      <c r="AA35" s="46">
        <v>1</v>
      </c>
      <c r="AB35" s="46">
        <v>1</v>
      </c>
      <c r="AC35" s="46">
        <v>0</v>
      </c>
      <c r="AD35" s="46">
        <v>1</v>
      </c>
      <c r="AE35" s="46">
        <v>1</v>
      </c>
      <c r="AF35" s="46">
        <v>2</v>
      </c>
      <c r="AG35" s="46">
        <v>2</v>
      </c>
      <c r="AH35" s="46">
        <v>2</v>
      </c>
      <c r="AI35" s="51">
        <f t="shared" si="13"/>
        <v>28</v>
      </c>
    </row>
    <row r="36" spans="1:35" ht="20.1" customHeight="1">
      <c r="A36" s="47" t="s">
        <v>132</v>
      </c>
      <c r="B36" s="53"/>
      <c r="C36" s="53"/>
      <c r="D36" s="48">
        <f>SUM(D32:D35)</f>
        <v>0</v>
      </c>
      <c r="E36" s="48">
        <f t="shared" si="14" ref="E36:AE36">SUM(E32:E35)</f>
        <v>0</v>
      </c>
      <c r="F36" s="48">
        <f t="shared" si="14"/>
        <v>5</v>
      </c>
      <c r="G36" s="48">
        <f t="shared" si="14"/>
        <v>6</v>
      </c>
      <c r="H36" s="48">
        <f t="shared" si="14"/>
        <v>0</v>
      </c>
      <c r="I36" s="48">
        <f t="shared" si="14"/>
        <v>5</v>
      </c>
      <c r="J36" s="48">
        <f t="shared" si="14"/>
        <v>7</v>
      </c>
      <c r="K36" s="48">
        <f t="shared" si="14"/>
        <v>6</v>
      </c>
      <c r="L36" s="48">
        <f t="shared" si="14"/>
        <v>9</v>
      </c>
      <c r="M36" s="48">
        <f t="shared" si="14"/>
        <v>5</v>
      </c>
      <c r="N36" s="48">
        <f t="shared" si="14"/>
        <v>5</v>
      </c>
      <c r="O36" s="48">
        <f t="shared" si="14"/>
        <v>0</v>
      </c>
      <c r="P36" s="48">
        <f t="shared" si="14"/>
        <v>5</v>
      </c>
      <c r="Q36" s="48">
        <f t="shared" si="14"/>
        <v>3</v>
      </c>
      <c r="R36" s="48">
        <f t="shared" si="14"/>
        <v>3</v>
      </c>
      <c r="S36" s="48">
        <f t="shared" si="14"/>
        <v>6</v>
      </c>
      <c r="T36" s="48">
        <f t="shared" si="14"/>
        <v>6</v>
      </c>
      <c r="U36" s="48">
        <f t="shared" si="14"/>
        <v>0</v>
      </c>
      <c r="V36" s="48">
        <f t="shared" si="14"/>
        <v>0</v>
      </c>
      <c r="W36" s="48">
        <f t="shared" si="14"/>
        <v>0</v>
      </c>
      <c r="X36" s="48">
        <f t="shared" si="14"/>
        <v>7</v>
      </c>
      <c r="Y36" s="48">
        <f t="shared" si="14"/>
        <v>5.25</v>
      </c>
      <c r="Z36" s="48">
        <f t="shared" si="14"/>
        <v>6</v>
      </c>
      <c r="AA36" s="48">
        <f t="shared" si="14"/>
        <v>6</v>
      </c>
      <c r="AB36" s="48">
        <f t="shared" si="14"/>
        <v>5</v>
      </c>
      <c r="AC36" s="48">
        <f t="shared" si="14"/>
        <v>0</v>
      </c>
      <c r="AD36" s="48">
        <f t="shared" si="14"/>
        <v>5</v>
      </c>
      <c r="AE36" s="48">
        <f t="shared" si="14"/>
        <v>5</v>
      </c>
      <c r="AF36" s="48">
        <f>SUM(AF32:AF35)</f>
        <v>6</v>
      </c>
      <c r="AG36" s="48">
        <f>SUM(AG32:AG35)</f>
        <v>7.25</v>
      </c>
      <c r="AH36" s="48">
        <f>SUM(AH32:AH35)</f>
        <v>6</v>
      </c>
      <c r="AI36" s="49">
        <f t="shared" si="13"/>
        <v>129.5</v>
      </c>
    </row>
    <row r="37" spans="1:35" ht="20.1" customHeight="1">
      <c r="A37" s="47"/>
      <c r="B37" s="53"/>
      <c r="C37" s="53"/>
      <c r="D37" s="50">
        <f t="shared" si="15" ref="D37:AE37">$C$32*D32+$C$33*D33+$C$34*D34+$C$35*D35</f>
        <v>0</v>
      </c>
      <c r="E37" s="50">
        <f t="shared" si="15"/>
        <v>0</v>
      </c>
      <c r="F37" s="50">
        <f t="shared" si="15"/>
        <v>0.755</v>
      </c>
      <c r="G37" s="50">
        <f t="shared" si="15"/>
        <v>0.86899999999999999</v>
      </c>
      <c r="H37" s="50">
        <f t="shared" si="15"/>
        <v>0</v>
      </c>
      <c r="I37" s="50">
        <f t="shared" si="15"/>
        <v>0.70899999999999996</v>
      </c>
      <c r="J37" s="50">
        <f t="shared" si="15"/>
        <v>1.002</v>
      </c>
      <c r="K37" s="50">
        <f t="shared" si="15"/>
        <v>0.88800000000000001</v>
      </c>
      <c r="L37" s="50">
        <f t="shared" si="15"/>
        <v>1.3780000000000001</v>
      </c>
      <c r="M37" s="50">
        <f t="shared" si="15"/>
        <v>0.72799999999999998</v>
      </c>
      <c r="N37" s="50">
        <f t="shared" si="15"/>
        <v>0.72799999999999998</v>
      </c>
      <c r="O37" s="50">
        <f t="shared" si="15"/>
        <v>0</v>
      </c>
      <c r="P37" s="50">
        <f t="shared" si="15"/>
        <v>0.72799999999999998</v>
      </c>
      <c r="Q37" s="50">
        <f t="shared" si="15"/>
        <v>0.45300000000000001</v>
      </c>
      <c r="R37" s="50">
        <f t="shared" si="15"/>
        <v>0.45300000000000001</v>
      </c>
      <c r="S37" s="50">
        <f t="shared" si="15"/>
        <v>0.81400000000000006</v>
      </c>
      <c r="T37" s="50">
        <f t="shared" si="15"/>
        <v>0.86899999999999999</v>
      </c>
      <c r="U37" s="50">
        <f t="shared" si="15"/>
        <v>0</v>
      </c>
      <c r="V37" s="50">
        <f t="shared" si="15"/>
        <v>0</v>
      </c>
      <c r="W37" s="50">
        <f t="shared" si="15"/>
        <v>0</v>
      </c>
      <c r="X37" s="50">
        <f t="shared" si="15"/>
        <v>1.2050000000000001</v>
      </c>
      <c r="Y37" s="50">
        <f t="shared" si="15"/>
        <v>0.876</v>
      </c>
      <c r="Z37" s="50">
        <f t="shared" si="15"/>
        <v>0.88800000000000001</v>
      </c>
      <c r="AA37" s="50">
        <f t="shared" si="15"/>
        <v>0.88800000000000001</v>
      </c>
      <c r="AB37" s="50">
        <f t="shared" si="15"/>
        <v>0.72799999999999998</v>
      </c>
      <c r="AC37" s="50">
        <f t="shared" si="15"/>
        <v>0</v>
      </c>
      <c r="AD37" s="50">
        <f t="shared" si="15"/>
        <v>0.755</v>
      </c>
      <c r="AE37" s="50">
        <f t="shared" si="15"/>
        <v>0.755</v>
      </c>
      <c r="AF37" s="50">
        <f>$C$32*AF32+$C$33*AF33+$C$34*AF34+$C$35*AF35</f>
        <v>0.86899999999999999</v>
      </c>
      <c r="AG37" s="50">
        <f>$C$32*AG32+$C$33*AG33+$C$34*AG34+$C$35*AG35</f>
        <v>1.1040000000000001</v>
      </c>
      <c r="AH37" s="50">
        <f>$C$32*AH32+$C$33*AH33+$C$34*AH34+$C$35*AH35</f>
        <v>0.86899999999999999</v>
      </c>
      <c r="AI37" s="50">
        <f t="shared" si="13"/>
        <v>19.310999999999996</v>
      </c>
    </row>
  </sheetData>
  <sheetProtection/>
  <mergeCells count="1">
    <mergeCell ref="A1:AI1"/>
  </mergeCells>
  <pageMargins left="0.25" right="0.25" top="0.75" bottom="0.75" header="0.3" footer="0.3"/>
  <pageSetup fitToHeight="0" orientation="landscape" paperSize="1" scale="5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ECDD6B14-37DC-47F1-9EDD-55AA46D0B9AB}">
  <sheetPr codeName="Sheet10">
    <pageSetUpPr fitToPage="1"/>
  </sheetPr>
  <dimension ref="A1:BM111"/>
  <sheetViews>
    <sheetView view="pageBreakPreview" zoomScale="39" zoomScaleNormal="50" zoomScaleSheetLayoutView="39" workbookViewId="0" topLeftCell="A1">
      <selection pane="topLeft" activeCell="Q48" sqref="Q48"/>
    </sheetView>
  </sheetViews>
  <sheetFormatPr defaultRowHeight="12.75"/>
  <cols>
    <col min="1" max="1" width="13" customWidth="1"/>
    <col min="2" max="2" width="28.4285714285714" bestFit="1" customWidth="1"/>
    <col min="3" max="3" width="48.5714285714286" bestFit="1" customWidth="1"/>
    <col min="4" max="4" width="26.1428571428571" bestFit="1" customWidth="1"/>
    <col min="5" max="5" width="25" bestFit="1" customWidth="1"/>
    <col min="6" max="6" width="31" bestFit="1" customWidth="1"/>
    <col min="7" max="7" width="22.4285714285714" customWidth="1"/>
    <col min="8" max="8" width="31.4285714285714" bestFit="1" customWidth="1"/>
    <col min="9" max="9" width="26.8571428571429" bestFit="1" customWidth="1"/>
    <col min="10" max="10" width="12.5714285714286" customWidth="1"/>
    <col min="11" max="11" width="13.4285714285714" customWidth="1"/>
    <col min="12" max="12" width="13.5714285714286" customWidth="1"/>
    <col min="13" max="13" width="12.5714285714286" customWidth="1"/>
    <col min="14" max="14" width="11.1428571428571" customWidth="1"/>
    <col min="15" max="15" width="12" customWidth="1"/>
    <col min="16" max="16" width="12.4285714285714" customWidth="1"/>
    <col min="17" max="17" width="17.4285714285714" customWidth="1"/>
    <col min="18" max="18" width="13.5714285714286" customWidth="1"/>
    <col min="19" max="19" width="19.4285714285714" customWidth="1"/>
    <col min="20" max="20" width="27.5714285714286" bestFit="1" customWidth="1"/>
    <col min="21" max="21" width="14.5714285714286" bestFit="1" customWidth="1"/>
    <col min="22" max="22" width="17.5714285714286" customWidth="1"/>
    <col min="23" max="23" width="19" customWidth="1"/>
    <col min="24" max="24" width="20.4285714285714" customWidth="1"/>
    <col min="25" max="25" width="18" customWidth="1"/>
    <col min="26" max="26" width="16.8571428571429" customWidth="1"/>
    <col min="27" max="27" width="15.5714285714286" customWidth="1"/>
    <col min="28" max="28" width="20.4285714285714" customWidth="1"/>
    <col min="29" max="29" width="23.4285714285714" customWidth="1"/>
    <col min="30" max="30" width="23.5714285714286" customWidth="1"/>
    <col min="31" max="31" width="24.5714285714286" customWidth="1"/>
    <col min="32" max="32" width="17.4285714285714" customWidth="1"/>
    <col min="33" max="33" width="22" customWidth="1"/>
    <col min="34" max="34" width="27" customWidth="1"/>
    <col min="35" max="35" width="18.8571428571429" customWidth="1"/>
    <col min="36" max="36" width="11.5714285714286" customWidth="1"/>
    <col min="37" max="37" width="14.4285714285714" customWidth="1"/>
    <col min="38" max="38" width="22.4285714285714" customWidth="1"/>
    <col min="39" max="39" width="25.8571428571429" bestFit="1" customWidth="1"/>
    <col min="40" max="40" width="25.5714285714286" bestFit="1" customWidth="1"/>
    <col min="41" max="41" width="13.1428571428571" customWidth="1"/>
  </cols>
  <sheetData>
    <row r="1" spans="1:44" ht="26.25">
      <c r="A1" s="612" t="s">
        <v>450</v>
      </c>
      <c r="B1" s="612"/>
      <c r="C1" s="612"/>
      <c r="D1" s="612"/>
      <c r="E1" s="612"/>
      <c r="F1" s="612"/>
      <c r="G1" s="612"/>
      <c r="H1" s="612"/>
      <c r="I1" s="612"/>
      <c r="J1" s="612"/>
      <c r="K1" s="612"/>
      <c r="L1" s="612"/>
      <c r="M1" s="612"/>
      <c r="N1" s="612"/>
      <c r="O1" s="612"/>
      <c r="P1" s="612"/>
      <c r="Q1" s="612"/>
      <c r="R1" s="612"/>
      <c r="S1" s="612"/>
      <c r="T1" s="612"/>
      <c r="U1" s="612"/>
      <c r="V1" s="612"/>
      <c r="W1" s="612"/>
      <c r="X1" s="612"/>
      <c r="Y1" s="612"/>
      <c r="Z1" s="612"/>
      <c r="AA1" s="612"/>
      <c r="AB1" s="612"/>
      <c r="AC1" s="612"/>
      <c r="AD1" s="612"/>
      <c r="AE1" s="612"/>
      <c r="AF1" s="612"/>
      <c r="AG1" s="612"/>
      <c r="AH1" s="612"/>
      <c r="AI1" s="612"/>
      <c r="AJ1" s="612"/>
      <c r="AK1" s="612"/>
      <c r="AL1" s="612"/>
      <c r="AM1" s="612"/>
      <c r="AN1" s="239"/>
      <c r="AO1" s="239"/>
      <c r="AP1" s="240"/>
      <c r="AQ1" s="240"/>
      <c r="AR1" s="240"/>
    </row>
    <row r="2" spans="1:44" ht="26.25">
      <c r="A2" s="612" t="s">
        <v>451</v>
      </c>
      <c r="B2" s="612"/>
      <c r="C2" s="612"/>
      <c r="D2" s="612"/>
      <c r="E2" s="612"/>
      <c r="F2" s="612"/>
      <c r="G2" s="612"/>
      <c r="H2" s="612"/>
      <c r="I2" s="612"/>
      <c r="J2" s="612"/>
      <c r="K2" s="612"/>
      <c r="L2" s="612"/>
      <c r="M2" s="612"/>
      <c r="N2" s="612"/>
      <c r="O2" s="612"/>
      <c r="P2" s="612"/>
      <c r="Q2" s="612"/>
      <c r="R2" s="612"/>
      <c r="S2" s="612"/>
      <c r="T2" s="612"/>
      <c r="U2" s="612"/>
      <c r="V2" s="612"/>
      <c r="W2" s="612"/>
      <c r="X2" s="612"/>
      <c r="Y2" s="612"/>
      <c r="Z2" s="612"/>
      <c r="AA2" s="612"/>
      <c r="AB2" s="612"/>
      <c r="AC2" s="612"/>
      <c r="AD2" s="612"/>
      <c r="AE2" s="612"/>
      <c r="AF2" s="612"/>
      <c r="AG2" s="612"/>
      <c r="AH2" s="612"/>
      <c r="AI2" s="612"/>
      <c r="AJ2" s="612"/>
      <c r="AK2" s="612"/>
      <c r="AL2" s="612"/>
      <c r="AM2" s="612"/>
      <c r="AN2" s="239"/>
      <c r="AO2" s="239"/>
      <c r="AP2" s="240"/>
      <c r="AQ2" s="240"/>
      <c r="AR2" s="240"/>
    </row>
    <row r="3" spans="1:44" ht="26.25">
      <c r="A3" s="283" t="str">
        <f>"MONTH OF: "&amp;'Working Sheet'!C7</f>
        <v>MONTH OF: OCTOBER-2025</v>
      </c>
      <c r="B3" s="283"/>
      <c r="C3" s="241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  <c r="U3" s="242"/>
      <c r="V3" s="242"/>
      <c r="W3" s="242"/>
      <c r="X3" s="242"/>
      <c r="Y3" s="242"/>
      <c r="Z3" s="242"/>
      <c r="AA3" s="242"/>
      <c r="AB3" s="242"/>
      <c r="AC3" s="242"/>
      <c r="AD3" s="242"/>
      <c r="AE3" s="242"/>
      <c r="AF3" s="242"/>
      <c r="AG3" s="242"/>
      <c r="AH3" s="242"/>
      <c r="AI3" s="242"/>
      <c r="AJ3" s="242"/>
      <c r="AK3" s="242"/>
      <c r="AL3" s="242"/>
      <c r="AM3" s="242"/>
      <c r="AN3" s="239"/>
      <c r="AO3" s="239"/>
      <c r="AP3" s="240"/>
      <c r="AQ3" s="240"/>
      <c r="AR3" s="240"/>
    </row>
    <row r="4" spans="1:44" ht="26.25">
      <c r="A4" s="242" t="s">
        <v>452</v>
      </c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  <c r="T4" s="242"/>
      <c r="U4" s="242"/>
      <c r="V4" s="242"/>
      <c r="W4" s="242"/>
      <c r="X4" s="242"/>
      <c r="Y4" s="242"/>
      <c r="Z4" s="242"/>
      <c r="AA4" s="242"/>
      <c r="AB4" s="242"/>
      <c r="AC4" s="242"/>
      <c r="AD4" s="242"/>
      <c r="AE4" s="242"/>
      <c r="AF4" s="242"/>
      <c r="AG4" s="242"/>
      <c r="AH4" s="242"/>
      <c r="AI4" s="242"/>
      <c r="AJ4" s="242"/>
      <c r="AK4" s="242"/>
      <c r="AL4" s="242"/>
      <c r="AM4" s="242"/>
      <c r="AN4" s="239"/>
      <c r="AO4" s="239"/>
      <c r="AP4" s="240"/>
      <c r="AQ4" s="240"/>
      <c r="AR4" s="240"/>
    </row>
    <row r="5" spans="1:65" ht="26.25" hidden="1">
      <c r="A5" s="243" t="s">
        <v>453</v>
      </c>
      <c r="B5" s="244"/>
      <c r="C5" s="244"/>
      <c r="D5" s="244"/>
      <c r="E5" s="244"/>
      <c r="F5" s="244"/>
      <c r="G5" s="244"/>
      <c r="H5" s="244"/>
      <c r="I5" s="244"/>
      <c r="J5" s="244"/>
      <c r="K5" s="244"/>
      <c r="L5" s="244"/>
      <c r="M5" s="244" t="s">
        <v>454</v>
      </c>
      <c r="N5" s="244"/>
      <c r="O5" s="244"/>
      <c r="P5" s="244"/>
      <c r="Q5" s="244"/>
      <c r="R5" s="244"/>
      <c r="S5" s="244"/>
      <c r="T5" s="244" t="s">
        <v>455</v>
      </c>
      <c r="U5" s="244"/>
      <c r="V5" s="244"/>
      <c r="W5" s="244"/>
      <c r="X5" s="244"/>
      <c r="Y5" s="244"/>
      <c r="Z5" s="244"/>
      <c r="AA5" s="244"/>
      <c r="AB5" s="244"/>
      <c r="AC5" s="244"/>
      <c r="AD5" s="244"/>
      <c r="AE5" s="244"/>
      <c r="AF5" s="244"/>
      <c r="AG5" s="244"/>
      <c r="AH5" s="244"/>
      <c r="AI5" s="244"/>
      <c r="AJ5" s="244"/>
      <c r="AK5" s="244"/>
      <c r="AL5" s="244"/>
      <c r="AM5" s="244"/>
      <c r="AN5" s="245"/>
      <c r="AO5" s="245"/>
      <c r="AP5" s="246"/>
      <c r="AQ5" s="246"/>
      <c r="AR5" s="246"/>
      <c r="AS5" s="247"/>
      <c r="AT5" s="247"/>
      <c r="AU5" s="247"/>
      <c r="AV5" s="247"/>
      <c r="AW5" s="247"/>
      <c r="AX5" s="247"/>
      <c r="AY5" s="247"/>
      <c r="AZ5" s="247"/>
      <c r="BA5" s="247"/>
      <c r="BB5" s="247"/>
      <c r="BC5" s="247"/>
      <c r="BD5" s="247"/>
      <c r="BE5" s="247"/>
      <c r="BF5" s="247"/>
      <c r="BG5" s="247"/>
      <c r="BH5" s="247"/>
      <c r="BI5" s="247"/>
      <c r="BJ5" s="247"/>
      <c r="BK5" s="247"/>
      <c r="BL5" s="247"/>
      <c r="BM5" s="247"/>
    </row>
    <row r="6" spans="1:65" ht="26.25" hidden="1">
      <c r="A6" s="248">
        <v>1</v>
      </c>
      <c r="B6" s="249">
        <v>2</v>
      </c>
      <c r="C6" s="249">
        <v>3</v>
      </c>
      <c r="D6" s="249">
        <v>4</v>
      </c>
      <c r="E6" s="249">
        <v>5</v>
      </c>
      <c r="F6" s="249">
        <v>6</v>
      </c>
      <c r="G6" s="249">
        <v>7</v>
      </c>
      <c r="H6" s="249">
        <v>10</v>
      </c>
      <c r="I6" s="249">
        <v>11</v>
      </c>
      <c r="J6" s="249">
        <v>12</v>
      </c>
      <c r="K6" s="249">
        <v>13</v>
      </c>
      <c r="L6" s="249">
        <v>14</v>
      </c>
      <c r="M6" s="249">
        <v>15</v>
      </c>
      <c r="N6" s="249">
        <v>16</v>
      </c>
      <c r="O6" s="249">
        <v>17</v>
      </c>
      <c r="P6" s="249">
        <v>18</v>
      </c>
      <c r="Q6" s="249">
        <v>19</v>
      </c>
      <c r="R6" s="249">
        <v>20</v>
      </c>
      <c r="S6" s="249">
        <v>21</v>
      </c>
      <c r="T6" s="249">
        <v>22</v>
      </c>
      <c r="U6" s="249">
        <v>23</v>
      </c>
      <c r="V6" s="249"/>
      <c r="W6" s="249">
        <v>24</v>
      </c>
      <c r="X6" s="249">
        <v>25</v>
      </c>
      <c r="Y6" s="249">
        <v>26</v>
      </c>
      <c r="Z6" s="249"/>
      <c r="AA6" s="249">
        <v>27</v>
      </c>
      <c r="AB6" s="249">
        <v>28</v>
      </c>
      <c r="AC6" s="249">
        <v>29</v>
      </c>
      <c r="AD6" s="249">
        <v>30</v>
      </c>
      <c r="AE6" s="249"/>
      <c r="AF6" s="249"/>
      <c r="AG6" s="249"/>
      <c r="AH6" s="249">
        <v>31</v>
      </c>
      <c r="AI6" s="249">
        <v>32</v>
      </c>
      <c r="AJ6" s="249">
        <v>33</v>
      </c>
      <c r="AK6" s="249">
        <v>34</v>
      </c>
      <c r="AL6" s="249">
        <v>35</v>
      </c>
      <c r="AM6" s="249">
        <v>36</v>
      </c>
      <c r="AN6" s="245"/>
      <c r="AO6" s="245"/>
      <c r="AP6" s="246"/>
      <c r="AQ6" s="246"/>
      <c r="AR6" s="246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7"/>
      <c r="BE6" s="247"/>
      <c r="BF6" s="247"/>
      <c r="BG6" s="247"/>
      <c r="BH6" s="247"/>
      <c r="BI6" s="247"/>
      <c r="BJ6" s="247"/>
      <c r="BK6" s="247"/>
      <c r="BL6" s="247"/>
      <c r="BM6" s="247"/>
    </row>
    <row r="7" spans="1:65" ht="200.1" customHeight="1">
      <c r="A7" s="311" t="s">
        <v>456</v>
      </c>
      <c r="B7" s="311" t="s">
        <v>457</v>
      </c>
      <c r="C7" s="311" t="s">
        <v>458</v>
      </c>
      <c r="D7" s="311" t="s">
        <v>360</v>
      </c>
      <c r="E7" s="311" t="s">
        <v>410</v>
      </c>
      <c r="F7" s="311" t="s">
        <v>172</v>
      </c>
      <c r="G7" s="311" t="s">
        <v>459</v>
      </c>
      <c r="H7" s="311" t="s">
        <v>460</v>
      </c>
      <c r="I7" s="311" t="s">
        <v>461</v>
      </c>
      <c r="J7" s="311" t="s">
        <v>462</v>
      </c>
      <c r="K7" s="311" t="s">
        <v>463</v>
      </c>
      <c r="L7" s="311" t="s">
        <v>464</v>
      </c>
      <c r="M7" s="311" t="s">
        <v>465</v>
      </c>
      <c r="N7" s="311" t="s">
        <v>466</v>
      </c>
      <c r="O7" s="311" t="s">
        <v>467</v>
      </c>
      <c r="P7" s="311" t="s">
        <v>468</v>
      </c>
      <c r="Q7" s="311" t="s">
        <v>469</v>
      </c>
      <c r="R7" s="311" t="s">
        <v>470</v>
      </c>
      <c r="S7" s="311" t="s">
        <v>471</v>
      </c>
      <c r="T7" s="311" t="s">
        <v>472</v>
      </c>
      <c r="U7" s="311" t="s">
        <v>473</v>
      </c>
      <c r="V7" s="311" t="s">
        <v>474</v>
      </c>
      <c r="W7" s="311" t="s">
        <v>475</v>
      </c>
      <c r="X7" s="311" t="s">
        <v>476</v>
      </c>
      <c r="Y7" s="311" t="s">
        <v>477</v>
      </c>
      <c r="Z7" s="311" t="s">
        <v>478</v>
      </c>
      <c r="AA7" s="311" t="s">
        <v>479</v>
      </c>
      <c r="AB7" s="311" t="s">
        <v>480</v>
      </c>
      <c r="AC7" s="311" t="s">
        <v>481</v>
      </c>
      <c r="AD7" s="311" t="s">
        <v>482</v>
      </c>
      <c r="AE7" s="311" t="s">
        <v>483</v>
      </c>
      <c r="AF7" s="311" t="s">
        <v>484</v>
      </c>
      <c r="AG7" s="311" t="s">
        <v>485</v>
      </c>
      <c r="AH7" s="311" t="s">
        <v>486</v>
      </c>
      <c r="AI7" s="311" t="s">
        <v>487</v>
      </c>
      <c r="AJ7" s="311" t="s">
        <v>488</v>
      </c>
      <c r="AK7" s="311" t="s">
        <v>489</v>
      </c>
      <c r="AL7" s="311" t="s">
        <v>490</v>
      </c>
      <c r="AM7" s="311" t="s">
        <v>491</v>
      </c>
      <c r="AN7" s="311" t="s">
        <v>492</v>
      </c>
      <c r="AO7" s="311" t="s">
        <v>493</v>
      </c>
      <c r="AP7" s="250"/>
      <c r="AQ7" s="250"/>
      <c r="AR7" s="250"/>
      <c r="AS7" s="251"/>
      <c r="AT7" s="252" t="s">
        <v>494</v>
      </c>
      <c r="AU7" s="252" t="s">
        <v>495</v>
      </c>
      <c r="AV7" s="252" t="s">
        <v>496</v>
      </c>
      <c r="AW7" s="252" t="s">
        <v>497</v>
      </c>
      <c r="AX7" s="252" t="s">
        <v>498</v>
      </c>
      <c r="AY7" s="252" t="s">
        <v>499</v>
      </c>
      <c r="AZ7" s="253"/>
      <c r="BA7" s="253"/>
      <c r="BB7" s="253"/>
      <c r="BC7" s="253"/>
      <c r="BD7" s="253"/>
      <c r="BE7" s="254"/>
      <c r="BF7" s="254"/>
      <c r="BG7" s="254"/>
      <c r="BH7" s="254"/>
      <c r="BI7" s="254"/>
      <c r="BJ7" s="254"/>
      <c r="BK7" s="254"/>
      <c r="BL7" s="254"/>
      <c r="BM7" s="254"/>
    </row>
    <row r="8" spans="1:65" ht="45" customHeight="1">
      <c r="A8" s="248">
        <v>1</v>
      </c>
      <c r="B8" s="248" t="s">
        <v>180</v>
      </c>
      <c r="C8" s="248" t="s">
        <v>181</v>
      </c>
      <c r="D8" s="248" t="s">
        <v>182</v>
      </c>
      <c r="E8" s="248" t="s">
        <v>146</v>
      </c>
      <c r="F8" s="248" t="s">
        <v>361</v>
      </c>
      <c r="G8" s="248" t="s">
        <v>500</v>
      </c>
      <c r="H8" s="255">
        <v>101222359860</v>
      </c>
      <c r="I8" s="248">
        <v>4301489389</v>
      </c>
      <c r="J8" s="249">
        <v>350</v>
      </c>
      <c r="K8" s="249">
        <v>176</v>
      </c>
      <c r="L8" s="249">
        <v>526</v>
      </c>
      <c r="M8" s="249">
        <v>7</v>
      </c>
      <c r="N8" s="249">
        <v>9</v>
      </c>
      <c r="O8" s="249">
        <v>6</v>
      </c>
      <c r="P8" s="249">
        <v>0</v>
      </c>
      <c r="Q8" s="249">
        <v>0</v>
      </c>
      <c r="R8" s="249">
        <v>22</v>
      </c>
      <c r="S8" s="249">
        <v>0</v>
      </c>
      <c r="T8" s="249">
        <v>7700</v>
      </c>
      <c r="U8" s="249">
        <v>3872</v>
      </c>
      <c r="V8" s="249">
        <v>0</v>
      </c>
      <c r="W8" s="249">
        <v>11572</v>
      </c>
      <c r="X8" s="249">
        <v>0</v>
      </c>
      <c r="Y8" s="249">
        <v>0</v>
      </c>
      <c r="Z8" s="249">
        <v>0</v>
      </c>
      <c r="AA8" s="249">
        <v>579</v>
      </c>
      <c r="AB8" s="249">
        <v>964</v>
      </c>
      <c r="AC8" s="249">
        <v>940</v>
      </c>
      <c r="AD8" s="249">
        <v>3857</v>
      </c>
      <c r="AE8" s="249">
        <v>1852</v>
      </c>
      <c r="AF8" s="249">
        <v>0</v>
      </c>
      <c r="AG8" s="249">
        <v>440</v>
      </c>
      <c r="AH8" s="249">
        <v>20204</v>
      </c>
      <c r="AI8" s="249">
        <v>0</v>
      </c>
      <c r="AJ8" s="249">
        <v>1389</v>
      </c>
      <c r="AK8" s="249">
        <v>137</v>
      </c>
      <c r="AL8" s="249">
        <v>0</v>
      </c>
      <c r="AM8" s="249">
        <v>18678</v>
      </c>
      <c r="AN8" s="259">
        <v>1504</v>
      </c>
      <c r="AO8" s="259">
        <v>593</v>
      </c>
      <c r="AP8" s="257"/>
      <c r="AQ8" s="258"/>
      <c r="AR8" s="258" t="s">
        <v>501</v>
      </c>
      <c r="AS8" s="259" t="s">
        <v>181</v>
      </c>
      <c r="AT8" s="260">
        <v>6</v>
      </c>
      <c r="AU8" s="260">
        <v>6</v>
      </c>
      <c r="AV8" s="260">
        <v>7</v>
      </c>
      <c r="AW8" s="260">
        <v>0</v>
      </c>
      <c r="AX8" s="260">
        <v>0</v>
      </c>
      <c r="AY8" s="260">
        <v>0</v>
      </c>
      <c r="AZ8" s="261"/>
      <c r="BA8" s="261"/>
      <c r="BB8" s="256">
        <v>350</v>
      </c>
      <c r="BC8" s="256">
        <v>172</v>
      </c>
      <c r="BD8" s="256">
        <f t="shared" si="0" ref="BD8:BD71">BB8+BC8</f>
        <v>522</v>
      </c>
      <c r="BE8" s="262"/>
      <c r="BF8" s="262"/>
      <c r="BG8" s="262"/>
      <c r="BH8" s="262"/>
      <c r="BI8" s="262"/>
      <c r="BJ8" s="262"/>
      <c r="BK8" s="262"/>
      <c r="BL8" s="262"/>
      <c r="BM8" s="262"/>
    </row>
    <row r="9" spans="1:65" ht="45" customHeight="1">
      <c r="A9" s="248">
        <v>2</v>
      </c>
      <c r="B9" s="248" t="s">
        <v>183</v>
      </c>
      <c r="C9" s="248" t="s">
        <v>184</v>
      </c>
      <c r="D9" s="248" t="s">
        <v>182</v>
      </c>
      <c r="E9" s="248" t="s">
        <v>145</v>
      </c>
      <c r="F9" s="248" t="s">
        <v>362</v>
      </c>
      <c r="G9" s="248" t="s">
        <v>500</v>
      </c>
      <c r="H9" s="255">
        <v>101222359524</v>
      </c>
      <c r="I9" s="248">
        <v>4301489520</v>
      </c>
      <c r="J9" s="249">
        <v>410</v>
      </c>
      <c r="K9" s="249">
        <v>204</v>
      </c>
      <c r="L9" s="249">
        <v>614</v>
      </c>
      <c r="M9" s="249">
        <v>9</v>
      </c>
      <c r="N9" s="249">
        <v>10</v>
      </c>
      <c r="O9" s="249">
        <v>8</v>
      </c>
      <c r="P9" s="249">
        <v>0</v>
      </c>
      <c r="Q9" s="249">
        <v>0</v>
      </c>
      <c r="R9" s="249">
        <v>27</v>
      </c>
      <c r="S9" s="249">
        <v>0</v>
      </c>
      <c r="T9" s="249">
        <v>11070</v>
      </c>
      <c r="U9" s="249">
        <v>5508</v>
      </c>
      <c r="V9" s="249">
        <v>0</v>
      </c>
      <c r="W9" s="249">
        <v>16578</v>
      </c>
      <c r="X9" s="249">
        <v>0</v>
      </c>
      <c r="Y9" s="249">
        <v>0</v>
      </c>
      <c r="Z9" s="249">
        <v>0</v>
      </c>
      <c r="AA9" s="249">
        <v>772</v>
      </c>
      <c r="AB9" s="249">
        <v>1381</v>
      </c>
      <c r="AC9" s="249">
        <v>1160</v>
      </c>
      <c r="AD9" s="249">
        <v>5525</v>
      </c>
      <c r="AE9" s="249">
        <v>2652</v>
      </c>
      <c r="AF9" s="249">
        <v>0</v>
      </c>
      <c r="AG9" s="249">
        <v>540</v>
      </c>
      <c r="AH9" s="249">
        <v>28608</v>
      </c>
      <c r="AI9" s="249">
        <v>0</v>
      </c>
      <c r="AJ9" s="249">
        <v>1800</v>
      </c>
      <c r="AK9" s="249">
        <v>0</v>
      </c>
      <c r="AL9" s="249">
        <v>0</v>
      </c>
      <c r="AM9" s="249">
        <v>26808</v>
      </c>
      <c r="AN9" s="259">
        <v>1950</v>
      </c>
      <c r="AO9" s="259">
        <v>0</v>
      </c>
      <c r="AP9" s="257"/>
      <c r="AQ9" s="258"/>
      <c r="AR9" s="258" t="s">
        <v>501</v>
      </c>
      <c r="AS9" s="259" t="s">
        <v>184</v>
      </c>
      <c r="AT9" s="263">
        <v>9</v>
      </c>
      <c r="AU9" s="260">
        <v>9</v>
      </c>
      <c r="AV9" s="260">
        <v>8</v>
      </c>
      <c r="AW9" s="260">
        <v>0</v>
      </c>
      <c r="AX9" s="260">
        <v>15</v>
      </c>
      <c r="AY9" s="260">
        <v>0</v>
      </c>
      <c r="AZ9" s="261"/>
      <c r="BA9" s="261"/>
      <c r="BB9" s="256">
        <v>410</v>
      </c>
      <c r="BC9" s="256">
        <v>200</v>
      </c>
      <c r="BD9" s="256">
        <f t="shared" si="0"/>
        <v>610</v>
      </c>
      <c r="BE9" s="262"/>
      <c r="BF9" s="262"/>
      <c r="BG9" s="262"/>
      <c r="BH9" s="262"/>
      <c r="BI9" s="262"/>
      <c r="BJ9" s="262"/>
      <c r="BK9" s="262"/>
      <c r="BL9" s="262"/>
      <c r="BM9" s="262"/>
    </row>
    <row r="10" spans="1:65" ht="45" customHeight="1">
      <c r="A10" s="248">
        <v>3</v>
      </c>
      <c r="B10" s="248" t="s">
        <v>185</v>
      </c>
      <c r="C10" s="248" t="s">
        <v>186</v>
      </c>
      <c r="D10" s="248" t="s">
        <v>182</v>
      </c>
      <c r="E10" s="248" t="s">
        <v>145</v>
      </c>
      <c r="F10" s="248" t="s">
        <v>362</v>
      </c>
      <c r="G10" s="248" t="s">
        <v>500</v>
      </c>
      <c r="H10" s="255">
        <v>101222359697</v>
      </c>
      <c r="I10" s="248">
        <v>4301489492</v>
      </c>
      <c r="J10" s="249">
        <v>410</v>
      </c>
      <c r="K10" s="249">
        <v>204</v>
      </c>
      <c r="L10" s="249">
        <v>614</v>
      </c>
      <c r="M10" s="249">
        <v>10</v>
      </c>
      <c r="N10" s="249">
        <v>7</v>
      </c>
      <c r="O10" s="249">
        <v>9</v>
      </c>
      <c r="P10" s="249">
        <v>0</v>
      </c>
      <c r="Q10" s="249">
        <v>0</v>
      </c>
      <c r="R10" s="249">
        <v>26</v>
      </c>
      <c r="S10" s="249">
        <v>0</v>
      </c>
      <c r="T10" s="249">
        <v>10660</v>
      </c>
      <c r="U10" s="249">
        <v>5304</v>
      </c>
      <c r="V10" s="249">
        <v>1</v>
      </c>
      <c r="W10" s="249">
        <v>15964</v>
      </c>
      <c r="X10" s="249">
        <v>0</v>
      </c>
      <c r="Y10" s="249">
        <v>0</v>
      </c>
      <c r="Z10" s="249">
        <v>0</v>
      </c>
      <c r="AA10" s="249">
        <v>772</v>
      </c>
      <c r="AB10" s="249">
        <v>1330</v>
      </c>
      <c r="AC10" s="249">
        <v>1130</v>
      </c>
      <c r="AD10" s="249">
        <v>5321</v>
      </c>
      <c r="AE10" s="249">
        <v>2554</v>
      </c>
      <c r="AF10" s="249">
        <v>614</v>
      </c>
      <c r="AG10" s="249">
        <v>520</v>
      </c>
      <c r="AH10" s="249">
        <v>28205</v>
      </c>
      <c r="AI10" s="249">
        <v>0</v>
      </c>
      <c r="AJ10" s="249">
        <v>1800</v>
      </c>
      <c r="AK10" s="249">
        <v>0</v>
      </c>
      <c r="AL10" s="249">
        <v>0</v>
      </c>
      <c r="AM10" s="249">
        <v>26405</v>
      </c>
      <c r="AN10" s="259">
        <v>1950</v>
      </c>
      <c r="AO10" s="259">
        <v>0</v>
      </c>
      <c r="AP10" s="257"/>
      <c r="AQ10" s="258"/>
      <c r="AR10" s="258" t="s">
        <v>501</v>
      </c>
      <c r="AS10" s="259" t="s">
        <v>186</v>
      </c>
      <c r="AT10" s="260">
        <v>9</v>
      </c>
      <c r="AU10" s="260">
        <v>8</v>
      </c>
      <c r="AV10" s="260">
        <v>8</v>
      </c>
      <c r="AW10" s="260">
        <v>0</v>
      </c>
      <c r="AX10" s="260">
        <v>4</v>
      </c>
      <c r="AY10" s="260">
        <v>0</v>
      </c>
      <c r="AZ10" s="261"/>
      <c r="BA10" s="261"/>
      <c r="BB10" s="256">
        <v>410</v>
      </c>
      <c r="BC10" s="256">
        <v>200</v>
      </c>
      <c r="BD10" s="256">
        <f t="shared" si="0"/>
        <v>610</v>
      </c>
      <c r="BE10" s="262"/>
      <c r="BF10" s="262"/>
      <c r="BG10" s="262"/>
      <c r="BH10" s="262"/>
      <c r="BI10" s="262"/>
      <c r="BJ10" s="262"/>
      <c r="BK10" s="262"/>
      <c r="BL10" s="262"/>
      <c r="BM10" s="262"/>
    </row>
    <row r="11" spans="1:56" ht="45" customHeight="1">
      <c r="A11" s="248">
        <v>4</v>
      </c>
      <c r="B11" s="248" t="s">
        <v>187</v>
      </c>
      <c r="C11" s="248" t="s">
        <v>188</v>
      </c>
      <c r="D11" s="248" t="s">
        <v>182</v>
      </c>
      <c r="E11" s="248" t="s">
        <v>146</v>
      </c>
      <c r="F11" s="248" t="s">
        <v>361</v>
      </c>
      <c r="G11" s="248" t="s">
        <v>500</v>
      </c>
      <c r="H11" s="255">
        <v>101222359716</v>
      </c>
      <c r="I11" s="248">
        <v>4301489487</v>
      </c>
      <c r="J11" s="249">
        <v>350</v>
      </c>
      <c r="K11" s="249">
        <v>176</v>
      </c>
      <c r="L11" s="249">
        <v>526</v>
      </c>
      <c r="M11" s="249">
        <v>8</v>
      </c>
      <c r="N11" s="249">
        <v>15</v>
      </c>
      <c r="O11" s="249">
        <v>0</v>
      </c>
      <c r="P11" s="249">
        <v>0</v>
      </c>
      <c r="Q11" s="249">
        <v>0</v>
      </c>
      <c r="R11" s="249">
        <v>23</v>
      </c>
      <c r="S11" s="249">
        <v>0</v>
      </c>
      <c r="T11" s="249">
        <v>8050</v>
      </c>
      <c r="U11" s="249">
        <v>4048</v>
      </c>
      <c r="V11" s="249">
        <v>0</v>
      </c>
      <c r="W11" s="249">
        <v>12098</v>
      </c>
      <c r="X11" s="249">
        <v>0</v>
      </c>
      <c r="Y11" s="249">
        <v>0</v>
      </c>
      <c r="Z11" s="249">
        <v>0</v>
      </c>
      <c r="AA11" s="249">
        <v>605</v>
      </c>
      <c r="AB11" s="249">
        <v>1008</v>
      </c>
      <c r="AC11" s="249">
        <v>920</v>
      </c>
      <c r="AD11" s="249">
        <v>4032</v>
      </c>
      <c r="AE11" s="249">
        <v>1936</v>
      </c>
      <c r="AF11" s="249">
        <v>0</v>
      </c>
      <c r="AG11" s="249">
        <v>460</v>
      </c>
      <c r="AH11" s="249">
        <v>21059</v>
      </c>
      <c r="AI11" s="249">
        <v>0</v>
      </c>
      <c r="AJ11" s="249">
        <v>1452</v>
      </c>
      <c r="AK11" s="249">
        <v>143</v>
      </c>
      <c r="AL11" s="249">
        <v>0</v>
      </c>
      <c r="AM11" s="249">
        <v>19464</v>
      </c>
      <c r="AN11" s="259">
        <v>1573</v>
      </c>
      <c r="AO11" s="259">
        <v>618</v>
      </c>
      <c r="AP11" s="257"/>
      <c r="AQ11" s="258"/>
      <c r="AR11" s="258" t="s">
        <v>501</v>
      </c>
      <c r="AS11" s="259" t="s">
        <v>188</v>
      </c>
      <c r="AT11" s="260">
        <v>6</v>
      </c>
      <c r="AU11" s="260">
        <v>16</v>
      </c>
      <c r="AV11" s="260">
        <v>0</v>
      </c>
      <c r="AW11" s="260">
        <v>0</v>
      </c>
      <c r="AX11" s="260">
        <v>8</v>
      </c>
      <c r="AY11" s="260">
        <v>0</v>
      </c>
      <c r="AZ11" s="264"/>
      <c r="BA11" s="264"/>
      <c r="BB11" s="256">
        <v>350</v>
      </c>
      <c r="BC11" s="256">
        <v>172</v>
      </c>
      <c r="BD11" s="256">
        <f t="shared" si="0"/>
        <v>522</v>
      </c>
    </row>
    <row r="12" spans="1:56" ht="45" customHeight="1">
      <c r="A12" s="248">
        <v>5</v>
      </c>
      <c r="B12" s="248" t="s">
        <v>189</v>
      </c>
      <c r="C12" s="248" t="s">
        <v>190</v>
      </c>
      <c r="D12" s="248" t="s">
        <v>182</v>
      </c>
      <c r="E12" s="248" t="s">
        <v>354</v>
      </c>
      <c r="F12" s="248" t="s">
        <v>143</v>
      </c>
      <c r="G12" s="248" t="s">
        <v>500</v>
      </c>
      <c r="H12" s="255">
        <v>100865413194</v>
      </c>
      <c r="I12" s="248">
        <v>4301578718</v>
      </c>
      <c r="J12" s="249">
        <v>579</v>
      </c>
      <c r="K12" s="249">
        <v>289</v>
      </c>
      <c r="L12" s="249">
        <v>868</v>
      </c>
      <c r="M12" s="249">
        <v>0</v>
      </c>
      <c r="N12" s="249">
        <v>0</v>
      </c>
      <c r="O12" s="249">
        <v>0</v>
      </c>
      <c r="P12" s="249">
        <v>25</v>
      </c>
      <c r="Q12" s="249">
        <v>0</v>
      </c>
      <c r="R12" s="249">
        <v>25</v>
      </c>
      <c r="S12" s="249">
        <v>8</v>
      </c>
      <c r="T12" s="249">
        <v>14475</v>
      </c>
      <c r="U12" s="249">
        <v>7225</v>
      </c>
      <c r="V12" s="249">
        <v>0</v>
      </c>
      <c r="W12" s="249">
        <v>21700</v>
      </c>
      <c r="X12" s="249">
        <v>1736</v>
      </c>
      <c r="Y12" s="249">
        <v>0</v>
      </c>
      <c r="Z12" s="249">
        <v>0</v>
      </c>
      <c r="AA12" s="249">
        <v>1085</v>
      </c>
      <c r="AB12" s="249">
        <v>1808</v>
      </c>
      <c r="AC12" s="249">
        <v>0</v>
      </c>
      <c r="AD12" s="249">
        <v>7233</v>
      </c>
      <c r="AE12" s="249">
        <v>3472</v>
      </c>
      <c r="AF12" s="249">
        <v>0</v>
      </c>
      <c r="AG12" s="249">
        <v>500</v>
      </c>
      <c r="AH12" s="249">
        <v>37534</v>
      </c>
      <c r="AI12" s="249">
        <v>0</v>
      </c>
      <c r="AJ12" s="249">
        <v>1800</v>
      </c>
      <c r="AK12" s="249">
        <v>0</v>
      </c>
      <c r="AL12" s="249">
        <v>0</v>
      </c>
      <c r="AM12" s="249">
        <v>35734</v>
      </c>
      <c r="AN12" s="259">
        <v>1950</v>
      </c>
      <c r="AO12" s="259">
        <v>0</v>
      </c>
      <c r="AP12" s="257"/>
      <c r="AQ12" s="258"/>
      <c r="AR12" s="258" t="s">
        <v>501</v>
      </c>
      <c r="AS12" s="259" t="s">
        <v>190</v>
      </c>
      <c r="AT12" s="263">
        <v>0</v>
      </c>
      <c r="AU12" s="260">
        <v>0</v>
      </c>
      <c r="AV12" s="260">
        <v>0</v>
      </c>
      <c r="AW12" s="260">
        <v>24</v>
      </c>
      <c r="AX12" s="260">
        <v>15</v>
      </c>
      <c r="AY12" s="260">
        <v>0</v>
      </c>
      <c r="AZ12" s="264"/>
      <c r="BA12" s="264"/>
      <c r="BB12" s="256">
        <v>579</v>
      </c>
      <c r="BC12" s="256">
        <v>283</v>
      </c>
      <c r="BD12" s="256">
        <f t="shared" si="0"/>
        <v>862</v>
      </c>
    </row>
    <row r="13" spans="1:56" ht="45" customHeight="1">
      <c r="A13" s="248">
        <v>6</v>
      </c>
      <c r="B13" s="248" t="s">
        <v>191</v>
      </c>
      <c r="C13" s="248" t="s">
        <v>133</v>
      </c>
      <c r="D13" s="248" t="s">
        <v>369</v>
      </c>
      <c r="E13" s="248" t="s">
        <v>144</v>
      </c>
      <c r="F13" s="248" t="s">
        <v>363</v>
      </c>
      <c r="G13" s="248" t="s">
        <v>500</v>
      </c>
      <c r="H13" s="255">
        <v>101222360233</v>
      </c>
      <c r="I13" s="248">
        <v>4301489125</v>
      </c>
      <c r="J13" s="249">
        <v>494</v>
      </c>
      <c r="K13" s="249">
        <v>245</v>
      </c>
      <c r="L13" s="249">
        <v>739</v>
      </c>
      <c r="M13" s="249">
        <v>0</v>
      </c>
      <c r="N13" s="249">
        <v>0</v>
      </c>
      <c r="O13" s="249">
        <v>0</v>
      </c>
      <c r="P13" s="249">
        <v>24</v>
      </c>
      <c r="Q13" s="249">
        <v>0</v>
      </c>
      <c r="R13" s="249">
        <v>24</v>
      </c>
      <c r="S13" s="249">
        <v>0</v>
      </c>
      <c r="T13" s="249">
        <v>11856</v>
      </c>
      <c r="U13" s="249">
        <v>5880</v>
      </c>
      <c r="V13" s="249">
        <v>2</v>
      </c>
      <c r="W13" s="249">
        <v>17736</v>
      </c>
      <c r="X13" s="249">
        <v>0</v>
      </c>
      <c r="Y13" s="249">
        <v>0</v>
      </c>
      <c r="Z13" s="249">
        <v>0</v>
      </c>
      <c r="AA13" s="249">
        <v>887</v>
      </c>
      <c r="AB13" s="249">
        <v>1477</v>
      </c>
      <c r="AC13" s="249">
        <v>0</v>
      </c>
      <c r="AD13" s="249">
        <v>5911</v>
      </c>
      <c r="AE13" s="249">
        <v>2838</v>
      </c>
      <c r="AF13" s="249">
        <v>1478</v>
      </c>
      <c r="AG13" s="249">
        <v>480</v>
      </c>
      <c r="AH13" s="249">
        <v>30807</v>
      </c>
      <c r="AI13" s="249">
        <v>0</v>
      </c>
      <c r="AJ13" s="249">
        <v>1800</v>
      </c>
      <c r="AK13" s="249">
        <v>0</v>
      </c>
      <c r="AL13" s="249">
        <v>0</v>
      </c>
      <c r="AM13" s="249">
        <v>29007</v>
      </c>
      <c r="AN13" s="259">
        <v>1950</v>
      </c>
      <c r="AO13" s="259">
        <v>0</v>
      </c>
      <c r="AP13" s="257"/>
      <c r="AQ13" s="258"/>
      <c r="AR13" s="258" t="s">
        <v>501</v>
      </c>
      <c r="AS13" s="259" t="s">
        <v>133</v>
      </c>
      <c r="AT13" s="260">
        <v>0</v>
      </c>
      <c r="AU13" s="260">
        <v>0</v>
      </c>
      <c r="AV13" s="260">
        <v>0</v>
      </c>
      <c r="AW13" s="260">
        <v>25</v>
      </c>
      <c r="AX13" s="260">
        <v>0</v>
      </c>
      <c r="AY13" s="260">
        <v>0</v>
      </c>
      <c r="AZ13" s="264"/>
      <c r="BA13" s="264"/>
      <c r="BB13" s="256">
        <v>494</v>
      </c>
      <c r="BC13" s="256">
        <v>240</v>
      </c>
      <c r="BD13" s="256">
        <f t="shared" si="0"/>
        <v>734</v>
      </c>
    </row>
    <row r="14" spans="1:65" ht="45" customHeight="1">
      <c r="A14" s="248">
        <v>7</v>
      </c>
      <c r="B14" s="248" t="s">
        <v>192</v>
      </c>
      <c r="C14" s="248" t="s">
        <v>193</v>
      </c>
      <c r="D14" s="248" t="s">
        <v>182</v>
      </c>
      <c r="E14" s="248" t="s">
        <v>355</v>
      </c>
      <c r="F14" s="248" t="s">
        <v>363</v>
      </c>
      <c r="G14" s="248" t="s">
        <v>500</v>
      </c>
      <c r="H14" s="255">
        <v>101222359480</v>
      </c>
      <c r="I14" s="248">
        <v>4301489741</v>
      </c>
      <c r="J14" s="249">
        <v>494</v>
      </c>
      <c r="K14" s="249">
        <v>245</v>
      </c>
      <c r="L14" s="249">
        <v>739</v>
      </c>
      <c r="M14" s="249">
        <v>0</v>
      </c>
      <c r="N14" s="249">
        <v>0</v>
      </c>
      <c r="O14" s="249">
        <v>0</v>
      </c>
      <c r="P14" s="249">
        <v>12</v>
      </c>
      <c r="Q14" s="249">
        <v>0</v>
      </c>
      <c r="R14" s="249">
        <v>12</v>
      </c>
      <c r="S14" s="249">
        <v>0</v>
      </c>
      <c r="T14" s="249">
        <v>5928</v>
      </c>
      <c r="U14" s="249">
        <v>2940</v>
      </c>
      <c r="V14" s="249">
        <v>0</v>
      </c>
      <c r="W14" s="249">
        <v>8868</v>
      </c>
      <c r="X14" s="249">
        <v>0</v>
      </c>
      <c r="Y14" s="249">
        <v>0</v>
      </c>
      <c r="Z14" s="249">
        <v>0</v>
      </c>
      <c r="AA14" s="249">
        <v>0</v>
      </c>
      <c r="AB14" s="249">
        <v>739</v>
      </c>
      <c r="AC14" s="249">
        <v>0</v>
      </c>
      <c r="AD14" s="249">
        <v>2956</v>
      </c>
      <c r="AE14" s="249">
        <v>1419</v>
      </c>
      <c r="AF14" s="249">
        <v>0</v>
      </c>
      <c r="AG14" s="249">
        <v>240</v>
      </c>
      <c r="AH14" s="249">
        <v>14222</v>
      </c>
      <c r="AI14" s="249">
        <v>0</v>
      </c>
      <c r="AJ14" s="249">
        <v>1064</v>
      </c>
      <c r="AK14" s="249">
        <v>0</v>
      </c>
      <c r="AL14" s="249">
        <v>0</v>
      </c>
      <c r="AM14" s="249">
        <v>13158</v>
      </c>
      <c r="AN14" s="259">
        <v>1153</v>
      </c>
      <c r="AO14" s="259">
        <v>0</v>
      </c>
      <c r="AP14" s="257"/>
      <c r="AQ14" s="258"/>
      <c r="AR14" s="258" t="s">
        <v>501</v>
      </c>
      <c r="AS14" s="259" t="s">
        <v>193</v>
      </c>
      <c r="AT14" s="260">
        <v>0</v>
      </c>
      <c r="AU14" s="260">
        <v>0</v>
      </c>
      <c r="AV14" s="260">
        <v>0</v>
      </c>
      <c r="AW14" s="260">
        <v>21</v>
      </c>
      <c r="AX14" s="260">
        <v>9</v>
      </c>
      <c r="AY14" s="260">
        <v>0</v>
      </c>
      <c r="AZ14" s="261"/>
      <c r="BA14" s="261"/>
      <c r="BB14" s="256">
        <v>494</v>
      </c>
      <c r="BC14" s="256">
        <v>240</v>
      </c>
      <c r="BD14" s="256">
        <f t="shared" si="0"/>
        <v>734</v>
      </c>
      <c r="BE14" s="262"/>
      <c r="BF14" s="262"/>
      <c r="BG14" s="262"/>
      <c r="BH14" s="262"/>
      <c r="BI14" s="262"/>
      <c r="BJ14" s="262"/>
      <c r="BK14" s="262"/>
      <c r="BL14" s="262"/>
      <c r="BM14" s="262"/>
    </row>
    <row r="15" spans="1:56" ht="45" customHeight="1">
      <c r="A15" s="248">
        <v>8</v>
      </c>
      <c r="B15" s="248" t="s">
        <v>194</v>
      </c>
      <c r="C15" s="248" t="s">
        <v>195</v>
      </c>
      <c r="D15" s="248" t="s">
        <v>196</v>
      </c>
      <c r="E15" s="248" t="s">
        <v>145</v>
      </c>
      <c r="F15" s="248" t="s">
        <v>362</v>
      </c>
      <c r="G15" s="248" t="s">
        <v>500</v>
      </c>
      <c r="H15" s="255">
        <v>101222360057</v>
      </c>
      <c r="I15" s="248">
        <v>4301489313</v>
      </c>
      <c r="J15" s="249">
        <v>410</v>
      </c>
      <c r="K15" s="249">
        <v>204</v>
      </c>
      <c r="L15" s="249">
        <v>614</v>
      </c>
      <c r="M15" s="249">
        <v>10</v>
      </c>
      <c r="N15" s="249">
        <v>10</v>
      </c>
      <c r="O15" s="249">
        <v>7</v>
      </c>
      <c r="P15" s="249">
        <v>0</v>
      </c>
      <c r="Q15" s="249">
        <v>0</v>
      </c>
      <c r="R15" s="249">
        <v>27</v>
      </c>
      <c r="S15" s="249">
        <v>0</v>
      </c>
      <c r="T15" s="249">
        <v>11070</v>
      </c>
      <c r="U15" s="249">
        <v>5508</v>
      </c>
      <c r="V15" s="249">
        <v>0</v>
      </c>
      <c r="W15" s="249">
        <v>16578</v>
      </c>
      <c r="X15" s="249">
        <v>0</v>
      </c>
      <c r="Y15" s="249">
        <v>0</v>
      </c>
      <c r="Z15" s="249">
        <v>0</v>
      </c>
      <c r="AA15" s="249">
        <v>772</v>
      </c>
      <c r="AB15" s="249">
        <v>1381</v>
      </c>
      <c r="AC15" s="249">
        <v>1150</v>
      </c>
      <c r="AD15" s="249">
        <v>5525</v>
      </c>
      <c r="AE15" s="249">
        <v>2652</v>
      </c>
      <c r="AF15" s="249">
        <v>0</v>
      </c>
      <c r="AG15" s="249">
        <v>540</v>
      </c>
      <c r="AH15" s="249">
        <v>28598</v>
      </c>
      <c r="AI15" s="249">
        <v>0</v>
      </c>
      <c r="AJ15" s="249">
        <v>1800</v>
      </c>
      <c r="AK15" s="249">
        <v>0</v>
      </c>
      <c r="AL15" s="249">
        <v>0</v>
      </c>
      <c r="AM15" s="249">
        <v>26798</v>
      </c>
      <c r="AN15" s="259">
        <v>1950</v>
      </c>
      <c r="AO15" s="259">
        <v>0</v>
      </c>
      <c r="AP15" s="257"/>
      <c r="AQ15" s="258"/>
      <c r="AR15" s="258" t="s">
        <v>501</v>
      </c>
      <c r="AS15" s="259" t="s">
        <v>195</v>
      </c>
      <c r="AT15" s="260">
        <v>0</v>
      </c>
      <c r="AU15" s="260">
        <v>7</v>
      </c>
      <c r="AV15" s="260">
        <v>0</v>
      </c>
      <c r="AW15" s="260">
        <v>20</v>
      </c>
      <c r="AX15" s="260">
        <v>0</v>
      </c>
      <c r="AY15" s="260">
        <v>0</v>
      </c>
      <c r="AZ15" s="264"/>
      <c r="BA15" s="264"/>
      <c r="BB15" s="256">
        <v>410</v>
      </c>
      <c r="BC15" s="256">
        <v>200</v>
      </c>
      <c r="BD15" s="256">
        <f t="shared" si="0"/>
        <v>610</v>
      </c>
    </row>
    <row r="16" spans="1:56" ht="45" customHeight="1">
      <c r="A16" s="248">
        <v>9</v>
      </c>
      <c r="B16" s="248" t="s">
        <v>197</v>
      </c>
      <c r="C16" s="248" t="s">
        <v>198</v>
      </c>
      <c r="D16" s="248" t="s">
        <v>182</v>
      </c>
      <c r="E16" s="248" t="s">
        <v>146</v>
      </c>
      <c r="F16" s="248" t="s">
        <v>361</v>
      </c>
      <c r="G16" s="248" t="s">
        <v>500</v>
      </c>
      <c r="H16" s="255">
        <v>101222359744</v>
      </c>
      <c r="I16" s="248">
        <v>4301489484</v>
      </c>
      <c r="J16" s="249">
        <v>350</v>
      </c>
      <c r="K16" s="249">
        <v>176</v>
      </c>
      <c r="L16" s="249">
        <v>526</v>
      </c>
      <c r="M16" s="249">
        <v>4</v>
      </c>
      <c r="N16" s="249">
        <v>2</v>
      </c>
      <c r="O16" s="249">
        <v>6</v>
      </c>
      <c r="P16" s="249">
        <v>0</v>
      </c>
      <c r="Q16" s="249">
        <v>0</v>
      </c>
      <c r="R16" s="249">
        <v>12</v>
      </c>
      <c r="S16" s="249">
        <v>0</v>
      </c>
      <c r="T16" s="249">
        <v>4200</v>
      </c>
      <c r="U16" s="249">
        <v>2112</v>
      </c>
      <c r="V16" s="249">
        <v>0</v>
      </c>
      <c r="W16" s="249">
        <v>6312</v>
      </c>
      <c r="X16" s="249">
        <v>0</v>
      </c>
      <c r="Y16" s="249">
        <v>0</v>
      </c>
      <c r="Z16" s="249">
        <v>0</v>
      </c>
      <c r="AA16" s="249">
        <v>0</v>
      </c>
      <c r="AB16" s="249">
        <v>526</v>
      </c>
      <c r="AC16" s="249">
        <v>540</v>
      </c>
      <c r="AD16" s="249">
        <v>2104</v>
      </c>
      <c r="AE16" s="249">
        <v>1010</v>
      </c>
      <c r="AF16" s="249">
        <v>0</v>
      </c>
      <c r="AG16" s="249">
        <v>240</v>
      </c>
      <c r="AH16" s="249">
        <v>10732</v>
      </c>
      <c r="AI16" s="249">
        <v>0</v>
      </c>
      <c r="AJ16" s="249">
        <v>757</v>
      </c>
      <c r="AK16" s="249">
        <v>75</v>
      </c>
      <c r="AL16" s="249">
        <v>0</v>
      </c>
      <c r="AM16" s="249">
        <v>9900</v>
      </c>
      <c r="AN16" s="259">
        <v>821</v>
      </c>
      <c r="AO16" s="259">
        <v>324</v>
      </c>
      <c r="AP16" s="257"/>
      <c r="AQ16" s="258"/>
      <c r="AR16" s="258" t="s">
        <v>501</v>
      </c>
      <c r="AS16" s="259" t="s">
        <v>198</v>
      </c>
      <c r="AT16" s="260">
        <v>0</v>
      </c>
      <c r="AU16" s="260">
        <v>0</v>
      </c>
      <c r="AV16" s="260">
        <v>0</v>
      </c>
      <c r="AW16" s="260">
        <v>5</v>
      </c>
      <c r="AX16" s="260">
        <v>0</v>
      </c>
      <c r="AY16" s="260">
        <v>0</v>
      </c>
      <c r="AZ16" s="264"/>
      <c r="BA16" s="264"/>
      <c r="BB16" s="256">
        <v>350</v>
      </c>
      <c r="BC16" s="256">
        <v>172</v>
      </c>
      <c r="BD16" s="256">
        <f t="shared" si="0"/>
        <v>522</v>
      </c>
    </row>
    <row r="17" spans="1:56" ht="45" customHeight="1">
      <c r="A17" s="248">
        <v>10</v>
      </c>
      <c r="B17" s="248" t="s">
        <v>199</v>
      </c>
      <c r="C17" s="248" t="s">
        <v>200</v>
      </c>
      <c r="D17" s="248" t="s">
        <v>182</v>
      </c>
      <c r="E17" s="248" t="s">
        <v>356</v>
      </c>
      <c r="F17" s="248" t="s">
        <v>143</v>
      </c>
      <c r="G17" s="248" t="s">
        <v>500</v>
      </c>
      <c r="H17" s="255">
        <v>101222359422</v>
      </c>
      <c r="I17" s="248">
        <v>4301489765</v>
      </c>
      <c r="J17" s="249">
        <v>579</v>
      </c>
      <c r="K17" s="249">
        <v>289</v>
      </c>
      <c r="L17" s="249">
        <v>868</v>
      </c>
      <c r="M17" s="249">
        <v>0</v>
      </c>
      <c r="N17" s="249">
        <v>0</v>
      </c>
      <c r="O17" s="249">
        <v>0</v>
      </c>
      <c r="P17" s="249">
        <v>14</v>
      </c>
      <c r="Q17" s="249">
        <v>0</v>
      </c>
      <c r="R17" s="249">
        <v>14</v>
      </c>
      <c r="S17" s="249">
        <v>2</v>
      </c>
      <c r="T17" s="249">
        <v>8106</v>
      </c>
      <c r="U17" s="249">
        <v>4046</v>
      </c>
      <c r="V17" s="249">
        <v>3</v>
      </c>
      <c r="W17" s="249">
        <v>12152</v>
      </c>
      <c r="X17" s="249">
        <v>434</v>
      </c>
      <c r="Y17" s="249">
        <v>0</v>
      </c>
      <c r="Z17" s="249">
        <v>0</v>
      </c>
      <c r="AA17" s="249">
        <v>0</v>
      </c>
      <c r="AB17" s="249">
        <v>1012</v>
      </c>
      <c r="AC17" s="249">
        <v>0</v>
      </c>
      <c r="AD17" s="249">
        <v>4050</v>
      </c>
      <c r="AE17" s="249">
        <v>1944</v>
      </c>
      <c r="AF17" s="249">
        <v>2604</v>
      </c>
      <c r="AG17" s="249">
        <v>280</v>
      </c>
      <c r="AH17" s="249">
        <v>22476</v>
      </c>
      <c r="AI17" s="249">
        <v>0</v>
      </c>
      <c r="AJ17" s="249">
        <v>1458</v>
      </c>
      <c r="AK17" s="249">
        <v>0</v>
      </c>
      <c r="AL17" s="249">
        <v>0</v>
      </c>
      <c r="AM17" s="249">
        <v>21018</v>
      </c>
      <c r="AN17" s="259">
        <v>1580</v>
      </c>
      <c r="AO17" s="259">
        <v>0</v>
      </c>
      <c r="AP17" s="257"/>
      <c r="AQ17" s="258"/>
      <c r="AR17" s="258" t="s">
        <v>501</v>
      </c>
      <c r="AS17" s="259" t="s">
        <v>200</v>
      </c>
      <c r="AT17" s="260">
        <v>0</v>
      </c>
      <c r="AU17" s="260">
        <v>0</v>
      </c>
      <c r="AV17" s="260">
        <v>0</v>
      </c>
      <c r="AW17" s="260">
        <v>13</v>
      </c>
      <c r="AX17" s="260">
        <v>4</v>
      </c>
      <c r="AY17" s="260">
        <v>0</v>
      </c>
      <c r="AZ17" s="264"/>
      <c r="BA17" s="264"/>
      <c r="BB17" s="256">
        <v>350</v>
      </c>
      <c r="BC17" s="256">
        <v>172</v>
      </c>
      <c r="BD17" s="256">
        <f t="shared" si="0"/>
        <v>522</v>
      </c>
    </row>
    <row r="18" spans="1:56" ht="45" customHeight="1">
      <c r="A18" s="248">
        <v>11</v>
      </c>
      <c r="B18" s="248" t="s">
        <v>201</v>
      </c>
      <c r="C18" s="248" t="s">
        <v>202</v>
      </c>
      <c r="D18" s="248" t="s">
        <v>196</v>
      </c>
      <c r="E18" s="248" t="s">
        <v>146</v>
      </c>
      <c r="F18" s="248" t="s">
        <v>361</v>
      </c>
      <c r="G18" s="248" t="s">
        <v>500</v>
      </c>
      <c r="H18" s="255">
        <v>101222360185</v>
      </c>
      <c r="I18" s="248">
        <v>4301489132</v>
      </c>
      <c r="J18" s="249">
        <v>350</v>
      </c>
      <c r="K18" s="249">
        <v>176</v>
      </c>
      <c r="L18" s="249">
        <v>526</v>
      </c>
      <c r="M18" s="249">
        <v>9</v>
      </c>
      <c r="N18" s="249">
        <v>8</v>
      </c>
      <c r="O18" s="249">
        <v>10</v>
      </c>
      <c r="P18" s="249">
        <v>0</v>
      </c>
      <c r="Q18" s="249">
        <v>0</v>
      </c>
      <c r="R18" s="249">
        <v>27</v>
      </c>
      <c r="S18" s="249">
        <v>0</v>
      </c>
      <c r="T18" s="249">
        <v>9450</v>
      </c>
      <c r="U18" s="249">
        <v>4752</v>
      </c>
      <c r="V18" s="249">
        <v>0</v>
      </c>
      <c r="W18" s="249">
        <v>14202</v>
      </c>
      <c r="X18" s="249">
        <v>0</v>
      </c>
      <c r="Y18" s="249">
        <v>0</v>
      </c>
      <c r="Z18" s="249">
        <v>0</v>
      </c>
      <c r="AA18" s="249">
        <v>662</v>
      </c>
      <c r="AB18" s="249">
        <v>1183</v>
      </c>
      <c r="AC18" s="249">
        <v>1180</v>
      </c>
      <c r="AD18" s="249">
        <v>4734</v>
      </c>
      <c r="AE18" s="249">
        <v>2272</v>
      </c>
      <c r="AF18" s="249">
        <v>0</v>
      </c>
      <c r="AG18" s="249">
        <v>540</v>
      </c>
      <c r="AH18" s="249">
        <v>24773</v>
      </c>
      <c r="AI18" s="249">
        <v>0</v>
      </c>
      <c r="AJ18" s="249">
        <v>1704</v>
      </c>
      <c r="AK18" s="249">
        <v>168</v>
      </c>
      <c r="AL18" s="249">
        <v>0</v>
      </c>
      <c r="AM18" s="249">
        <v>22901</v>
      </c>
      <c r="AN18" s="259">
        <v>1846</v>
      </c>
      <c r="AO18" s="259">
        <v>728</v>
      </c>
      <c r="AP18" s="257"/>
      <c r="AQ18" s="258"/>
      <c r="AR18" s="258" t="s">
        <v>501</v>
      </c>
      <c r="AS18" s="259" t="s">
        <v>202</v>
      </c>
      <c r="AT18" s="260">
        <v>8</v>
      </c>
      <c r="AU18" s="260">
        <v>8</v>
      </c>
      <c r="AV18" s="260">
        <v>8</v>
      </c>
      <c r="AW18" s="260">
        <v>0</v>
      </c>
      <c r="AX18" s="260">
        <v>0</v>
      </c>
      <c r="AY18" s="260">
        <v>0</v>
      </c>
      <c r="AZ18" s="264"/>
      <c r="BA18" s="264"/>
      <c r="BB18" s="256">
        <v>579</v>
      </c>
      <c r="BC18" s="256">
        <v>283</v>
      </c>
      <c r="BD18" s="256">
        <f t="shared" si="0"/>
        <v>862</v>
      </c>
    </row>
    <row r="19" spans="1:56" ht="45" customHeight="1">
      <c r="A19" s="248">
        <v>12</v>
      </c>
      <c r="B19" s="248" t="s">
        <v>203</v>
      </c>
      <c r="C19" s="248" t="s">
        <v>204</v>
      </c>
      <c r="D19" s="248" t="s">
        <v>182</v>
      </c>
      <c r="E19" s="248" t="s">
        <v>356</v>
      </c>
      <c r="F19" s="248" t="s">
        <v>143</v>
      </c>
      <c r="G19" s="248" t="s">
        <v>500</v>
      </c>
      <c r="H19" s="255">
        <v>101222359414</v>
      </c>
      <c r="I19" s="248">
        <v>4301489768</v>
      </c>
      <c r="J19" s="249">
        <v>579</v>
      </c>
      <c r="K19" s="249">
        <v>289</v>
      </c>
      <c r="L19" s="249">
        <v>868</v>
      </c>
      <c r="M19" s="249">
        <v>7</v>
      </c>
      <c r="N19" s="249">
        <v>5</v>
      </c>
      <c r="O19" s="249">
        <v>0</v>
      </c>
      <c r="P19" s="249">
        <v>2</v>
      </c>
      <c r="Q19" s="249">
        <v>0</v>
      </c>
      <c r="R19" s="249">
        <v>14</v>
      </c>
      <c r="S19" s="249">
        <v>8</v>
      </c>
      <c r="T19" s="249">
        <v>8106</v>
      </c>
      <c r="U19" s="249">
        <v>4046</v>
      </c>
      <c r="V19" s="249">
        <v>0</v>
      </c>
      <c r="W19" s="249">
        <v>12152</v>
      </c>
      <c r="X19" s="249">
        <v>1736</v>
      </c>
      <c r="Y19" s="249">
        <v>0</v>
      </c>
      <c r="Z19" s="249">
        <v>0</v>
      </c>
      <c r="AA19" s="249">
        <v>0</v>
      </c>
      <c r="AB19" s="249">
        <v>1012</v>
      </c>
      <c r="AC19" s="249">
        <v>480</v>
      </c>
      <c r="AD19" s="249">
        <v>4050</v>
      </c>
      <c r="AE19" s="249">
        <v>1944</v>
      </c>
      <c r="AF19" s="249">
        <v>0</v>
      </c>
      <c r="AG19" s="249">
        <v>280</v>
      </c>
      <c r="AH19" s="249">
        <v>21654</v>
      </c>
      <c r="AI19" s="249">
        <v>0</v>
      </c>
      <c r="AJ19" s="249">
        <v>1458</v>
      </c>
      <c r="AK19" s="249">
        <v>0</v>
      </c>
      <c r="AL19" s="249">
        <v>0</v>
      </c>
      <c r="AM19" s="249">
        <v>20196</v>
      </c>
      <c r="AN19" s="259">
        <v>1580</v>
      </c>
      <c r="AO19" s="259">
        <v>0</v>
      </c>
      <c r="AP19" s="257"/>
      <c r="AQ19" s="258"/>
      <c r="AR19" s="258" t="s">
        <v>501</v>
      </c>
      <c r="AS19" s="259" t="s">
        <v>204</v>
      </c>
      <c r="AT19" s="260">
        <v>13</v>
      </c>
      <c r="AU19" s="260">
        <v>7</v>
      </c>
      <c r="AV19" s="260">
        <v>0</v>
      </c>
      <c r="AW19" s="260">
        <v>1</v>
      </c>
      <c r="AX19" s="260">
        <v>36</v>
      </c>
      <c r="AY19" s="260">
        <v>0</v>
      </c>
      <c r="AZ19" s="264"/>
      <c r="BA19" s="264"/>
      <c r="BB19" s="256">
        <v>350</v>
      </c>
      <c r="BC19" s="256">
        <v>172</v>
      </c>
      <c r="BD19" s="256">
        <f t="shared" si="0"/>
        <v>522</v>
      </c>
    </row>
    <row r="20" spans="1:56" ht="45" customHeight="1">
      <c r="A20" s="248">
        <v>13</v>
      </c>
      <c r="B20" s="248" t="s">
        <v>205</v>
      </c>
      <c r="C20" s="248" t="s">
        <v>422</v>
      </c>
      <c r="D20" s="248" t="s">
        <v>196</v>
      </c>
      <c r="E20" s="248" t="s">
        <v>146</v>
      </c>
      <c r="F20" s="248" t="s">
        <v>361</v>
      </c>
      <c r="G20" s="248" t="s">
        <v>500</v>
      </c>
      <c r="H20" s="255">
        <v>101222360171</v>
      </c>
      <c r="I20" s="248">
        <v>4301489134</v>
      </c>
      <c r="J20" s="249">
        <v>350</v>
      </c>
      <c r="K20" s="249">
        <v>176</v>
      </c>
      <c r="L20" s="249">
        <v>526</v>
      </c>
      <c r="M20" s="249">
        <v>8</v>
      </c>
      <c r="N20" s="249">
        <v>10</v>
      </c>
      <c r="O20" s="249">
        <v>8</v>
      </c>
      <c r="P20" s="249">
        <v>0</v>
      </c>
      <c r="Q20" s="249">
        <v>0</v>
      </c>
      <c r="R20" s="249">
        <v>26</v>
      </c>
      <c r="S20" s="249">
        <v>0</v>
      </c>
      <c r="T20" s="249">
        <v>9100</v>
      </c>
      <c r="U20" s="249">
        <v>4576</v>
      </c>
      <c r="V20" s="249">
        <v>0</v>
      </c>
      <c r="W20" s="249">
        <v>13676</v>
      </c>
      <c r="X20" s="249">
        <v>0</v>
      </c>
      <c r="Y20" s="249">
        <v>0</v>
      </c>
      <c r="Z20" s="249">
        <v>0</v>
      </c>
      <c r="AA20" s="249">
        <v>662</v>
      </c>
      <c r="AB20" s="249">
        <v>1139</v>
      </c>
      <c r="AC20" s="249">
        <v>1120</v>
      </c>
      <c r="AD20" s="249">
        <v>4558</v>
      </c>
      <c r="AE20" s="249">
        <v>2188</v>
      </c>
      <c r="AF20" s="249">
        <v>0</v>
      </c>
      <c r="AG20" s="249">
        <v>520</v>
      </c>
      <c r="AH20" s="249">
        <v>23863</v>
      </c>
      <c r="AI20" s="249">
        <v>0</v>
      </c>
      <c r="AJ20" s="249">
        <v>1641</v>
      </c>
      <c r="AK20" s="249">
        <v>162</v>
      </c>
      <c r="AL20" s="249">
        <v>0</v>
      </c>
      <c r="AM20" s="249">
        <v>22060</v>
      </c>
      <c r="AN20" s="259">
        <v>1778</v>
      </c>
      <c r="AO20" s="259">
        <v>701</v>
      </c>
      <c r="AP20" s="257"/>
      <c r="AQ20" s="258"/>
      <c r="AR20" s="258" t="s">
        <v>501</v>
      </c>
      <c r="AS20" s="259" t="s">
        <v>422</v>
      </c>
      <c r="AT20" s="260">
        <v>8</v>
      </c>
      <c r="AU20" s="260">
        <v>10</v>
      </c>
      <c r="AV20" s="260">
        <v>8</v>
      </c>
      <c r="AW20" s="260">
        <v>0</v>
      </c>
      <c r="AX20" s="260">
        <v>4</v>
      </c>
      <c r="AY20" s="260">
        <v>0</v>
      </c>
      <c r="AZ20" s="264"/>
      <c r="BA20" s="264"/>
      <c r="BB20" s="256">
        <v>350</v>
      </c>
      <c r="BC20" s="256">
        <v>172</v>
      </c>
      <c r="BD20" s="256">
        <f t="shared" si="0"/>
        <v>522</v>
      </c>
    </row>
    <row r="21" spans="1:56" ht="45" customHeight="1">
      <c r="A21" s="248">
        <v>14</v>
      </c>
      <c r="B21" s="248" t="s">
        <v>206</v>
      </c>
      <c r="C21" s="248" t="s">
        <v>207</v>
      </c>
      <c r="D21" s="248" t="s">
        <v>182</v>
      </c>
      <c r="E21" s="248" t="s">
        <v>146</v>
      </c>
      <c r="F21" s="248" t="s">
        <v>361</v>
      </c>
      <c r="G21" s="248" t="s">
        <v>500</v>
      </c>
      <c r="H21" s="255">
        <v>101222359759</v>
      </c>
      <c r="I21" s="248">
        <v>4301489483</v>
      </c>
      <c r="J21" s="249">
        <v>350</v>
      </c>
      <c r="K21" s="249">
        <v>176</v>
      </c>
      <c r="L21" s="249">
        <v>526</v>
      </c>
      <c r="M21" s="249">
        <v>4</v>
      </c>
      <c r="N21" s="249">
        <v>0</v>
      </c>
      <c r="O21" s="249">
        <v>3</v>
      </c>
      <c r="P21" s="249">
        <v>0</v>
      </c>
      <c r="Q21" s="249">
        <v>0</v>
      </c>
      <c r="R21" s="249">
        <v>7</v>
      </c>
      <c r="S21" s="249">
        <v>0</v>
      </c>
      <c r="T21" s="249">
        <v>2450</v>
      </c>
      <c r="U21" s="249">
        <v>1232</v>
      </c>
      <c r="V21" s="249">
        <v>0</v>
      </c>
      <c r="W21" s="249">
        <v>3682</v>
      </c>
      <c r="X21" s="249">
        <v>0</v>
      </c>
      <c r="Y21" s="249">
        <v>0</v>
      </c>
      <c r="Z21" s="249">
        <v>0</v>
      </c>
      <c r="AA21" s="249">
        <v>0</v>
      </c>
      <c r="AB21" s="249">
        <v>307</v>
      </c>
      <c r="AC21" s="249">
        <v>310</v>
      </c>
      <c r="AD21" s="249">
        <v>1227</v>
      </c>
      <c r="AE21" s="249">
        <v>589</v>
      </c>
      <c r="AF21" s="249">
        <v>0</v>
      </c>
      <c r="AG21" s="249">
        <v>140</v>
      </c>
      <c r="AH21" s="249">
        <v>6255</v>
      </c>
      <c r="AI21" s="249">
        <v>0</v>
      </c>
      <c r="AJ21" s="249">
        <v>442</v>
      </c>
      <c r="AK21" s="249">
        <v>44</v>
      </c>
      <c r="AL21" s="249">
        <v>0</v>
      </c>
      <c r="AM21" s="249">
        <v>5769</v>
      </c>
      <c r="AN21" s="259">
        <v>479</v>
      </c>
      <c r="AO21" s="259">
        <v>189</v>
      </c>
      <c r="AP21" s="257"/>
      <c r="AQ21" s="258"/>
      <c r="AR21" s="258" t="s">
        <v>501</v>
      </c>
      <c r="AS21" s="259" t="s">
        <v>207</v>
      </c>
      <c r="AT21" s="260">
        <v>3</v>
      </c>
      <c r="AU21" s="260">
        <v>1</v>
      </c>
      <c r="AV21" s="260">
        <v>5</v>
      </c>
      <c r="AW21" s="260">
        <v>0</v>
      </c>
      <c r="AX21" s="260">
        <v>0</v>
      </c>
      <c r="AY21" s="260">
        <v>0</v>
      </c>
      <c r="AZ21" s="264"/>
      <c r="BA21" s="264"/>
      <c r="BB21" s="256">
        <v>350</v>
      </c>
      <c r="BC21" s="256">
        <v>172</v>
      </c>
      <c r="BD21" s="256">
        <f t="shared" si="0"/>
        <v>522</v>
      </c>
    </row>
    <row r="22" spans="1:57" ht="45" customHeight="1">
      <c r="A22" s="248">
        <v>15</v>
      </c>
      <c r="B22" s="248" t="s">
        <v>208</v>
      </c>
      <c r="C22" s="248" t="s">
        <v>209</v>
      </c>
      <c r="D22" s="248" t="s">
        <v>182</v>
      </c>
      <c r="E22" s="248" t="s">
        <v>146</v>
      </c>
      <c r="F22" s="248" t="s">
        <v>361</v>
      </c>
      <c r="G22" s="248" t="s">
        <v>500</v>
      </c>
      <c r="H22" s="255">
        <v>101222359553</v>
      </c>
      <c r="I22" s="248">
        <v>4301489517</v>
      </c>
      <c r="J22" s="249">
        <v>350</v>
      </c>
      <c r="K22" s="249">
        <v>176</v>
      </c>
      <c r="L22" s="249">
        <v>526</v>
      </c>
      <c r="M22" s="249">
        <v>8</v>
      </c>
      <c r="N22" s="249">
        <v>6</v>
      </c>
      <c r="O22" s="249">
        <v>8</v>
      </c>
      <c r="P22" s="249">
        <v>0</v>
      </c>
      <c r="Q22" s="249">
        <v>0</v>
      </c>
      <c r="R22" s="249">
        <v>22</v>
      </c>
      <c r="S22" s="249">
        <v>0</v>
      </c>
      <c r="T22" s="249">
        <v>7700</v>
      </c>
      <c r="U22" s="249">
        <v>3872</v>
      </c>
      <c r="V22" s="249">
        <v>0</v>
      </c>
      <c r="W22" s="249">
        <v>11572</v>
      </c>
      <c r="X22" s="249">
        <v>0</v>
      </c>
      <c r="Y22" s="249">
        <v>0</v>
      </c>
      <c r="Z22" s="249">
        <v>0</v>
      </c>
      <c r="AA22" s="249">
        <v>579</v>
      </c>
      <c r="AB22" s="249">
        <v>964</v>
      </c>
      <c r="AC22" s="249">
        <v>960</v>
      </c>
      <c r="AD22" s="249">
        <v>3857</v>
      </c>
      <c r="AE22" s="249">
        <v>1852</v>
      </c>
      <c r="AF22" s="249">
        <v>0</v>
      </c>
      <c r="AG22" s="249">
        <v>440</v>
      </c>
      <c r="AH22" s="249">
        <v>20224</v>
      </c>
      <c r="AI22" s="249">
        <v>0</v>
      </c>
      <c r="AJ22" s="249">
        <v>1389</v>
      </c>
      <c r="AK22" s="249">
        <v>137</v>
      </c>
      <c r="AL22" s="249">
        <v>0</v>
      </c>
      <c r="AM22" s="249">
        <v>18698</v>
      </c>
      <c r="AN22" s="259">
        <v>1504</v>
      </c>
      <c r="AO22" s="259">
        <v>593</v>
      </c>
      <c r="AP22" s="257"/>
      <c r="AQ22" s="258"/>
      <c r="AR22" s="258" t="s">
        <v>502</v>
      </c>
      <c r="AS22" s="259" t="s">
        <v>209</v>
      </c>
      <c r="AT22" s="260">
        <v>5</v>
      </c>
      <c r="AU22" s="260">
        <v>7</v>
      </c>
      <c r="AV22" s="260">
        <v>9</v>
      </c>
      <c r="AW22" s="260">
        <v>0</v>
      </c>
      <c r="AX22" s="260">
        <v>0</v>
      </c>
      <c r="AY22" s="260">
        <v>0</v>
      </c>
      <c r="AZ22" s="264"/>
      <c r="BA22" s="264"/>
      <c r="BB22" s="256">
        <v>410</v>
      </c>
      <c r="BC22" s="256">
        <v>200</v>
      </c>
      <c r="BD22" s="256">
        <f t="shared" si="0"/>
        <v>610</v>
      </c>
      <c r="BE22" t="s">
        <v>502</v>
      </c>
    </row>
    <row r="23" spans="1:57" ht="45" customHeight="1">
      <c r="A23" s="248">
        <v>16</v>
      </c>
      <c r="B23" s="248" t="s">
        <v>210</v>
      </c>
      <c r="C23" s="248" t="s">
        <v>211</v>
      </c>
      <c r="D23" s="248" t="s">
        <v>182</v>
      </c>
      <c r="E23" s="248" t="s">
        <v>145</v>
      </c>
      <c r="F23" s="248" t="s">
        <v>362</v>
      </c>
      <c r="G23" s="248" t="s">
        <v>500</v>
      </c>
      <c r="H23" s="255">
        <v>101222359446</v>
      </c>
      <c r="I23" s="248">
        <v>4301489756</v>
      </c>
      <c r="J23" s="249">
        <v>410</v>
      </c>
      <c r="K23" s="249">
        <v>204</v>
      </c>
      <c r="L23" s="249">
        <v>614</v>
      </c>
      <c r="M23" s="249">
        <v>8</v>
      </c>
      <c r="N23" s="249">
        <v>7</v>
      </c>
      <c r="O23" s="249">
        <v>11</v>
      </c>
      <c r="P23" s="249">
        <v>0</v>
      </c>
      <c r="Q23" s="249">
        <v>0</v>
      </c>
      <c r="R23" s="249">
        <v>26</v>
      </c>
      <c r="S23" s="249">
        <v>0</v>
      </c>
      <c r="T23" s="249">
        <v>10660</v>
      </c>
      <c r="U23" s="249">
        <v>5304</v>
      </c>
      <c r="V23" s="249">
        <v>0</v>
      </c>
      <c r="W23" s="249">
        <v>15964</v>
      </c>
      <c r="X23" s="249">
        <v>0</v>
      </c>
      <c r="Y23" s="249">
        <v>0</v>
      </c>
      <c r="Z23" s="249">
        <v>0</v>
      </c>
      <c r="AA23" s="249">
        <v>772</v>
      </c>
      <c r="AB23" s="249">
        <v>1330</v>
      </c>
      <c r="AC23" s="249">
        <v>1150</v>
      </c>
      <c r="AD23" s="249">
        <v>5321</v>
      </c>
      <c r="AE23" s="249">
        <v>2554</v>
      </c>
      <c r="AF23" s="249">
        <v>0</v>
      </c>
      <c r="AG23" s="249">
        <v>520</v>
      </c>
      <c r="AH23" s="249">
        <v>27611</v>
      </c>
      <c r="AI23" s="249">
        <v>0</v>
      </c>
      <c r="AJ23" s="249">
        <v>1800</v>
      </c>
      <c r="AK23" s="249">
        <v>0</v>
      </c>
      <c r="AL23" s="249">
        <v>0</v>
      </c>
      <c r="AM23" s="249">
        <v>25811</v>
      </c>
      <c r="AN23" s="259">
        <v>1950</v>
      </c>
      <c r="AO23" s="259">
        <v>0</v>
      </c>
      <c r="AP23" s="257"/>
      <c r="AQ23" s="258"/>
      <c r="AR23" s="258" t="s">
        <v>502</v>
      </c>
      <c r="AS23" s="259" t="s">
        <v>211</v>
      </c>
      <c r="AT23" s="260">
        <v>8</v>
      </c>
      <c r="AU23" s="260">
        <v>8</v>
      </c>
      <c r="AV23" s="260">
        <v>9</v>
      </c>
      <c r="AW23" s="260">
        <v>0</v>
      </c>
      <c r="AX23" s="260">
        <v>0</v>
      </c>
      <c r="AY23" s="260">
        <v>0</v>
      </c>
      <c r="AZ23" s="264"/>
      <c r="BA23" s="264"/>
      <c r="BB23" s="256">
        <v>494</v>
      </c>
      <c r="BC23" s="256">
        <v>240</v>
      </c>
      <c r="BD23" s="256">
        <f t="shared" si="0"/>
        <v>734</v>
      </c>
      <c r="BE23" t="s">
        <v>502</v>
      </c>
    </row>
    <row r="24" spans="1:56" ht="45" customHeight="1">
      <c r="A24" s="248">
        <v>17</v>
      </c>
      <c r="B24" s="248" t="s">
        <v>212</v>
      </c>
      <c r="C24" s="248" t="s">
        <v>213</v>
      </c>
      <c r="D24" s="248" t="s">
        <v>182</v>
      </c>
      <c r="E24" s="248" t="s">
        <v>144</v>
      </c>
      <c r="F24" s="248" t="s">
        <v>363</v>
      </c>
      <c r="G24" s="248" t="s">
        <v>500</v>
      </c>
      <c r="H24" s="255">
        <v>101222359873</v>
      </c>
      <c r="I24" s="248">
        <v>4301489387</v>
      </c>
      <c r="J24" s="249">
        <v>494</v>
      </c>
      <c r="K24" s="249">
        <v>245</v>
      </c>
      <c r="L24" s="249">
        <v>739</v>
      </c>
      <c r="M24" s="249">
        <v>9</v>
      </c>
      <c r="N24" s="249">
        <v>7</v>
      </c>
      <c r="O24" s="249">
        <v>11</v>
      </c>
      <c r="P24" s="249">
        <v>0</v>
      </c>
      <c r="Q24" s="249">
        <v>0</v>
      </c>
      <c r="R24" s="249">
        <v>27</v>
      </c>
      <c r="S24" s="249">
        <v>0</v>
      </c>
      <c r="T24" s="249">
        <v>13338</v>
      </c>
      <c r="U24" s="249">
        <v>6615</v>
      </c>
      <c r="V24" s="249">
        <v>0</v>
      </c>
      <c r="W24" s="249">
        <v>19953</v>
      </c>
      <c r="X24" s="249">
        <v>0</v>
      </c>
      <c r="Y24" s="249">
        <v>0</v>
      </c>
      <c r="Z24" s="249">
        <v>0</v>
      </c>
      <c r="AA24" s="249">
        <v>930</v>
      </c>
      <c r="AB24" s="249">
        <v>1662</v>
      </c>
      <c r="AC24" s="249">
        <v>1190</v>
      </c>
      <c r="AD24" s="249">
        <v>6650</v>
      </c>
      <c r="AE24" s="249">
        <v>3192</v>
      </c>
      <c r="AF24" s="249">
        <v>0</v>
      </c>
      <c r="AG24" s="249">
        <v>540</v>
      </c>
      <c r="AH24" s="249">
        <v>34117</v>
      </c>
      <c r="AI24" s="249">
        <v>0</v>
      </c>
      <c r="AJ24" s="249">
        <v>1800</v>
      </c>
      <c r="AK24" s="249">
        <v>0</v>
      </c>
      <c r="AL24" s="249">
        <v>0</v>
      </c>
      <c r="AM24" s="249">
        <v>32317</v>
      </c>
      <c r="AN24" s="259">
        <v>1950</v>
      </c>
      <c r="AO24" s="259">
        <v>0</v>
      </c>
      <c r="AP24" s="257"/>
      <c r="AQ24" s="258"/>
      <c r="AR24" s="258" t="s">
        <v>501</v>
      </c>
      <c r="AS24" s="259" t="s">
        <v>213</v>
      </c>
      <c r="AT24" s="260">
        <v>8</v>
      </c>
      <c r="AU24" s="260">
        <v>8</v>
      </c>
      <c r="AV24" s="260">
        <v>10</v>
      </c>
      <c r="AW24" s="260">
        <v>0</v>
      </c>
      <c r="AX24" s="260">
        <v>0</v>
      </c>
      <c r="AY24" s="260">
        <v>0</v>
      </c>
      <c r="AZ24" s="264"/>
      <c r="BA24" s="264"/>
      <c r="BB24" s="256">
        <v>410</v>
      </c>
      <c r="BC24" s="256">
        <v>200</v>
      </c>
      <c r="BD24" s="256">
        <f t="shared" si="0"/>
        <v>610</v>
      </c>
    </row>
    <row r="25" spans="1:56" ht="45" customHeight="1">
      <c r="A25" s="248">
        <v>18</v>
      </c>
      <c r="B25" s="248" t="s">
        <v>423</v>
      </c>
      <c r="C25" s="248" t="s">
        <v>424</v>
      </c>
      <c r="D25" s="248" t="s">
        <v>196</v>
      </c>
      <c r="E25" s="248" t="s">
        <v>145</v>
      </c>
      <c r="F25" s="248" t="s">
        <v>362</v>
      </c>
      <c r="G25" s="248" t="s">
        <v>500</v>
      </c>
      <c r="H25" s="255">
        <v>101222360035</v>
      </c>
      <c r="I25" s="248">
        <v>4301489317</v>
      </c>
      <c r="J25" s="249">
        <v>410</v>
      </c>
      <c r="K25" s="249">
        <v>204</v>
      </c>
      <c r="L25" s="249">
        <v>614</v>
      </c>
      <c r="M25" s="249">
        <v>0</v>
      </c>
      <c r="N25" s="249">
        <v>1</v>
      </c>
      <c r="O25" s="249">
        <v>0</v>
      </c>
      <c r="P25" s="249">
        <v>14</v>
      </c>
      <c r="Q25" s="249">
        <v>0</v>
      </c>
      <c r="R25" s="249">
        <v>15</v>
      </c>
      <c r="S25" s="249">
        <v>0</v>
      </c>
      <c r="T25" s="249">
        <v>6150</v>
      </c>
      <c r="U25" s="249">
        <v>3060</v>
      </c>
      <c r="V25" s="249">
        <v>4</v>
      </c>
      <c r="W25" s="249">
        <v>9210</v>
      </c>
      <c r="X25" s="249">
        <v>0</v>
      </c>
      <c r="Y25" s="249">
        <v>0</v>
      </c>
      <c r="Z25" s="249">
        <v>0</v>
      </c>
      <c r="AA25" s="249">
        <v>0</v>
      </c>
      <c r="AB25" s="249">
        <v>767</v>
      </c>
      <c r="AC25" s="249">
        <v>40</v>
      </c>
      <c r="AD25" s="249">
        <v>3070</v>
      </c>
      <c r="AE25" s="249">
        <v>1474</v>
      </c>
      <c r="AF25" s="249">
        <v>2456</v>
      </c>
      <c r="AG25" s="249">
        <v>300</v>
      </c>
      <c r="AH25" s="249">
        <v>17317</v>
      </c>
      <c r="AI25" s="249">
        <v>0</v>
      </c>
      <c r="AJ25" s="249">
        <v>1105</v>
      </c>
      <c r="AK25" s="249">
        <v>0</v>
      </c>
      <c r="AL25" s="249">
        <v>0</v>
      </c>
      <c r="AM25" s="249">
        <v>16212</v>
      </c>
      <c r="AN25" s="259">
        <v>1197</v>
      </c>
      <c r="AO25" s="259">
        <v>0</v>
      </c>
      <c r="AP25" s="257"/>
      <c r="AQ25" s="258"/>
      <c r="AR25" s="258" t="s">
        <v>501</v>
      </c>
      <c r="AS25" s="259" t="s">
        <v>424</v>
      </c>
      <c r="AT25" s="260">
        <v>0</v>
      </c>
      <c r="AU25" s="260">
        <v>8</v>
      </c>
      <c r="AV25" s="260">
        <v>0</v>
      </c>
      <c r="AW25" s="260">
        <v>18</v>
      </c>
      <c r="AX25" s="260">
        <v>8</v>
      </c>
      <c r="AY25" s="260">
        <v>0</v>
      </c>
      <c r="AZ25" s="264"/>
      <c r="BA25" s="264"/>
      <c r="BB25" s="256">
        <v>350</v>
      </c>
      <c r="BC25" s="256">
        <v>172</v>
      </c>
      <c r="BD25" s="256">
        <f t="shared" si="0"/>
        <v>522</v>
      </c>
    </row>
    <row r="26" spans="1:56" ht="45" customHeight="1">
      <c r="A26" s="248">
        <v>19</v>
      </c>
      <c r="B26" s="248" t="s">
        <v>214</v>
      </c>
      <c r="C26" s="248" t="s">
        <v>425</v>
      </c>
      <c r="D26" s="248" t="s">
        <v>196</v>
      </c>
      <c r="E26" s="248" t="s">
        <v>146</v>
      </c>
      <c r="F26" s="248" t="s">
        <v>361</v>
      </c>
      <c r="G26" s="248" t="s">
        <v>500</v>
      </c>
      <c r="H26" s="255">
        <v>101222360222</v>
      </c>
      <c r="I26" s="248">
        <v>4301489126</v>
      </c>
      <c r="J26" s="249">
        <v>350</v>
      </c>
      <c r="K26" s="249">
        <v>176</v>
      </c>
      <c r="L26" s="249">
        <v>526</v>
      </c>
      <c r="M26" s="249">
        <v>0</v>
      </c>
      <c r="N26" s="249">
        <v>0</v>
      </c>
      <c r="O26" s="249">
        <v>0</v>
      </c>
      <c r="P26" s="249">
        <v>25</v>
      </c>
      <c r="Q26" s="249">
        <v>0</v>
      </c>
      <c r="R26" s="249">
        <v>25</v>
      </c>
      <c r="S26" s="249">
        <v>0</v>
      </c>
      <c r="T26" s="249">
        <v>8750</v>
      </c>
      <c r="U26" s="249">
        <v>4400</v>
      </c>
      <c r="V26" s="249">
        <v>1</v>
      </c>
      <c r="W26" s="249">
        <v>13150</v>
      </c>
      <c r="X26" s="249">
        <v>0</v>
      </c>
      <c r="Y26" s="249">
        <v>0</v>
      </c>
      <c r="Z26" s="249">
        <v>0</v>
      </c>
      <c r="AA26" s="249">
        <v>658</v>
      </c>
      <c r="AB26" s="249">
        <v>1095</v>
      </c>
      <c r="AC26" s="249">
        <v>0</v>
      </c>
      <c r="AD26" s="249">
        <v>4383</v>
      </c>
      <c r="AE26" s="249">
        <v>2104</v>
      </c>
      <c r="AF26" s="249">
        <v>526</v>
      </c>
      <c r="AG26" s="249">
        <v>500</v>
      </c>
      <c r="AH26" s="249">
        <v>22416</v>
      </c>
      <c r="AI26" s="249">
        <v>0</v>
      </c>
      <c r="AJ26" s="249">
        <v>1578</v>
      </c>
      <c r="AK26" s="249">
        <v>148</v>
      </c>
      <c r="AL26" s="249">
        <v>0</v>
      </c>
      <c r="AM26" s="249">
        <v>20690</v>
      </c>
      <c r="AN26" s="259">
        <v>1710</v>
      </c>
      <c r="AO26" s="259">
        <v>639</v>
      </c>
      <c r="AP26" s="257"/>
      <c r="AQ26" s="258"/>
      <c r="AR26" s="258" t="s">
        <v>501</v>
      </c>
      <c r="AS26" s="259" t="s">
        <v>425</v>
      </c>
      <c r="AT26" s="260">
        <v>0</v>
      </c>
      <c r="AU26" s="260">
        <v>0</v>
      </c>
      <c r="AV26" s="260">
        <v>0</v>
      </c>
      <c r="AW26" s="260">
        <v>25</v>
      </c>
      <c r="AX26" s="260">
        <v>0</v>
      </c>
      <c r="AY26" s="260">
        <v>0</v>
      </c>
      <c r="AZ26" s="264"/>
      <c r="BA26" s="264"/>
      <c r="BB26" s="256">
        <v>579</v>
      </c>
      <c r="BC26" s="256">
        <v>283</v>
      </c>
      <c r="BD26" s="256">
        <f t="shared" si="0"/>
        <v>862</v>
      </c>
    </row>
    <row r="27" spans="1:56" ht="45" customHeight="1">
      <c r="A27" s="248">
        <v>20</v>
      </c>
      <c r="B27" s="248" t="s">
        <v>215</v>
      </c>
      <c r="C27" s="248" t="s">
        <v>216</v>
      </c>
      <c r="D27" s="248" t="s">
        <v>196</v>
      </c>
      <c r="E27" s="248" t="s">
        <v>145</v>
      </c>
      <c r="F27" s="248" t="s">
        <v>362</v>
      </c>
      <c r="G27" s="248" t="s">
        <v>500</v>
      </c>
      <c r="H27" s="255">
        <v>101222360088</v>
      </c>
      <c r="I27" s="248">
        <v>4301489303</v>
      </c>
      <c r="J27" s="249">
        <v>410</v>
      </c>
      <c r="K27" s="249">
        <v>204</v>
      </c>
      <c r="L27" s="249">
        <v>614</v>
      </c>
      <c r="M27" s="249">
        <v>4</v>
      </c>
      <c r="N27" s="249">
        <v>4</v>
      </c>
      <c r="O27" s="249">
        <v>4</v>
      </c>
      <c r="P27" s="249">
        <v>12</v>
      </c>
      <c r="Q27" s="249">
        <v>0</v>
      </c>
      <c r="R27" s="249">
        <v>24</v>
      </c>
      <c r="S27" s="249">
        <v>8</v>
      </c>
      <c r="T27" s="249">
        <v>9840</v>
      </c>
      <c r="U27" s="249">
        <v>4896</v>
      </c>
      <c r="V27" s="249">
        <v>2</v>
      </c>
      <c r="W27" s="249">
        <v>14736</v>
      </c>
      <c r="X27" s="249">
        <v>1228</v>
      </c>
      <c r="Y27" s="249">
        <v>0</v>
      </c>
      <c r="Z27" s="249">
        <v>0</v>
      </c>
      <c r="AA27" s="249">
        <v>737</v>
      </c>
      <c r="AB27" s="249">
        <v>1228</v>
      </c>
      <c r="AC27" s="249">
        <v>520</v>
      </c>
      <c r="AD27" s="249">
        <v>4912</v>
      </c>
      <c r="AE27" s="249">
        <v>2358</v>
      </c>
      <c r="AF27" s="249">
        <v>1228</v>
      </c>
      <c r="AG27" s="249">
        <v>480</v>
      </c>
      <c r="AH27" s="249">
        <v>27427</v>
      </c>
      <c r="AI27" s="249">
        <v>0</v>
      </c>
      <c r="AJ27" s="249">
        <v>1768</v>
      </c>
      <c r="AK27" s="249">
        <v>0</v>
      </c>
      <c r="AL27" s="249">
        <v>0</v>
      </c>
      <c r="AM27" s="249">
        <v>25659</v>
      </c>
      <c r="AN27" s="259">
        <v>1916</v>
      </c>
      <c r="AO27" s="259">
        <v>0</v>
      </c>
      <c r="AP27" s="257"/>
      <c r="AQ27" s="258"/>
      <c r="AR27" s="258" t="s">
        <v>501</v>
      </c>
      <c r="AS27" s="259" t="s">
        <v>216</v>
      </c>
      <c r="AT27" s="260">
        <v>4</v>
      </c>
      <c r="AU27" s="260">
        <v>4</v>
      </c>
      <c r="AV27" s="260">
        <v>4</v>
      </c>
      <c r="AW27" s="260">
        <v>13</v>
      </c>
      <c r="AX27" s="260">
        <v>0</v>
      </c>
      <c r="AY27" s="260">
        <v>0</v>
      </c>
      <c r="AZ27" s="264"/>
      <c r="BA27" s="264"/>
      <c r="BB27" s="256">
        <v>410</v>
      </c>
      <c r="BC27" s="256">
        <v>200</v>
      </c>
      <c r="BD27" s="256">
        <f t="shared" si="0"/>
        <v>610</v>
      </c>
    </row>
    <row r="28" spans="1:56" ht="45" customHeight="1">
      <c r="A28" s="248">
        <v>21</v>
      </c>
      <c r="B28" s="248" t="s">
        <v>217</v>
      </c>
      <c r="C28" s="248" t="s">
        <v>218</v>
      </c>
      <c r="D28" s="248" t="s">
        <v>196</v>
      </c>
      <c r="E28" s="248" t="s">
        <v>146</v>
      </c>
      <c r="F28" s="248" t="s">
        <v>361</v>
      </c>
      <c r="G28" s="248" t="s">
        <v>500</v>
      </c>
      <c r="H28" s="255">
        <v>101222360192</v>
      </c>
      <c r="I28" s="248">
        <v>4301489130</v>
      </c>
      <c r="J28" s="249">
        <v>350</v>
      </c>
      <c r="K28" s="249">
        <v>176</v>
      </c>
      <c r="L28" s="249">
        <v>526</v>
      </c>
      <c r="M28" s="249">
        <v>10</v>
      </c>
      <c r="N28" s="249">
        <v>10</v>
      </c>
      <c r="O28" s="249">
        <v>8</v>
      </c>
      <c r="P28" s="249">
        <v>0</v>
      </c>
      <c r="Q28" s="249">
        <v>0</v>
      </c>
      <c r="R28" s="249">
        <v>28</v>
      </c>
      <c r="S28" s="249">
        <v>4</v>
      </c>
      <c r="T28" s="249">
        <v>9800</v>
      </c>
      <c r="U28" s="249">
        <v>4928</v>
      </c>
      <c r="V28" s="249">
        <v>0</v>
      </c>
      <c r="W28" s="249">
        <v>14728</v>
      </c>
      <c r="X28" s="249">
        <v>526</v>
      </c>
      <c r="Y28" s="249">
        <v>0</v>
      </c>
      <c r="Z28" s="249">
        <v>0</v>
      </c>
      <c r="AA28" s="249">
        <v>662</v>
      </c>
      <c r="AB28" s="249">
        <v>1227</v>
      </c>
      <c r="AC28" s="249">
        <v>1200</v>
      </c>
      <c r="AD28" s="249">
        <v>4909</v>
      </c>
      <c r="AE28" s="249">
        <v>2356</v>
      </c>
      <c r="AF28" s="249">
        <v>0</v>
      </c>
      <c r="AG28" s="249">
        <v>560</v>
      </c>
      <c r="AH28" s="249">
        <v>26168</v>
      </c>
      <c r="AI28" s="249">
        <v>0</v>
      </c>
      <c r="AJ28" s="249">
        <v>1767</v>
      </c>
      <c r="AK28" s="249">
        <v>178</v>
      </c>
      <c r="AL28" s="249">
        <v>0</v>
      </c>
      <c r="AM28" s="249">
        <v>24223</v>
      </c>
      <c r="AN28" s="259">
        <v>1915</v>
      </c>
      <c r="AO28" s="259">
        <v>771</v>
      </c>
      <c r="AP28" s="257"/>
      <c r="AQ28" s="258"/>
      <c r="AR28" s="258" t="s">
        <v>501</v>
      </c>
      <c r="AS28" s="259" t="s">
        <v>218</v>
      </c>
      <c r="AT28" s="260">
        <v>10</v>
      </c>
      <c r="AU28" s="260">
        <v>9</v>
      </c>
      <c r="AV28" s="260">
        <v>8</v>
      </c>
      <c r="AW28" s="260">
        <v>0</v>
      </c>
      <c r="AX28" s="260">
        <v>16</v>
      </c>
      <c r="AY28" s="260">
        <v>0</v>
      </c>
      <c r="AZ28" s="264"/>
      <c r="BA28" s="264"/>
      <c r="BB28" s="256">
        <v>350</v>
      </c>
      <c r="BC28" s="256">
        <v>172</v>
      </c>
      <c r="BD28" s="256">
        <f t="shared" si="0"/>
        <v>522</v>
      </c>
    </row>
    <row r="29" spans="1:56" ht="45" customHeight="1">
      <c r="A29" s="248">
        <v>22</v>
      </c>
      <c r="B29" s="248" t="s">
        <v>219</v>
      </c>
      <c r="C29" s="248" t="s">
        <v>220</v>
      </c>
      <c r="D29" s="248" t="s">
        <v>196</v>
      </c>
      <c r="E29" s="248" t="s">
        <v>145</v>
      </c>
      <c r="F29" s="248" t="s">
        <v>362</v>
      </c>
      <c r="G29" s="248" t="s">
        <v>500</v>
      </c>
      <c r="H29" s="255">
        <v>101222360026</v>
      </c>
      <c r="I29" s="248">
        <v>4301489321</v>
      </c>
      <c r="J29" s="249">
        <v>410</v>
      </c>
      <c r="K29" s="249">
        <v>204</v>
      </c>
      <c r="L29" s="249">
        <v>614</v>
      </c>
      <c r="M29" s="249">
        <v>9</v>
      </c>
      <c r="N29" s="249">
        <v>11</v>
      </c>
      <c r="O29" s="249">
        <v>10</v>
      </c>
      <c r="P29" s="249">
        <v>0</v>
      </c>
      <c r="Q29" s="249">
        <v>0</v>
      </c>
      <c r="R29" s="249">
        <v>30</v>
      </c>
      <c r="S29" s="249">
        <v>28</v>
      </c>
      <c r="T29" s="249">
        <v>12300</v>
      </c>
      <c r="U29" s="249">
        <v>6120</v>
      </c>
      <c r="V29" s="249">
        <v>0</v>
      </c>
      <c r="W29" s="249">
        <v>18420</v>
      </c>
      <c r="X29" s="249">
        <v>4298</v>
      </c>
      <c r="Y29" s="249">
        <v>0</v>
      </c>
      <c r="Z29" s="249">
        <v>0</v>
      </c>
      <c r="AA29" s="249">
        <v>772</v>
      </c>
      <c r="AB29" s="249">
        <v>1534</v>
      </c>
      <c r="AC29" s="249">
        <v>1300</v>
      </c>
      <c r="AD29" s="249">
        <v>6139</v>
      </c>
      <c r="AE29" s="249">
        <v>2947</v>
      </c>
      <c r="AF29" s="249">
        <v>0</v>
      </c>
      <c r="AG29" s="249">
        <v>600</v>
      </c>
      <c r="AH29" s="249">
        <v>36010</v>
      </c>
      <c r="AI29" s="249">
        <v>0</v>
      </c>
      <c r="AJ29" s="249">
        <v>1800</v>
      </c>
      <c r="AK29" s="249">
        <v>0</v>
      </c>
      <c r="AL29" s="249">
        <v>0</v>
      </c>
      <c r="AM29" s="249">
        <v>34210</v>
      </c>
      <c r="AN29" s="259">
        <v>1950</v>
      </c>
      <c r="AO29" s="259">
        <v>0</v>
      </c>
      <c r="AP29" s="257"/>
      <c r="AQ29" s="258"/>
      <c r="AR29" s="258" t="s">
        <v>501</v>
      </c>
      <c r="AS29" s="259" t="s">
        <v>220</v>
      </c>
      <c r="AT29" s="260">
        <v>10</v>
      </c>
      <c r="AU29" s="260">
        <v>5</v>
      </c>
      <c r="AV29" s="260">
        <v>10</v>
      </c>
      <c r="AW29" s="260">
        <v>0</v>
      </c>
      <c r="AX29" s="260">
        <v>20</v>
      </c>
      <c r="AY29" s="260">
        <v>1</v>
      </c>
      <c r="AZ29" s="264"/>
      <c r="BA29" s="264"/>
      <c r="BB29" s="256">
        <v>410</v>
      </c>
      <c r="BC29" s="256">
        <v>200</v>
      </c>
      <c r="BD29" s="256">
        <f t="shared" si="0"/>
        <v>610</v>
      </c>
    </row>
    <row r="30" spans="1:56" ht="45" customHeight="1">
      <c r="A30" s="248">
        <v>23</v>
      </c>
      <c r="B30" s="248" t="s">
        <v>221</v>
      </c>
      <c r="C30" s="248" t="s">
        <v>222</v>
      </c>
      <c r="D30" s="248" t="s">
        <v>182</v>
      </c>
      <c r="E30" s="248" t="s">
        <v>146</v>
      </c>
      <c r="F30" s="248" t="s">
        <v>361</v>
      </c>
      <c r="G30" s="248" t="s">
        <v>500</v>
      </c>
      <c r="H30" s="255">
        <v>101222359856</v>
      </c>
      <c r="I30" s="248">
        <v>4301489392</v>
      </c>
      <c r="J30" s="249">
        <v>350</v>
      </c>
      <c r="K30" s="249">
        <v>176</v>
      </c>
      <c r="L30" s="249">
        <v>526</v>
      </c>
      <c r="M30" s="249">
        <v>12</v>
      </c>
      <c r="N30" s="249">
        <v>8</v>
      </c>
      <c r="O30" s="249">
        <v>7</v>
      </c>
      <c r="P30" s="249">
        <v>0</v>
      </c>
      <c r="Q30" s="249">
        <v>0</v>
      </c>
      <c r="R30" s="249">
        <v>27</v>
      </c>
      <c r="S30" s="249">
        <v>0</v>
      </c>
      <c r="T30" s="249">
        <v>9450</v>
      </c>
      <c r="U30" s="249">
        <v>4752</v>
      </c>
      <c r="V30" s="249">
        <v>0</v>
      </c>
      <c r="W30" s="249">
        <v>14202</v>
      </c>
      <c r="X30" s="249">
        <v>0</v>
      </c>
      <c r="Y30" s="249">
        <v>0</v>
      </c>
      <c r="Z30" s="249">
        <v>0</v>
      </c>
      <c r="AA30" s="249">
        <v>662</v>
      </c>
      <c r="AB30" s="249">
        <v>1183</v>
      </c>
      <c r="AC30" s="249">
        <v>1150</v>
      </c>
      <c r="AD30" s="249">
        <v>4734</v>
      </c>
      <c r="AE30" s="249">
        <v>2272</v>
      </c>
      <c r="AF30" s="249">
        <v>0</v>
      </c>
      <c r="AG30" s="249">
        <v>540</v>
      </c>
      <c r="AH30" s="249">
        <v>24743</v>
      </c>
      <c r="AI30" s="249">
        <v>0</v>
      </c>
      <c r="AJ30" s="249">
        <v>1704</v>
      </c>
      <c r="AK30" s="249">
        <v>168</v>
      </c>
      <c r="AL30" s="249">
        <v>0</v>
      </c>
      <c r="AM30" s="249">
        <v>22871</v>
      </c>
      <c r="AN30" s="259">
        <v>1846</v>
      </c>
      <c r="AO30" s="259">
        <v>727</v>
      </c>
      <c r="AP30" s="257"/>
      <c r="AQ30" s="258"/>
      <c r="AR30" s="258" t="s">
        <v>501</v>
      </c>
      <c r="AS30" s="259" t="s">
        <v>222</v>
      </c>
      <c r="AT30" s="260">
        <v>7</v>
      </c>
      <c r="AU30" s="260">
        <v>6</v>
      </c>
      <c r="AV30" s="260">
        <v>6</v>
      </c>
      <c r="AW30" s="260">
        <v>0</v>
      </c>
      <c r="AX30" s="260">
        <v>4</v>
      </c>
      <c r="AY30" s="260">
        <v>0</v>
      </c>
      <c r="AZ30" s="264"/>
      <c r="BA30" s="264"/>
      <c r="BB30" s="256">
        <v>350</v>
      </c>
      <c r="BC30" s="256">
        <v>172</v>
      </c>
      <c r="BD30" s="256">
        <f t="shared" si="0"/>
        <v>522</v>
      </c>
    </row>
    <row r="31" spans="1:56" ht="45" customHeight="1">
      <c r="A31" s="248">
        <v>24</v>
      </c>
      <c r="B31" s="248" t="s">
        <v>223</v>
      </c>
      <c r="C31" s="248" t="s">
        <v>426</v>
      </c>
      <c r="D31" s="248" t="s">
        <v>196</v>
      </c>
      <c r="E31" s="248" t="s">
        <v>146</v>
      </c>
      <c r="F31" s="248" t="s">
        <v>361</v>
      </c>
      <c r="G31" s="248" t="s">
        <v>500</v>
      </c>
      <c r="H31" s="255">
        <v>101222360128</v>
      </c>
      <c r="I31" s="248">
        <v>4301489289</v>
      </c>
      <c r="J31" s="249">
        <v>350</v>
      </c>
      <c r="K31" s="249">
        <v>176</v>
      </c>
      <c r="L31" s="249">
        <v>526</v>
      </c>
      <c r="M31" s="249">
        <v>0</v>
      </c>
      <c r="N31" s="249">
        <v>0</v>
      </c>
      <c r="O31" s="249">
        <v>0</v>
      </c>
      <c r="P31" s="249">
        <v>26</v>
      </c>
      <c r="Q31" s="249">
        <v>0</v>
      </c>
      <c r="R31" s="249">
        <v>26</v>
      </c>
      <c r="S31" s="249">
        <v>0</v>
      </c>
      <c r="T31" s="249">
        <v>9100</v>
      </c>
      <c r="U31" s="249">
        <v>4576</v>
      </c>
      <c r="V31" s="249">
        <v>0</v>
      </c>
      <c r="W31" s="249">
        <v>13676</v>
      </c>
      <c r="X31" s="249">
        <v>0</v>
      </c>
      <c r="Y31" s="249">
        <v>0</v>
      </c>
      <c r="Z31" s="249">
        <v>0</v>
      </c>
      <c r="AA31" s="249">
        <v>662</v>
      </c>
      <c r="AB31" s="249">
        <v>1139</v>
      </c>
      <c r="AC31" s="249">
        <v>0</v>
      </c>
      <c r="AD31" s="249">
        <v>4558</v>
      </c>
      <c r="AE31" s="249">
        <v>2188</v>
      </c>
      <c r="AF31" s="249">
        <v>0</v>
      </c>
      <c r="AG31" s="249">
        <v>520</v>
      </c>
      <c r="AH31" s="249">
        <v>22743</v>
      </c>
      <c r="AI31" s="249">
        <v>0</v>
      </c>
      <c r="AJ31" s="249">
        <v>1641</v>
      </c>
      <c r="AK31" s="249">
        <v>154</v>
      </c>
      <c r="AL31" s="249">
        <v>0</v>
      </c>
      <c r="AM31" s="249">
        <v>20948</v>
      </c>
      <c r="AN31" s="259">
        <v>1778</v>
      </c>
      <c r="AO31" s="259">
        <v>664</v>
      </c>
      <c r="AP31" s="257"/>
      <c r="AQ31" s="258"/>
      <c r="AR31" s="258" t="s">
        <v>501</v>
      </c>
      <c r="AS31" s="259" t="s">
        <v>426</v>
      </c>
      <c r="AT31" s="260">
        <v>0</v>
      </c>
      <c r="AU31" s="260">
        <v>0</v>
      </c>
      <c r="AV31" s="260">
        <v>0</v>
      </c>
      <c r="AW31" s="260">
        <v>25</v>
      </c>
      <c r="AX31" s="260">
        <v>0</v>
      </c>
      <c r="AY31" s="260">
        <v>0</v>
      </c>
      <c r="AZ31" s="264"/>
      <c r="BA31" s="264"/>
      <c r="BB31" s="256">
        <v>350</v>
      </c>
      <c r="BC31" s="256">
        <v>172</v>
      </c>
      <c r="BD31" s="256">
        <f t="shared" si="0"/>
        <v>522</v>
      </c>
    </row>
    <row r="32" spans="1:56" ht="45" customHeight="1">
      <c r="A32" s="248">
        <v>25</v>
      </c>
      <c r="B32" s="248" t="s">
        <v>224</v>
      </c>
      <c r="C32" s="248" t="s">
        <v>134</v>
      </c>
      <c r="D32" s="248" t="s">
        <v>182</v>
      </c>
      <c r="E32" s="248" t="s">
        <v>145</v>
      </c>
      <c r="F32" s="248" t="s">
        <v>362</v>
      </c>
      <c r="G32" s="248" t="s">
        <v>500</v>
      </c>
      <c r="H32" s="255">
        <v>101222359650</v>
      </c>
      <c r="I32" s="248">
        <v>4301489501</v>
      </c>
      <c r="J32" s="249">
        <v>410</v>
      </c>
      <c r="K32" s="249">
        <v>204</v>
      </c>
      <c r="L32" s="249">
        <v>614</v>
      </c>
      <c r="M32" s="249">
        <v>0</v>
      </c>
      <c r="N32" s="249">
        <v>0</v>
      </c>
      <c r="O32" s="249">
        <v>0</v>
      </c>
      <c r="P32" s="249">
        <v>24</v>
      </c>
      <c r="Q32" s="249">
        <v>0</v>
      </c>
      <c r="R32" s="249">
        <v>24</v>
      </c>
      <c r="S32" s="249">
        <v>0</v>
      </c>
      <c r="T32" s="249">
        <v>9840</v>
      </c>
      <c r="U32" s="249">
        <v>4896</v>
      </c>
      <c r="V32" s="249">
        <v>2</v>
      </c>
      <c r="W32" s="249">
        <v>14736</v>
      </c>
      <c r="X32" s="249">
        <v>0</v>
      </c>
      <c r="Y32" s="249">
        <v>0</v>
      </c>
      <c r="Z32" s="249">
        <v>0</v>
      </c>
      <c r="AA32" s="249">
        <v>737</v>
      </c>
      <c r="AB32" s="249">
        <v>1228</v>
      </c>
      <c r="AC32" s="249">
        <v>0</v>
      </c>
      <c r="AD32" s="249">
        <v>4912</v>
      </c>
      <c r="AE32" s="249">
        <v>2358</v>
      </c>
      <c r="AF32" s="249">
        <v>1228</v>
      </c>
      <c r="AG32" s="249">
        <v>480</v>
      </c>
      <c r="AH32" s="249">
        <v>25679</v>
      </c>
      <c r="AI32" s="249">
        <v>0</v>
      </c>
      <c r="AJ32" s="249">
        <v>1768</v>
      </c>
      <c r="AK32" s="249">
        <v>0</v>
      </c>
      <c r="AL32" s="249">
        <v>0</v>
      </c>
      <c r="AM32" s="249">
        <v>23911</v>
      </c>
      <c r="AN32" s="259">
        <v>1916</v>
      </c>
      <c r="AO32" s="259">
        <v>0</v>
      </c>
      <c r="AP32" s="257"/>
      <c r="AQ32" s="258"/>
      <c r="AR32" s="258" t="s">
        <v>501</v>
      </c>
      <c r="AS32" s="259" t="s">
        <v>134</v>
      </c>
      <c r="AT32" s="260">
        <v>0</v>
      </c>
      <c r="AU32" s="260">
        <v>0</v>
      </c>
      <c r="AV32" s="260">
        <v>0</v>
      </c>
      <c r="AW32" s="260">
        <v>23</v>
      </c>
      <c r="AX32" s="260">
        <v>0</v>
      </c>
      <c r="AY32" s="260">
        <v>0</v>
      </c>
      <c r="AZ32" s="264"/>
      <c r="BA32" s="264"/>
      <c r="BB32" s="256">
        <v>410</v>
      </c>
      <c r="BC32" s="256">
        <v>200</v>
      </c>
      <c r="BD32" s="256">
        <f t="shared" si="0"/>
        <v>610</v>
      </c>
    </row>
    <row r="33" spans="1:56" ht="45" customHeight="1">
      <c r="A33" s="248">
        <v>26</v>
      </c>
      <c r="B33" s="248" t="s">
        <v>225</v>
      </c>
      <c r="C33" s="248" t="s">
        <v>226</v>
      </c>
      <c r="D33" s="248" t="s">
        <v>182</v>
      </c>
      <c r="E33" s="248" t="s">
        <v>145</v>
      </c>
      <c r="F33" s="248" t="s">
        <v>362</v>
      </c>
      <c r="G33" s="248" t="s">
        <v>500</v>
      </c>
      <c r="H33" s="255">
        <v>101222359621</v>
      </c>
      <c r="I33" s="248">
        <v>4301489507</v>
      </c>
      <c r="J33" s="249">
        <v>410</v>
      </c>
      <c r="K33" s="249">
        <v>204</v>
      </c>
      <c r="L33" s="249">
        <v>614</v>
      </c>
      <c r="M33" s="249">
        <v>8</v>
      </c>
      <c r="N33" s="249">
        <v>9</v>
      </c>
      <c r="O33" s="249">
        <v>9</v>
      </c>
      <c r="P33" s="249">
        <v>0</v>
      </c>
      <c r="Q33" s="249">
        <v>0</v>
      </c>
      <c r="R33" s="249">
        <v>26</v>
      </c>
      <c r="S33" s="249">
        <v>0</v>
      </c>
      <c r="T33" s="249">
        <v>10660</v>
      </c>
      <c r="U33" s="249">
        <v>5304</v>
      </c>
      <c r="V33" s="249">
        <v>0</v>
      </c>
      <c r="W33" s="249">
        <v>15964</v>
      </c>
      <c r="X33" s="249">
        <v>0</v>
      </c>
      <c r="Y33" s="249">
        <v>0</v>
      </c>
      <c r="Z33" s="249">
        <v>0</v>
      </c>
      <c r="AA33" s="249">
        <v>772</v>
      </c>
      <c r="AB33" s="249">
        <v>1330</v>
      </c>
      <c r="AC33" s="249">
        <v>1130</v>
      </c>
      <c r="AD33" s="249">
        <v>5321</v>
      </c>
      <c r="AE33" s="249">
        <v>2554</v>
      </c>
      <c r="AF33" s="249">
        <v>0</v>
      </c>
      <c r="AG33" s="249">
        <v>520</v>
      </c>
      <c r="AH33" s="249">
        <v>27591</v>
      </c>
      <c r="AI33" s="249">
        <v>0</v>
      </c>
      <c r="AJ33" s="249">
        <v>1800</v>
      </c>
      <c r="AK33" s="249">
        <v>0</v>
      </c>
      <c r="AL33" s="249">
        <v>0</v>
      </c>
      <c r="AM33" s="249">
        <v>25791</v>
      </c>
      <c r="AN33" s="259">
        <v>1950</v>
      </c>
      <c r="AO33" s="259">
        <v>0</v>
      </c>
      <c r="AP33" s="257"/>
      <c r="AQ33" s="258"/>
      <c r="AR33" s="258" t="s">
        <v>501</v>
      </c>
      <c r="AS33" s="259" t="s">
        <v>503</v>
      </c>
      <c r="AT33" s="260">
        <v>8</v>
      </c>
      <c r="AU33" s="260">
        <v>9</v>
      </c>
      <c r="AV33" s="260">
        <v>8</v>
      </c>
      <c r="AW33" s="260">
        <v>0</v>
      </c>
      <c r="AX33" s="260">
        <v>0</v>
      </c>
      <c r="AY33" s="260">
        <v>0</v>
      </c>
      <c r="AZ33" s="264"/>
      <c r="BA33" s="264"/>
      <c r="BB33" s="256">
        <v>410</v>
      </c>
      <c r="BC33" s="256">
        <v>200</v>
      </c>
      <c r="BD33" s="256">
        <f t="shared" si="0"/>
        <v>610</v>
      </c>
    </row>
    <row r="34" spans="1:56" ht="45" customHeight="1">
      <c r="A34" s="248">
        <v>27</v>
      </c>
      <c r="B34" s="248" t="s">
        <v>227</v>
      </c>
      <c r="C34" s="248" t="s">
        <v>228</v>
      </c>
      <c r="D34" s="248" t="s">
        <v>196</v>
      </c>
      <c r="E34" s="248" t="s">
        <v>146</v>
      </c>
      <c r="F34" s="248" t="s">
        <v>361</v>
      </c>
      <c r="G34" s="248" t="s">
        <v>500</v>
      </c>
      <c r="H34" s="255">
        <v>101222360205</v>
      </c>
      <c r="I34" s="248">
        <v>4301489129</v>
      </c>
      <c r="J34" s="249">
        <v>350</v>
      </c>
      <c r="K34" s="249">
        <v>176</v>
      </c>
      <c r="L34" s="249">
        <v>526</v>
      </c>
      <c r="M34" s="249">
        <v>0</v>
      </c>
      <c r="N34" s="249">
        <v>0</v>
      </c>
      <c r="O34" s="249">
        <v>0</v>
      </c>
      <c r="P34" s="249">
        <v>24</v>
      </c>
      <c r="Q34" s="249">
        <v>0</v>
      </c>
      <c r="R34" s="249">
        <v>24</v>
      </c>
      <c r="S34" s="249">
        <v>0</v>
      </c>
      <c r="T34" s="249">
        <v>8400</v>
      </c>
      <c r="U34" s="249">
        <v>4224</v>
      </c>
      <c r="V34" s="249">
        <v>2</v>
      </c>
      <c r="W34" s="249">
        <v>12624</v>
      </c>
      <c r="X34" s="249">
        <v>0</v>
      </c>
      <c r="Y34" s="249">
        <v>0</v>
      </c>
      <c r="Z34" s="249">
        <v>0</v>
      </c>
      <c r="AA34" s="249">
        <v>631</v>
      </c>
      <c r="AB34" s="249">
        <v>1052</v>
      </c>
      <c r="AC34" s="249">
        <v>0</v>
      </c>
      <c r="AD34" s="249">
        <v>4208</v>
      </c>
      <c r="AE34" s="249">
        <v>2020</v>
      </c>
      <c r="AF34" s="249">
        <v>1052</v>
      </c>
      <c r="AG34" s="249">
        <v>480</v>
      </c>
      <c r="AH34" s="249">
        <v>22067</v>
      </c>
      <c r="AI34" s="249">
        <v>0</v>
      </c>
      <c r="AJ34" s="249">
        <v>1515</v>
      </c>
      <c r="AK34" s="249">
        <v>142</v>
      </c>
      <c r="AL34" s="249">
        <v>0</v>
      </c>
      <c r="AM34" s="249">
        <v>20410</v>
      </c>
      <c r="AN34" s="259">
        <v>1641</v>
      </c>
      <c r="AO34" s="259">
        <v>613</v>
      </c>
      <c r="AP34" s="257"/>
      <c r="AQ34" s="258"/>
      <c r="AR34" s="258" t="s">
        <v>501</v>
      </c>
      <c r="AS34" s="259" t="s">
        <v>228</v>
      </c>
      <c r="AT34" s="260">
        <v>0</v>
      </c>
      <c r="AU34" s="260">
        <v>0</v>
      </c>
      <c r="AV34" s="260">
        <v>0</v>
      </c>
      <c r="AW34" s="260">
        <v>25</v>
      </c>
      <c r="AX34" s="260">
        <v>0</v>
      </c>
      <c r="AY34" s="260">
        <v>0</v>
      </c>
      <c r="AZ34" s="264"/>
      <c r="BA34" s="264"/>
      <c r="BB34" s="256">
        <v>350</v>
      </c>
      <c r="BC34" s="256">
        <v>172</v>
      </c>
      <c r="BD34" s="256">
        <f t="shared" si="0"/>
        <v>522</v>
      </c>
    </row>
    <row r="35" spans="1:56" ht="45" customHeight="1">
      <c r="A35" s="248">
        <v>28</v>
      </c>
      <c r="B35" s="248" t="s">
        <v>229</v>
      </c>
      <c r="C35" s="248" t="s">
        <v>230</v>
      </c>
      <c r="D35" s="248" t="s">
        <v>196</v>
      </c>
      <c r="E35" s="248" t="s">
        <v>146</v>
      </c>
      <c r="F35" s="248" t="s">
        <v>361</v>
      </c>
      <c r="G35" s="248" t="s">
        <v>500</v>
      </c>
      <c r="H35" s="255">
        <v>101222360116</v>
      </c>
      <c r="I35" s="248">
        <v>4301489290</v>
      </c>
      <c r="J35" s="249">
        <v>350</v>
      </c>
      <c r="K35" s="249">
        <v>176</v>
      </c>
      <c r="L35" s="249">
        <v>526</v>
      </c>
      <c r="M35" s="249">
        <v>4</v>
      </c>
      <c r="N35" s="249">
        <v>4</v>
      </c>
      <c r="O35" s="249">
        <v>5</v>
      </c>
      <c r="P35" s="249">
        <v>13</v>
      </c>
      <c r="Q35" s="249">
        <v>0</v>
      </c>
      <c r="R35" s="249">
        <v>26</v>
      </c>
      <c r="S35" s="249">
        <v>4</v>
      </c>
      <c r="T35" s="249">
        <v>9100</v>
      </c>
      <c r="U35" s="249">
        <v>4576</v>
      </c>
      <c r="V35" s="249">
        <v>0</v>
      </c>
      <c r="W35" s="249">
        <v>13676</v>
      </c>
      <c r="X35" s="249">
        <v>526</v>
      </c>
      <c r="Y35" s="249">
        <v>0</v>
      </c>
      <c r="Z35" s="249">
        <v>0</v>
      </c>
      <c r="AA35" s="249">
        <v>662</v>
      </c>
      <c r="AB35" s="249">
        <v>1139</v>
      </c>
      <c r="AC35" s="249">
        <v>570</v>
      </c>
      <c r="AD35" s="249">
        <v>4558</v>
      </c>
      <c r="AE35" s="249">
        <v>2188</v>
      </c>
      <c r="AF35" s="249">
        <v>0</v>
      </c>
      <c r="AG35" s="249">
        <v>520</v>
      </c>
      <c r="AH35" s="249">
        <v>23839</v>
      </c>
      <c r="AI35" s="249">
        <v>0</v>
      </c>
      <c r="AJ35" s="249">
        <v>1641</v>
      </c>
      <c r="AK35" s="249">
        <v>162</v>
      </c>
      <c r="AL35" s="249">
        <v>0</v>
      </c>
      <c r="AM35" s="249">
        <v>22036</v>
      </c>
      <c r="AN35" s="259">
        <v>1778</v>
      </c>
      <c r="AO35" s="259">
        <v>700</v>
      </c>
      <c r="AP35" s="257"/>
      <c r="AQ35" s="258"/>
      <c r="AR35" s="258" t="s">
        <v>501</v>
      </c>
      <c r="AS35" s="259" t="s">
        <v>230</v>
      </c>
      <c r="AT35" s="260">
        <v>4</v>
      </c>
      <c r="AU35" s="260">
        <v>4</v>
      </c>
      <c r="AV35" s="260">
        <v>6</v>
      </c>
      <c r="AW35" s="260">
        <v>13</v>
      </c>
      <c r="AX35" s="260">
        <v>4</v>
      </c>
      <c r="AY35" s="260">
        <v>0</v>
      </c>
      <c r="AZ35" s="264"/>
      <c r="BA35" s="264"/>
      <c r="BB35" s="256">
        <v>350</v>
      </c>
      <c r="BC35" s="256">
        <v>172</v>
      </c>
      <c r="BD35" s="256">
        <f t="shared" si="0"/>
        <v>522</v>
      </c>
    </row>
    <row r="36" spans="1:56" ht="45" customHeight="1">
      <c r="A36" s="248">
        <v>29</v>
      </c>
      <c r="B36" s="248" t="s">
        <v>231</v>
      </c>
      <c r="C36" s="248" t="s">
        <v>232</v>
      </c>
      <c r="D36" s="248" t="s">
        <v>182</v>
      </c>
      <c r="E36" s="248" t="s">
        <v>146</v>
      </c>
      <c r="F36" s="248" t="s">
        <v>361</v>
      </c>
      <c r="G36" s="248" t="s">
        <v>500</v>
      </c>
      <c r="H36" s="255">
        <v>101222359887</v>
      </c>
      <c r="I36" s="248">
        <v>4301489370</v>
      </c>
      <c r="J36" s="249">
        <v>350</v>
      </c>
      <c r="K36" s="249">
        <v>176</v>
      </c>
      <c r="L36" s="249">
        <v>526</v>
      </c>
      <c r="M36" s="249">
        <v>8</v>
      </c>
      <c r="N36" s="249">
        <v>8</v>
      </c>
      <c r="O36" s="249">
        <v>10</v>
      </c>
      <c r="P36" s="249">
        <v>0</v>
      </c>
      <c r="Q36" s="249">
        <v>0</v>
      </c>
      <c r="R36" s="249">
        <v>26</v>
      </c>
      <c r="S36" s="249">
        <v>0</v>
      </c>
      <c r="T36" s="249">
        <v>9100</v>
      </c>
      <c r="U36" s="249">
        <v>4576</v>
      </c>
      <c r="V36" s="249">
        <v>0</v>
      </c>
      <c r="W36" s="249">
        <v>13676</v>
      </c>
      <c r="X36" s="249">
        <v>0</v>
      </c>
      <c r="Y36" s="249">
        <v>0</v>
      </c>
      <c r="Z36" s="249">
        <v>0</v>
      </c>
      <c r="AA36" s="249">
        <v>662</v>
      </c>
      <c r="AB36" s="249">
        <v>1139</v>
      </c>
      <c r="AC36" s="249">
        <v>1140</v>
      </c>
      <c r="AD36" s="249">
        <v>4558</v>
      </c>
      <c r="AE36" s="249">
        <v>2188</v>
      </c>
      <c r="AF36" s="249">
        <v>0</v>
      </c>
      <c r="AG36" s="249">
        <v>520</v>
      </c>
      <c r="AH36" s="249">
        <v>23883</v>
      </c>
      <c r="AI36" s="249">
        <v>0</v>
      </c>
      <c r="AJ36" s="249">
        <v>1641</v>
      </c>
      <c r="AK36" s="249">
        <v>162</v>
      </c>
      <c r="AL36" s="249">
        <v>0</v>
      </c>
      <c r="AM36" s="249">
        <v>22080</v>
      </c>
      <c r="AN36" s="259">
        <v>1778</v>
      </c>
      <c r="AO36" s="259">
        <v>701</v>
      </c>
      <c r="AP36" s="257"/>
      <c r="AQ36" s="258"/>
      <c r="AR36" s="258" t="s">
        <v>501</v>
      </c>
      <c r="AS36" s="259" t="s">
        <v>232</v>
      </c>
      <c r="AT36" s="260">
        <v>8</v>
      </c>
      <c r="AU36" s="260">
        <v>5</v>
      </c>
      <c r="AV36" s="260">
        <v>8</v>
      </c>
      <c r="AW36" s="260">
        <v>0</v>
      </c>
      <c r="AX36" s="260">
        <v>0</v>
      </c>
      <c r="AY36" s="260">
        <v>0</v>
      </c>
      <c r="AZ36" s="264"/>
      <c r="BA36" s="264"/>
      <c r="BB36" s="256">
        <v>350</v>
      </c>
      <c r="BC36" s="256">
        <v>172</v>
      </c>
      <c r="BD36" s="256">
        <f t="shared" si="0"/>
        <v>522</v>
      </c>
    </row>
    <row r="37" spans="1:56" ht="45" customHeight="1">
      <c r="A37" s="248">
        <v>30</v>
      </c>
      <c r="B37" s="248" t="s">
        <v>233</v>
      </c>
      <c r="C37" s="248" t="s">
        <v>234</v>
      </c>
      <c r="D37" s="248" t="s">
        <v>182</v>
      </c>
      <c r="E37" s="248" t="s">
        <v>145</v>
      </c>
      <c r="F37" s="248" t="s">
        <v>362</v>
      </c>
      <c r="G37" s="248" t="s">
        <v>500</v>
      </c>
      <c r="H37" s="255">
        <v>101222359678</v>
      </c>
      <c r="I37" s="248">
        <v>4301489496</v>
      </c>
      <c r="J37" s="249">
        <v>410</v>
      </c>
      <c r="K37" s="249">
        <v>204</v>
      </c>
      <c r="L37" s="249">
        <v>614</v>
      </c>
      <c r="M37" s="249">
        <v>7</v>
      </c>
      <c r="N37" s="249">
        <v>10</v>
      </c>
      <c r="O37" s="249">
        <v>8</v>
      </c>
      <c r="P37" s="249">
        <v>0</v>
      </c>
      <c r="Q37" s="249">
        <v>0</v>
      </c>
      <c r="R37" s="249">
        <v>25</v>
      </c>
      <c r="S37" s="249">
        <v>0</v>
      </c>
      <c r="T37" s="249">
        <v>10250</v>
      </c>
      <c r="U37" s="249">
        <v>5100</v>
      </c>
      <c r="V37" s="249">
        <v>1</v>
      </c>
      <c r="W37" s="249">
        <v>15350</v>
      </c>
      <c r="X37" s="249">
        <v>0</v>
      </c>
      <c r="Y37" s="249">
        <v>0</v>
      </c>
      <c r="Z37" s="249">
        <v>0</v>
      </c>
      <c r="AA37" s="249">
        <v>768</v>
      </c>
      <c r="AB37" s="249">
        <v>1279</v>
      </c>
      <c r="AC37" s="249">
        <v>1080</v>
      </c>
      <c r="AD37" s="249">
        <v>5116</v>
      </c>
      <c r="AE37" s="249">
        <v>2456</v>
      </c>
      <c r="AF37" s="249">
        <v>614</v>
      </c>
      <c r="AG37" s="249">
        <v>500</v>
      </c>
      <c r="AH37" s="249">
        <v>27163</v>
      </c>
      <c r="AI37" s="249">
        <v>0</v>
      </c>
      <c r="AJ37" s="249">
        <v>1800</v>
      </c>
      <c r="AK37" s="249">
        <v>0</v>
      </c>
      <c r="AL37" s="249">
        <v>0</v>
      </c>
      <c r="AM37" s="249">
        <v>25363</v>
      </c>
      <c r="AN37" s="259">
        <v>1950</v>
      </c>
      <c r="AO37" s="259">
        <v>0</v>
      </c>
      <c r="AP37" s="257"/>
      <c r="AQ37" s="258"/>
      <c r="AR37" s="258" t="s">
        <v>501</v>
      </c>
      <c r="AS37" s="259" t="s">
        <v>234</v>
      </c>
      <c r="AT37" s="260">
        <v>8</v>
      </c>
      <c r="AU37" s="260">
        <v>10</v>
      </c>
      <c r="AV37" s="260">
        <v>8</v>
      </c>
      <c r="AW37" s="260">
        <v>0</v>
      </c>
      <c r="AX37" s="260">
        <v>7</v>
      </c>
      <c r="AY37" s="260">
        <v>0</v>
      </c>
      <c r="AZ37" s="264"/>
      <c r="BA37" s="264"/>
      <c r="BB37" s="256">
        <v>410</v>
      </c>
      <c r="BC37" s="256">
        <v>200</v>
      </c>
      <c r="BD37" s="256">
        <f t="shared" si="0"/>
        <v>610</v>
      </c>
    </row>
    <row r="38" spans="1:56" ht="45" customHeight="1">
      <c r="A38" s="248">
        <v>31</v>
      </c>
      <c r="B38" s="248" t="s">
        <v>235</v>
      </c>
      <c r="C38" s="248" t="s">
        <v>236</v>
      </c>
      <c r="D38" s="248" t="s">
        <v>196</v>
      </c>
      <c r="E38" s="248" t="s">
        <v>144</v>
      </c>
      <c r="F38" s="248" t="s">
        <v>363</v>
      </c>
      <c r="G38" s="248" t="s">
        <v>500</v>
      </c>
      <c r="H38" s="255">
        <v>101222359958</v>
      </c>
      <c r="I38" s="248">
        <v>4301489345</v>
      </c>
      <c r="J38" s="249">
        <v>494</v>
      </c>
      <c r="K38" s="249">
        <v>245</v>
      </c>
      <c r="L38" s="249">
        <v>739</v>
      </c>
      <c r="M38" s="249">
        <v>7</v>
      </c>
      <c r="N38" s="249">
        <v>10</v>
      </c>
      <c r="O38" s="249">
        <v>8</v>
      </c>
      <c r="P38" s="249">
        <v>0</v>
      </c>
      <c r="Q38" s="249">
        <v>0</v>
      </c>
      <c r="R38" s="249">
        <v>25</v>
      </c>
      <c r="S38" s="249">
        <v>0</v>
      </c>
      <c r="T38" s="249">
        <v>12350</v>
      </c>
      <c r="U38" s="249">
        <v>6125</v>
      </c>
      <c r="V38" s="249">
        <v>1</v>
      </c>
      <c r="W38" s="249">
        <v>18475</v>
      </c>
      <c r="X38" s="249">
        <v>0</v>
      </c>
      <c r="Y38" s="249">
        <v>0</v>
      </c>
      <c r="Z38" s="249">
        <v>0</v>
      </c>
      <c r="AA38" s="249">
        <v>924</v>
      </c>
      <c r="AB38" s="249">
        <v>1539</v>
      </c>
      <c r="AC38" s="249">
        <v>1080</v>
      </c>
      <c r="AD38" s="249">
        <v>6158</v>
      </c>
      <c r="AE38" s="249">
        <v>2956</v>
      </c>
      <c r="AF38" s="249">
        <v>739</v>
      </c>
      <c r="AG38" s="249">
        <v>500</v>
      </c>
      <c r="AH38" s="249">
        <v>32371</v>
      </c>
      <c r="AI38" s="249">
        <v>0</v>
      </c>
      <c r="AJ38" s="249">
        <v>1800</v>
      </c>
      <c r="AK38" s="249">
        <v>0</v>
      </c>
      <c r="AL38" s="249">
        <v>0</v>
      </c>
      <c r="AM38" s="249">
        <v>30571</v>
      </c>
      <c r="AN38" s="259">
        <v>1950</v>
      </c>
      <c r="AO38" s="259">
        <v>0</v>
      </c>
      <c r="AP38" s="257"/>
      <c r="AQ38" s="258"/>
      <c r="AR38" s="258" t="s">
        <v>501</v>
      </c>
      <c r="AS38" s="259" t="s">
        <v>504</v>
      </c>
      <c r="AT38" s="260">
        <v>8</v>
      </c>
      <c r="AU38" s="260">
        <v>10</v>
      </c>
      <c r="AV38" s="260">
        <v>8</v>
      </c>
      <c r="AW38" s="260">
        <v>0</v>
      </c>
      <c r="AX38" s="260">
        <v>12</v>
      </c>
      <c r="AY38" s="260">
        <v>0</v>
      </c>
      <c r="AZ38" s="264"/>
      <c r="BA38" s="264"/>
      <c r="BB38" s="256">
        <v>494</v>
      </c>
      <c r="BC38" s="256">
        <v>240</v>
      </c>
      <c r="BD38" s="256">
        <f t="shared" si="0"/>
        <v>734</v>
      </c>
    </row>
    <row r="39" spans="1:56" ht="45" customHeight="1">
      <c r="A39" s="248">
        <v>32</v>
      </c>
      <c r="B39" s="248" t="s">
        <v>237</v>
      </c>
      <c r="C39" s="248" t="s">
        <v>238</v>
      </c>
      <c r="D39" s="248" t="s">
        <v>182</v>
      </c>
      <c r="E39" s="248" t="s">
        <v>145</v>
      </c>
      <c r="F39" s="248" t="s">
        <v>362</v>
      </c>
      <c r="G39" s="248" t="s">
        <v>500</v>
      </c>
      <c r="H39" s="255">
        <v>101222359666</v>
      </c>
      <c r="I39" s="248">
        <v>4301489498</v>
      </c>
      <c r="J39" s="249">
        <v>410</v>
      </c>
      <c r="K39" s="249">
        <v>204</v>
      </c>
      <c r="L39" s="249">
        <v>614</v>
      </c>
      <c r="M39" s="249">
        <v>10</v>
      </c>
      <c r="N39" s="249">
        <v>9</v>
      </c>
      <c r="O39" s="249">
        <v>8</v>
      </c>
      <c r="P39" s="249">
        <v>0</v>
      </c>
      <c r="Q39" s="249">
        <v>0</v>
      </c>
      <c r="R39" s="249">
        <v>27</v>
      </c>
      <c r="S39" s="249">
        <v>0</v>
      </c>
      <c r="T39" s="249">
        <v>11070</v>
      </c>
      <c r="U39" s="249">
        <v>5508</v>
      </c>
      <c r="V39" s="249">
        <v>0</v>
      </c>
      <c r="W39" s="249">
        <v>16578</v>
      </c>
      <c r="X39" s="249">
        <v>0</v>
      </c>
      <c r="Y39" s="249">
        <v>0</v>
      </c>
      <c r="Z39" s="249">
        <v>0</v>
      </c>
      <c r="AA39" s="249">
        <v>772</v>
      </c>
      <c r="AB39" s="249">
        <v>1381</v>
      </c>
      <c r="AC39" s="249">
        <v>1160</v>
      </c>
      <c r="AD39" s="249">
        <v>5525</v>
      </c>
      <c r="AE39" s="249">
        <v>2652</v>
      </c>
      <c r="AF39" s="249">
        <v>0</v>
      </c>
      <c r="AG39" s="249">
        <v>540</v>
      </c>
      <c r="AH39" s="249">
        <v>28608</v>
      </c>
      <c r="AI39" s="249">
        <v>0</v>
      </c>
      <c r="AJ39" s="249">
        <v>1800</v>
      </c>
      <c r="AK39" s="249">
        <v>0</v>
      </c>
      <c r="AL39" s="249">
        <v>0</v>
      </c>
      <c r="AM39" s="249">
        <v>26808</v>
      </c>
      <c r="AN39" s="259">
        <v>1950</v>
      </c>
      <c r="AO39" s="259">
        <v>0</v>
      </c>
      <c r="AP39" s="257"/>
      <c r="AQ39" s="258"/>
      <c r="AR39" s="258" t="s">
        <v>501</v>
      </c>
      <c r="AS39" s="259" t="s">
        <v>238</v>
      </c>
      <c r="AT39" s="260">
        <v>10</v>
      </c>
      <c r="AU39" s="260">
        <v>8</v>
      </c>
      <c r="AV39" s="260">
        <v>8</v>
      </c>
      <c r="AW39" s="260">
        <v>1</v>
      </c>
      <c r="AX39" s="260">
        <v>22</v>
      </c>
      <c r="AY39" s="260">
        <v>0</v>
      </c>
      <c r="AZ39" s="264"/>
      <c r="BA39" s="264"/>
      <c r="BB39" s="256">
        <v>410</v>
      </c>
      <c r="BC39" s="256">
        <v>200</v>
      </c>
      <c r="BD39" s="256">
        <f t="shared" si="0"/>
        <v>610</v>
      </c>
    </row>
    <row r="40" spans="1:57" ht="45" customHeight="1">
      <c r="A40" s="248">
        <v>33</v>
      </c>
      <c r="B40" s="248" t="s">
        <v>239</v>
      </c>
      <c r="C40" s="248" t="s">
        <v>240</v>
      </c>
      <c r="D40" s="248" t="s">
        <v>182</v>
      </c>
      <c r="E40" s="248" t="s">
        <v>145</v>
      </c>
      <c r="F40" s="248" t="s">
        <v>362</v>
      </c>
      <c r="G40" s="248" t="s">
        <v>500</v>
      </c>
      <c r="H40" s="255">
        <v>101222359645</v>
      </c>
      <c r="I40" s="248">
        <v>4301489502</v>
      </c>
      <c r="J40" s="249">
        <v>410</v>
      </c>
      <c r="K40" s="249">
        <v>204</v>
      </c>
      <c r="L40" s="249">
        <v>614</v>
      </c>
      <c r="M40" s="249">
        <v>6</v>
      </c>
      <c r="N40" s="249">
        <v>7</v>
      </c>
      <c r="O40" s="249">
        <v>10</v>
      </c>
      <c r="P40" s="249">
        <v>1</v>
      </c>
      <c r="Q40" s="249">
        <v>0</v>
      </c>
      <c r="R40" s="249">
        <v>24</v>
      </c>
      <c r="S40" s="249">
        <v>14</v>
      </c>
      <c r="T40" s="249">
        <v>9840</v>
      </c>
      <c r="U40" s="249">
        <v>4896</v>
      </c>
      <c r="V40" s="249">
        <v>0</v>
      </c>
      <c r="W40" s="249">
        <v>14736</v>
      </c>
      <c r="X40" s="249">
        <v>2149</v>
      </c>
      <c r="Y40" s="249">
        <v>0</v>
      </c>
      <c r="Z40" s="249">
        <v>0</v>
      </c>
      <c r="AA40" s="249">
        <v>737</v>
      </c>
      <c r="AB40" s="249">
        <v>1228</v>
      </c>
      <c r="AC40" s="249">
        <v>1020</v>
      </c>
      <c r="AD40" s="249">
        <v>4912</v>
      </c>
      <c r="AE40" s="249">
        <v>2358</v>
      </c>
      <c r="AF40" s="249">
        <v>0</v>
      </c>
      <c r="AG40" s="249">
        <v>480</v>
      </c>
      <c r="AH40" s="249">
        <v>27620</v>
      </c>
      <c r="AI40" s="249">
        <v>0</v>
      </c>
      <c r="AJ40" s="249">
        <v>1768</v>
      </c>
      <c r="AK40" s="249">
        <v>0</v>
      </c>
      <c r="AL40" s="249">
        <v>0</v>
      </c>
      <c r="AM40" s="249">
        <v>25852</v>
      </c>
      <c r="AN40" s="259">
        <v>1916</v>
      </c>
      <c r="AO40" s="259">
        <v>0</v>
      </c>
      <c r="AP40" s="257"/>
      <c r="AQ40" s="258"/>
      <c r="AR40" s="258" t="s">
        <v>502</v>
      </c>
      <c r="AS40" s="259" t="s">
        <v>240</v>
      </c>
      <c r="AT40" s="260">
        <v>8</v>
      </c>
      <c r="AU40" s="260">
        <v>9</v>
      </c>
      <c r="AV40" s="260">
        <v>7</v>
      </c>
      <c r="AW40" s="260">
        <v>0</v>
      </c>
      <c r="AX40" s="260">
        <v>22</v>
      </c>
      <c r="AY40" s="260">
        <v>0</v>
      </c>
      <c r="AZ40" s="264"/>
      <c r="BA40" s="264"/>
      <c r="BB40" s="256">
        <v>410</v>
      </c>
      <c r="BC40" s="256">
        <v>200</v>
      </c>
      <c r="BD40" s="256">
        <f t="shared" si="0"/>
        <v>610</v>
      </c>
      <c r="BE40" t="s">
        <v>502</v>
      </c>
    </row>
    <row r="41" spans="1:57" ht="45" customHeight="1">
      <c r="A41" s="248">
        <v>34</v>
      </c>
      <c r="B41" s="248" t="s">
        <v>241</v>
      </c>
      <c r="C41" s="248" t="s">
        <v>242</v>
      </c>
      <c r="D41" s="248" t="s">
        <v>182</v>
      </c>
      <c r="E41" s="248" t="s">
        <v>146</v>
      </c>
      <c r="F41" s="248" t="s">
        <v>361</v>
      </c>
      <c r="G41" s="248" t="s">
        <v>500</v>
      </c>
      <c r="H41" s="255">
        <v>101222359771</v>
      </c>
      <c r="I41" s="248">
        <v>4301489480</v>
      </c>
      <c r="J41" s="249">
        <v>350</v>
      </c>
      <c r="K41" s="249">
        <v>176</v>
      </c>
      <c r="L41" s="249">
        <v>526</v>
      </c>
      <c r="M41" s="249">
        <v>8</v>
      </c>
      <c r="N41" s="249">
        <v>8</v>
      </c>
      <c r="O41" s="249">
        <v>10</v>
      </c>
      <c r="P41" s="249">
        <v>0</v>
      </c>
      <c r="Q41" s="249">
        <v>0</v>
      </c>
      <c r="R41" s="249">
        <v>26</v>
      </c>
      <c r="S41" s="249">
        <v>0</v>
      </c>
      <c r="T41" s="249">
        <v>9100</v>
      </c>
      <c r="U41" s="249">
        <v>4576</v>
      </c>
      <c r="V41" s="249">
        <v>0</v>
      </c>
      <c r="W41" s="249">
        <v>13676</v>
      </c>
      <c r="X41" s="249">
        <v>0</v>
      </c>
      <c r="Y41" s="249">
        <v>0</v>
      </c>
      <c r="Z41" s="249">
        <v>0</v>
      </c>
      <c r="AA41" s="249">
        <v>662</v>
      </c>
      <c r="AB41" s="249">
        <v>1139</v>
      </c>
      <c r="AC41" s="249">
        <v>1140</v>
      </c>
      <c r="AD41" s="249">
        <v>4558</v>
      </c>
      <c r="AE41" s="249">
        <v>2188</v>
      </c>
      <c r="AF41" s="249">
        <v>0</v>
      </c>
      <c r="AG41" s="249">
        <v>520</v>
      </c>
      <c r="AH41" s="249">
        <v>23883</v>
      </c>
      <c r="AI41" s="249">
        <v>0</v>
      </c>
      <c r="AJ41" s="249">
        <v>1641</v>
      </c>
      <c r="AK41" s="249">
        <v>162</v>
      </c>
      <c r="AL41" s="249">
        <v>0</v>
      </c>
      <c r="AM41" s="249">
        <v>22080</v>
      </c>
      <c r="AN41" s="259">
        <v>1778</v>
      </c>
      <c r="AO41" s="259">
        <v>701</v>
      </c>
      <c r="AP41" s="257"/>
      <c r="AQ41" s="258"/>
      <c r="AR41" s="258" t="s">
        <v>502</v>
      </c>
      <c r="AS41" s="259" t="s">
        <v>242</v>
      </c>
      <c r="AT41" s="260">
        <v>8</v>
      </c>
      <c r="AU41" s="260">
        <v>8</v>
      </c>
      <c r="AV41" s="260">
        <v>9</v>
      </c>
      <c r="AW41" s="260">
        <v>0</v>
      </c>
      <c r="AX41" s="260">
        <v>8</v>
      </c>
      <c r="AY41" s="260">
        <v>0</v>
      </c>
      <c r="AZ41" s="264"/>
      <c r="BA41" s="264"/>
      <c r="BB41" s="256">
        <v>350</v>
      </c>
      <c r="BC41" s="256">
        <v>172</v>
      </c>
      <c r="BD41" s="256">
        <f t="shared" si="0"/>
        <v>522</v>
      </c>
      <c r="BE41" t="s">
        <v>502</v>
      </c>
    </row>
    <row r="42" spans="1:56" ht="45" customHeight="1">
      <c r="A42" s="248">
        <v>35</v>
      </c>
      <c r="B42" s="248" t="s">
        <v>243</v>
      </c>
      <c r="C42" s="248" t="s">
        <v>244</v>
      </c>
      <c r="D42" s="248" t="s">
        <v>196</v>
      </c>
      <c r="E42" s="248" t="s">
        <v>146</v>
      </c>
      <c r="F42" s="248" t="s">
        <v>361</v>
      </c>
      <c r="G42" s="248" t="s">
        <v>500</v>
      </c>
      <c r="H42" s="255">
        <v>101222359927</v>
      </c>
      <c r="I42" s="248">
        <v>4301489359</v>
      </c>
      <c r="J42" s="249">
        <v>350</v>
      </c>
      <c r="K42" s="249">
        <v>176</v>
      </c>
      <c r="L42" s="249">
        <v>526</v>
      </c>
      <c r="M42" s="249">
        <v>0</v>
      </c>
      <c r="N42" s="249">
        <v>22</v>
      </c>
      <c r="O42" s="249">
        <v>0</v>
      </c>
      <c r="P42" s="249">
        <v>5</v>
      </c>
      <c r="Q42" s="249">
        <v>0</v>
      </c>
      <c r="R42" s="249">
        <v>27</v>
      </c>
      <c r="S42" s="249">
        <v>0</v>
      </c>
      <c r="T42" s="249">
        <v>9450</v>
      </c>
      <c r="U42" s="249">
        <v>4752</v>
      </c>
      <c r="V42" s="249">
        <v>0</v>
      </c>
      <c r="W42" s="249">
        <v>14202</v>
      </c>
      <c r="X42" s="249">
        <v>0</v>
      </c>
      <c r="Y42" s="249">
        <v>0</v>
      </c>
      <c r="Z42" s="249">
        <v>0</v>
      </c>
      <c r="AA42" s="249">
        <v>662</v>
      </c>
      <c r="AB42" s="249">
        <v>1183</v>
      </c>
      <c r="AC42" s="249">
        <v>880</v>
      </c>
      <c r="AD42" s="249">
        <v>4734</v>
      </c>
      <c r="AE42" s="249">
        <v>2272</v>
      </c>
      <c r="AF42" s="249">
        <v>0</v>
      </c>
      <c r="AG42" s="249">
        <v>540</v>
      </c>
      <c r="AH42" s="249">
        <v>24473</v>
      </c>
      <c r="AI42" s="249">
        <v>0</v>
      </c>
      <c r="AJ42" s="249">
        <v>1704</v>
      </c>
      <c r="AK42" s="249">
        <v>166</v>
      </c>
      <c r="AL42" s="249">
        <v>0</v>
      </c>
      <c r="AM42" s="249">
        <v>22603</v>
      </c>
      <c r="AN42" s="259">
        <v>1846</v>
      </c>
      <c r="AO42" s="259">
        <v>718</v>
      </c>
      <c r="AP42" s="257"/>
      <c r="AQ42" s="258"/>
      <c r="AR42" s="258" t="s">
        <v>501</v>
      </c>
      <c r="AS42" s="259" t="s">
        <v>244</v>
      </c>
      <c r="AT42" s="260">
        <v>0</v>
      </c>
      <c r="AU42" s="260">
        <v>22</v>
      </c>
      <c r="AV42" s="260">
        <v>0</v>
      </c>
      <c r="AW42" s="260">
        <v>5</v>
      </c>
      <c r="AX42" s="260">
        <v>4</v>
      </c>
      <c r="AY42" s="260">
        <v>0</v>
      </c>
      <c r="AZ42" s="264"/>
      <c r="BA42" s="264"/>
      <c r="BB42" s="256">
        <v>350</v>
      </c>
      <c r="BC42" s="256">
        <v>172</v>
      </c>
      <c r="BD42" s="256">
        <f t="shared" si="0"/>
        <v>522</v>
      </c>
    </row>
    <row r="43" spans="1:56" ht="45" customHeight="1">
      <c r="A43" s="248">
        <v>36</v>
      </c>
      <c r="B43" s="248" t="s">
        <v>245</v>
      </c>
      <c r="C43" s="248" t="s">
        <v>246</v>
      </c>
      <c r="D43" s="248" t="s">
        <v>196</v>
      </c>
      <c r="E43" s="248" t="s">
        <v>356</v>
      </c>
      <c r="F43" s="248" t="s">
        <v>143</v>
      </c>
      <c r="G43" s="248" t="s">
        <v>500</v>
      </c>
      <c r="H43" s="255">
        <v>101222360144</v>
      </c>
      <c r="I43" s="248">
        <v>4301489284</v>
      </c>
      <c r="J43" s="249">
        <v>579</v>
      </c>
      <c r="K43" s="249">
        <v>289</v>
      </c>
      <c r="L43" s="249">
        <v>868</v>
      </c>
      <c r="M43" s="249">
        <v>0</v>
      </c>
      <c r="N43" s="249">
        <v>15</v>
      </c>
      <c r="O43" s="249">
        <v>0</v>
      </c>
      <c r="P43" s="249">
        <v>14</v>
      </c>
      <c r="Q43" s="249">
        <v>0</v>
      </c>
      <c r="R43" s="249">
        <v>29</v>
      </c>
      <c r="S43" s="249">
        <v>28</v>
      </c>
      <c r="T43" s="249">
        <v>16791</v>
      </c>
      <c r="U43" s="249">
        <v>8381</v>
      </c>
      <c r="V43" s="249">
        <v>0</v>
      </c>
      <c r="W43" s="249">
        <v>25172</v>
      </c>
      <c r="X43" s="249">
        <v>6076</v>
      </c>
      <c r="Y43" s="249">
        <v>0</v>
      </c>
      <c r="Z43" s="249">
        <v>0</v>
      </c>
      <c r="AA43" s="249">
        <v>1092</v>
      </c>
      <c r="AB43" s="249">
        <v>2097</v>
      </c>
      <c r="AC43" s="249">
        <v>600</v>
      </c>
      <c r="AD43" s="249">
        <v>8390</v>
      </c>
      <c r="AE43" s="249">
        <v>4028</v>
      </c>
      <c r="AF43" s="249">
        <v>0</v>
      </c>
      <c r="AG43" s="249">
        <v>580</v>
      </c>
      <c r="AH43" s="249">
        <v>48035</v>
      </c>
      <c r="AI43" s="249">
        <v>0</v>
      </c>
      <c r="AJ43" s="249">
        <v>1800</v>
      </c>
      <c r="AK43" s="249">
        <v>0</v>
      </c>
      <c r="AL43" s="249">
        <v>0</v>
      </c>
      <c r="AM43" s="249">
        <v>46235</v>
      </c>
      <c r="AN43" s="259">
        <v>1950</v>
      </c>
      <c r="AO43" s="259">
        <v>0</v>
      </c>
      <c r="AP43" s="257"/>
      <c r="AQ43" s="258"/>
      <c r="AR43" s="258" t="s">
        <v>501</v>
      </c>
      <c r="AS43" s="259" t="s">
        <v>246</v>
      </c>
      <c r="AT43" s="260">
        <v>0</v>
      </c>
      <c r="AU43" s="260">
        <v>15</v>
      </c>
      <c r="AV43" s="260">
        <v>0</v>
      </c>
      <c r="AW43" s="260">
        <v>12</v>
      </c>
      <c r="AX43" s="260">
        <v>28</v>
      </c>
      <c r="AY43" s="260">
        <v>0</v>
      </c>
      <c r="AZ43" s="264"/>
      <c r="BA43" s="264"/>
      <c r="BB43" s="256">
        <v>579</v>
      </c>
      <c r="BC43" s="256">
        <v>283</v>
      </c>
      <c r="BD43" s="256">
        <f t="shared" si="0"/>
        <v>862</v>
      </c>
    </row>
    <row r="44" spans="1:56" ht="45" customHeight="1">
      <c r="A44" s="248">
        <v>37</v>
      </c>
      <c r="B44" s="248" t="s">
        <v>247</v>
      </c>
      <c r="C44" s="248" t="s">
        <v>248</v>
      </c>
      <c r="D44" s="248" t="s">
        <v>196</v>
      </c>
      <c r="E44" s="248" t="s">
        <v>146</v>
      </c>
      <c r="F44" s="248" t="s">
        <v>361</v>
      </c>
      <c r="G44" s="248" t="s">
        <v>500</v>
      </c>
      <c r="H44" s="255">
        <v>101222360349</v>
      </c>
      <c r="I44" s="248">
        <v>4301489017</v>
      </c>
      <c r="J44" s="249">
        <v>350</v>
      </c>
      <c r="K44" s="249">
        <v>176</v>
      </c>
      <c r="L44" s="249">
        <v>526</v>
      </c>
      <c r="M44" s="249">
        <v>2</v>
      </c>
      <c r="N44" s="249">
        <v>5</v>
      </c>
      <c r="O44" s="249">
        <v>0</v>
      </c>
      <c r="P44" s="249">
        <v>19</v>
      </c>
      <c r="Q44" s="249">
        <v>0</v>
      </c>
      <c r="R44" s="249">
        <v>26</v>
      </c>
      <c r="S44" s="249">
        <v>0</v>
      </c>
      <c r="T44" s="249">
        <v>9100</v>
      </c>
      <c r="U44" s="249">
        <v>4576</v>
      </c>
      <c r="V44" s="249">
        <v>0</v>
      </c>
      <c r="W44" s="249">
        <v>13676</v>
      </c>
      <c r="X44" s="249">
        <v>0</v>
      </c>
      <c r="Y44" s="249">
        <v>0</v>
      </c>
      <c r="Z44" s="249">
        <v>0</v>
      </c>
      <c r="AA44" s="249">
        <v>662</v>
      </c>
      <c r="AB44" s="249">
        <v>1139</v>
      </c>
      <c r="AC44" s="249">
        <v>280</v>
      </c>
      <c r="AD44" s="249">
        <v>4558</v>
      </c>
      <c r="AE44" s="249">
        <v>2188</v>
      </c>
      <c r="AF44" s="249">
        <v>0</v>
      </c>
      <c r="AG44" s="249">
        <v>520</v>
      </c>
      <c r="AH44" s="249">
        <v>23023</v>
      </c>
      <c r="AI44" s="249">
        <v>0</v>
      </c>
      <c r="AJ44" s="249">
        <v>1641</v>
      </c>
      <c r="AK44" s="249">
        <v>156</v>
      </c>
      <c r="AL44" s="249">
        <v>0</v>
      </c>
      <c r="AM44" s="249">
        <v>21226</v>
      </c>
      <c r="AN44" s="259">
        <v>1778</v>
      </c>
      <c r="AO44" s="259">
        <v>673</v>
      </c>
      <c r="AP44" s="257"/>
      <c r="AQ44" s="258"/>
      <c r="AR44" s="258" t="s">
        <v>501</v>
      </c>
      <c r="AS44" s="259" t="s">
        <v>248</v>
      </c>
      <c r="AT44" s="260">
        <v>9</v>
      </c>
      <c r="AU44" s="260">
        <v>8</v>
      </c>
      <c r="AV44" s="260">
        <v>9</v>
      </c>
      <c r="AW44" s="260">
        <v>1</v>
      </c>
      <c r="AX44" s="260">
        <v>0</v>
      </c>
      <c r="AY44" s="260">
        <v>0</v>
      </c>
      <c r="AZ44" s="264"/>
      <c r="BA44" s="264"/>
      <c r="BB44" s="256">
        <v>350</v>
      </c>
      <c r="BC44" s="256">
        <v>172</v>
      </c>
      <c r="BD44" s="256">
        <f t="shared" si="0"/>
        <v>522</v>
      </c>
    </row>
    <row r="45" spans="1:56" ht="45" customHeight="1">
      <c r="A45" s="248">
        <v>38</v>
      </c>
      <c r="B45" s="248" t="s">
        <v>249</v>
      </c>
      <c r="C45" s="248" t="s">
        <v>250</v>
      </c>
      <c r="D45" s="248" t="s">
        <v>196</v>
      </c>
      <c r="E45" s="248" t="s">
        <v>144</v>
      </c>
      <c r="F45" s="248" t="s">
        <v>363</v>
      </c>
      <c r="G45" s="248" t="s">
        <v>500</v>
      </c>
      <c r="H45" s="255">
        <v>101222359943</v>
      </c>
      <c r="I45" s="248">
        <v>4301489348</v>
      </c>
      <c r="J45" s="249">
        <v>494</v>
      </c>
      <c r="K45" s="249">
        <v>245</v>
      </c>
      <c r="L45" s="249">
        <v>739</v>
      </c>
      <c r="M45" s="249">
        <v>10</v>
      </c>
      <c r="N45" s="249">
        <v>9</v>
      </c>
      <c r="O45" s="249">
        <v>9</v>
      </c>
      <c r="P45" s="249">
        <v>0</v>
      </c>
      <c r="Q45" s="249">
        <v>0</v>
      </c>
      <c r="R45" s="249">
        <v>28</v>
      </c>
      <c r="S45" s="249">
        <v>0</v>
      </c>
      <c r="T45" s="249">
        <v>13832</v>
      </c>
      <c r="U45" s="249">
        <v>6860</v>
      </c>
      <c r="V45" s="249">
        <v>0</v>
      </c>
      <c r="W45" s="249">
        <v>20692</v>
      </c>
      <c r="X45" s="249">
        <v>0</v>
      </c>
      <c r="Y45" s="249">
        <v>0</v>
      </c>
      <c r="Z45" s="249">
        <v>0</v>
      </c>
      <c r="AA45" s="249">
        <v>930</v>
      </c>
      <c r="AB45" s="249">
        <v>1724</v>
      </c>
      <c r="AC45" s="249">
        <v>1210</v>
      </c>
      <c r="AD45" s="249">
        <v>6897</v>
      </c>
      <c r="AE45" s="249">
        <v>3311</v>
      </c>
      <c r="AF45" s="249">
        <v>0</v>
      </c>
      <c r="AG45" s="249">
        <v>560</v>
      </c>
      <c r="AH45" s="249">
        <v>35324</v>
      </c>
      <c r="AI45" s="249">
        <v>0</v>
      </c>
      <c r="AJ45" s="249">
        <v>1800</v>
      </c>
      <c r="AK45" s="249">
        <v>0</v>
      </c>
      <c r="AL45" s="249">
        <v>0</v>
      </c>
      <c r="AM45" s="249">
        <v>33524</v>
      </c>
      <c r="AN45" s="259">
        <v>1950</v>
      </c>
      <c r="AO45" s="259">
        <v>0</v>
      </c>
      <c r="AP45" s="257"/>
      <c r="AQ45" s="258"/>
      <c r="AR45" s="258" t="s">
        <v>501</v>
      </c>
      <c r="AS45" s="259" t="s">
        <v>250</v>
      </c>
      <c r="AT45" s="260">
        <v>10</v>
      </c>
      <c r="AU45" s="260">
        <v>8</v>
      </c>
      <c r="AV45" s="260">
        <v>6</v>
      </c>
      <c r="AW45" s="260">
        <v>0</v>
      </c>
      <c r="AX45" s="260">
        <v>4</v>
      </c>
      <c r="AY45" s="260">
        <v>2</v>
      </c>
      <c r="AZ45" s="264"/>
      <c r="BA45" s="264"/>
      <c r="BB45" s="256">
        <v>494</v>
      </c>
      <c r="BC45" s="256">
        <v>240</v>
      </c>
      <c r="BD45" s="256">
        <f t="shared" si="0"/>
        <v>734</v>
      </c>
    </row>
    <row r="46" spans="1:56" ht="45" customHeight="1">
      <c r="A46" s="248">
        <v>39</v>
      </c>
      <c r="B46" s="248" t="s">
        <v>251</v>
      </c>
      <c r="C46" s="248" t="s">
        <v>252</v>
      </c>
      <c r="D46" s="248" t="s">
        <v>182</v>
      </c>
      <c r="E46" s="248" t="s">
        <v>144</v>
      </c>
      <c r="F46" s="248" t="s">
        <v>363</v>
      </c>
      <c r="G46" s="248" t="s">
        <v>500</v>
      </c>
      <c r="H46" s="255">
        <v>101222359451</v>
      </c>
      <c r="I46" s="248">
        <v>4301489753</v>
      </c>
      <c r="J46" s="249">
        <v>494</v>
      </c>
      <c r="K46" s="249">
        <v>245</v>
      </c>
      <c r="L46" s="249">
        <v>739</v>
      </c>
      <c r="M46" s="249">
        <v>10</v>
      </c>
      <c r="N46" s="249">
        <v>9</v>
      </c>
      <c r="O46" s="249">
        <v>8</v>
      </c>
      <c r="P46" s="249">
        <v>0</v>
      </c>
      <c r="Q46" s="249">
        <v>0</v>
      </c>
      <c r="R46" s="249">
        <v>27</v>
      </c>
      <c r="S46" s="249">
        <v>0</v>
      </c>
      <c r="T46" s="249">
        <v>13338</v>
      </c>
      <c r="U46" s="249">
        <v>6615</v>
      </c>
      <c r="V46" s="249">
        <v>0</v>
      </c>
      <c r="W46" s="249">
        <v>19953</v>
      </c>
      <c r="X46" s="249">
        <v>0</v>
      </c>
      <c r="Y46" s="249">
        <v>0</v>
      </c>
      <c r="Z46" s="249">
        <v>0</v>
      </c>
      <c r="AA46" s="249">
        <v>930</v>
      </c>
      <c r="AB46" s="249">
        <v>1662</v>
      </c>
      <c r="AC46" s="249">
        <v>1160</v>
      </c>
      <c r="AD46" s="249">
        <v>6650</v>
      </c>
      <c r="AE46" s="249">
        <v>3192</v>
      </c>
      <c r="AF46" s="249">
        <v>0</v>
      </c>
      <c r="AG46" s="249">
        <v>540</v>
      </c>
      <c r="AH46" s="249">
        <v>34087</v>
      </c>
      <c r="AI46" s="249">
        <v>0</v>
      </c>
      <c r="AJ46" s="249">
        <v>1800</v>
      </c>
      <c r="AK46" s="249">
        <v>0</v>
      </c>
      <c r="AL46" s="249">
        <v>0</v>
      </c>
      <c r="AM46" s="249">
        <v>32287</v>
      </c>
      <c r="AN46" s="259">
        <v>1950</v>
      </c>
      <c r="AO46" s="259">
        <v>0</v>
      </c>
      <c r="AP46" s="257"/>
      <c r="AQ46" s="258"/>
      <c r="AR46" s="258" t="s">
        <v>501</v>
      </c>
      <c r="AS46" s="259" t="s">
        <v>252</v>
      </c>
      <c r="AT46" s="260">
        <v>10</v>
      </c>
      <c r="AU46" s="260">
        <v>8</v>
      </c>
      <c r="AV46" s="260">
        <v>8</v>
      </c>
      <c r="AW46" s="260">
        <v>0</v>
      </c>
      <c r="AX46" s="260">
        <v>0</v>
      </c>
      <c r="AY46" s="260">
        <v>0</v>
      </c>
      <c r="AZ46" s="264"/>
      <c r="BA46" s="264"/>
      <c r="BB46" s="256">
        <v>494</v>
      </c>
      <c r="BC46" s="256">
        <v>240</v>
      </c>
      <c r="BD46" s="256">
        <f t="shared" si="0"/>
        <v>734</v>
      </c>
    </row>
    <row r="47" spans="1:56" ht="45" customHeight="1">
      <c r="A47" s="248">
        <v>40</v>
      </c>
      <c r="B47" s="248" t="s">
        <v>253</v>
      </c>
      <c r="C47" s="248" t="s">
        <v>254</v>
      </c>
      <c r="D47" s="248" t="s">
        <v>182</v>
      </c>
      <c r="E47" s="248" t="s">
        <v>145</v>
      </c>
      <c r="F47" s="248" t="s">
        <v>362</v>
      </c>
      <c r="G47" s="248" t="s">
        <v>500</v>
      </c>
      <c r="H47" s="255">
        <v>101222359609</v>
      </c>
      <c r="I47" s="248">
        <v>4301489510</v>
      </c>
      <c r="J47" s="249">
        <v>410</v>
      </c>
      <c r="K47" s="249">
        <v>204</v>
      </c>
      <c r="L47" s="249">
        <v>614</v>
      </c>
      <c r="M47" s="249">
        <v>6</v>
      </c>
      <c r="N47" s="249">
        <v>5</v>
      </c>
      <c r="O47" s="249">
        <v>9</v>
      </c>
      <c r="P47" s="249">
        <v>0</v>
      </c>
      <c r="Q47" s="249">
        <v>0</v>
      </c>
      <c r="R47" s="249">
        <v>20</v>
      </c>
      <c r="S47" s="249">
        <v>0</v>
      </c>
      <c r="T47" s="249">
        <v>8200</v>
      </c>
      <c r="U47" s="249">
        <v>4080</v>
      </c>
      <c r="V47" s="249">
        <v>0</v>
      </c>
      <c r="W47" s="249">
        <v>12280</v>
      </c>
      <c r="X47" s="249">
        <v>0</v>
      </c>
      <c r="Y47" s="249">
        <v>0</v>
      </c>
      <c r="Z47" s="249">
        <v>0</v>
      </c>
      <c r="AA47" s="249">
        <v>614</v>
      </c>
      <c r="AB47" s="249">
        <v>1023</v>
      </c>
      <c r="AC47" s="249">
        <v>890</v>
      </c>
      <c r="AD47" s="249">
        <v>4093</v>
      </c>
      <c r="AE47" s="249">
        <v>1965</v>
      </c>
      <c r="AF47" s="249">
        <v>0</v>
      </c>
      <c r="AG47" s="249">
        <v>400</v>
      </c>
      <c r="AH47" s="249">
        <v>21265</v>
      </c>
      <c r="AI47" s="249">
        <v>0</v>
      </c>
      <c r="AJ47" s="249">
        <v>1474</v>
      </c>
      <c r="AK47" s="249">
        <v>0</v>
      </c>
      <c r="AL47" s="249">
        <v>0</v>
      </c>
      <c r="AM47" s="249">
        <v>19791</v>
      </c>
      <c r="AN47" s="259">
        <v>1596</v>
      </c>
      <c r="AO47" s="259">
        <v>0</v>
      </c>
      <c r="AP47" s="257"/>
      <c r="AQ47" s="258"/>
      <c r="AR47" s="258" t="s">
        <v>501</v>
      </c>
      <c r="AS47" s="259" t="s">
        <v>254</v>
      </c>
      <c r="AT47" s="260">
        <v>5</v>
      </c>
      <c r="AU47" s="260">
        <v>6</v>
      </c>
      <c r="AV47" s="260">
        <v>5</v>
      </c>
      <c r="AW47" s="260">
        <v>0</v>
      </c>
      <c r="AX47" s="260">
        <v>0</v>
      </c>
      <c r="AY47" s="260">
        <v>0</v>
      </c>
      <c r="AZ47" s="264"/>
      <c r="BA47" s="264"/>
      <c r="BB47" s="256">
        <v>410</v>
      </c>
      <c r="BC47" s="256">
        <v>200</v>
      </c>
      <c r="BD47" s="256">
        <f t="shared" si="0"/>
        <v>610</v>
      </c>
    </row>
    <row r="48" spans="1:57" ht="45" customHeight="1">
      <c r="A48" s="265">
        <v>41</v>
      </c>
      <c r="B48" s="265" t="s">
        <v>255</v>
      </c>
      <c r="C48" s="265" t="s">
        <v>256</v>
      </c>
      <c r="D48" s="265" t="s">
        <v>182</v>
      </c>
      <c r="E48" s="265" t="s">
        <v>145</v>
      </c>
      <c r="F48" s="265" t="s">
        <v>362</v>
      </c>
      <c r="G48" s="265" t="s">
        <v>500</v>
      </c>
      <c r="H48" s="266">
        <v>101222360246</v>
      </c>
      <c r="I48" s="265">
        <v>4301489124</v>
      </c>
      <c r="J48" s="267">
        <v>410</v>
      </c>
      <c r="K48" s="267">
        <v>204</v>
      </c>
      <c r="L48" s="267">
        <v>614</v>
      </c>
      <c r="M48" s="267">
        <v>8</v>
      </c>
      <c r="N48" s="267">
        <v>10</v>
      </c>
      <c r="O48" s="267">
        <v>8</v>
      </c>
      <c r="P48" s="267">
        <v>0</v>
      </c>
      <c r="Q48" s="249">
        <v>0</v>
      </c>
      <c r="R48" s="267">
        <v>26</v>
      </c>
      <c r="S48" s="249">
        <v>0</v>
      </c>
      <c r="T48" s="267">
        <v>10660</v>
      </c>
      <c r="U48" s="267">
        <v>5304</v>
      </c>
      <c r="V48" s="249">
        <v>0</v>
      </c>
      <c r="W48" s="267">
        <v>15964</v>
      </c>
      <c r="X48" s="267">
        <v>0</v>
      </c>
      <c r="Y48" s="267">
        <v>0</v>
      </c>
      <c r="Z48" s="267">
        <v>0</v>
      </c>
      <c r="AA48" s="267">
        <v>772</v>
      </c>
      <c r="AB48" s="267">
        <v>1330</v>
      </c>
      <c r="AC48" s="267">
        <v>1120</v>
      </c>
      <c r="AD48" s="267">
        <v>5321</v>
      </c>
      <c r="AE48" s="267">
        <v>2554</v>
      </c>
      <c r="AF48" s="267">
        <v>0</v>
      </c>
      <c r="AG48" s="267">
        <v>520</v>
      </c>
      <c r="AH48" s="267">
        <v>27581</v>
      </c>
      <c r="AI48" s="267">
        <v>0</v>
      </c>
      <c r="AJ48" s="267">
        <v>1800</v>
      </c>
      <c r="AK48" s="267">
        <v>0</v>
      </c>
      <c r="AL48" s="267">
        <v>0</v>
      </c>
      <c r="AM48" s="267">
        <v>25781</v>
      </c>
      <c r="AN48" s="259">
        <v>1950</v>
      </c>
      <c r="AO48" s="259">
        <v>0</v>
      </c>
      <c r="AP48" s="257"/>
      <c r="AQ48" s="258"/>
      <c r="AR48" s="258" t="s">
        <v>502</v>
      </c>
      <c r="AS48" s="259" t="s">
        <v>256</v>
      </c>
      <c r="AT48" s="260">
        <v>8</v>
      </c>
      <c r="AU48" s="260">
        <v>10</v>
      </c>
      <c r="AV48" s="260">
        <v>8</v>
      </c>
      <c r="AW48" s="260">
        <v>0</v>
      </c>
      <c r="AX48" s="260">
        <v>28</v>
      </c>
      <c r="AY48" s="260">
        <v>0</v>
      </c>
      <c r="AZ48" s="264"/>
      <c r="BA48" s="264"/>
      <c r="BB48" s="256">
        <v>410</v>
      </c>
      <c r="BC48" s="256">
        <v>200</v>
      </c>
      <c r="BD48" s="256">
        <f t="shared" si="0"/>
        <v>610</v>
      </c>
      <c r="BE48" t="s">
        <v>502</v>
      </c>
    </row>
    <row r="49" spans="1:56" ht="45" customHeight="1">
      <c r="A49" s="265">
        <v>42</v>
      </c>
      <c r="B49" s="265" t="s">
        <v>257</v>
      </c>
      <c r="C49" s="265" t="s">
        <v>256</v>
      </c>
      <c r="D49" s="265" t="s">
        <v>196</v>
      </c>
      <c r="E49" s="265" t="s">
        <v>144</v>
      </c>
      <c r="F49" s="265" t="s">
        <v>363</v>
      </c>
      <c r="G49" s="265" t="s">
        <v>500</v>
      </c>
      <c r="H49" s="266">
        <v>101222359498</v>
      </c>
      <c r="I49" s="265">
        <v>4301489730</v>
      </c>
      <c r="J49" s="267">
        <v>494</v>
      </c>
      <c r="K49" s="267">
        <v>245</v>
      </c>
      <c r="L49" s="267">
        <v>739</v>
      </c>
      <c r="M49" s="267">
        <v>9</v>
      </c>
      <c r="N49" s="267">
        <v>8</v>
      </c>
      <c r="O49" s="267">
        <v>8</v>
      </c>
      <c r="P49" s="267">
        <v>0</v>
      </c>
      <c r="Q49" s="249">
        <v>0</v>
      </c>
      <c r="R49" s="267">
        <v>25</v>
      </c>
      <c r="S49" s="249">
        <v>0</v>
      </c>
      <c r="T49" s="267">
        <v>12350</v>
      </c>
      <c r="U49" s="267">
        <v>6125</v>
      </c>
      <c r="V49" s="249">
        <v>0</v>
      </c>
      <c r="W49" s="267">
        <v>18475</v>
      </c>
      <c r="X49" s="267">
        <v>0</v>
      </c>
      <c r="Y49" s="267">
        <v>0</v>
      </c>
      <c r="Z49" s="267">
        <v>0</v>
      </c>
      <c r="AA49" s="267">
        <v>924</v>
      </c>
      <c r="AB49" s="267">
        <v>1539</v>
      </c>
      <c r="AC49" s="267">
        <v>1080</v>
      </c>
      <c r="AD49" s="267">
        <v>6158</v>
      </c>
      <c r="AE49" s="267">
        <v>2956</v>
      </c>
      <c r="AF49" s="267">
        <v>0</v>
      </c>
      <c r="AG49" s="267">
        <v>500</v>
      </c>
      <c r="AH49" s="267">
        <v>31632</v>
      </c>
      <c r="AI49" s="267">
        <v>0</v>
      </c>
      <c r="AJ49" s="267">
        <v>1800</v>
      </c>
      <c r="AK49" s="267">
        <v>0</v>
      </c>
      <c r="AL49" s="267">
        <v>0</v>
      </c>
      <c r="AM49" s="267">
        <v>29832</v>
      </c>
      <c r="AN49" s="259">
        <v>1950</v>
      </c>
      <c r="AO49" s="259">
        <v>0</v>
      </c>
      <c r="AP49" s="257"/>
      <c r="AQ49" s="258"/>
      <c r="AR49" s="258" t="s">
        <v>501</v>
      </c>
      <c r="AS49" s="259" t="s">
        <v>256</v>
      </c>
      <c r="AT49" s="260">
        <v>8</v>
      </c>
      <c r="AU49" s="260">
        <v>8</v>
      </c>
      <c r="AV49" s="260">
        <v>10</v>
      </c>
      <c r="AW49" s="260">
        <v>0</v>
      </c>
      <c r="AX49" s="260">
        <v>0</v>
      </c>
      <c r="AY49" s="260">
        <v>0</v>
      </c>
      <c r="AZ49" s="264"/>
      <c r="BA49" s="264"/>
      <c r="BB49" s="256">
        <v>494</v>
      </c>
      <c r="BC49" s="256">
        <v>240</v>
      </c>
      <c r="BD49" s="256">
        <f t="shared" si="0"/>
        <v>734</v>
      </c>
    </row>
    <row r="50" spans="1:56" ht="45" customHeight="1">
      <c r="A50" s="248">
        <v>43</v>
      </c>
      <c r="B50" s="248" t="s">
        <v>258</v>
      </c>
      <c r="C50" s="248" t="s">
        <v>259</v>
      </c>
      <c r="D50" s="248" t="s">
        <v>182</v>
      </c>
      <c r="E50" s="248" t="s">
        <v>146</v>
      </c>
      <c r="F50" s="248" t="s">
        <v>361</v>
      </c>
      <c r="G50" s="248" t="s">
        <v>500</v>
      </c>
      <c r="H50" s="255">
        <v>101222359785</v>
      </c>
      <c r="I50" s="248">
        <v>4301489472</v>
      </c>
      <c r="J50" s="249">
        <v>350</v>
      </c>
      <c r="K50" s="249">
        <v>176</v>
      </c>
      <c r="L50" s="249">
        <v>526</v>
      </c>
      <c r="M50" s="249">
        <v>0</v>
      </c>
      <c r="N50" s="249">
        <v>0</v>
      </c>
      <c r="O50" s="249">
        <v>0</v>
      </c>
      <c r="P50" s="249">
        <v>24</v>
      </c>
      <c r="Q50" s="249">
        <v>0</v>
      </c>
      <c r="R50" s="249">
        <v>24</v>
      </c>
      <c r="S50" s="249">
        <v>2</v>
      </c>
      <c r="T50" s="249">
        <v>8400</v>
      </c>
      <c r="U50" s="249">
        <v>4224</v>
      </c>
      <c r="V50" s="249">
        <v>0</v>
      </c>
      <c r="W50" s="249">
        <v>12624</v>
      </c>
      <c r="X50" s="249">
        <v>263</v>
      </c>
      <c r="Y50" s="249">
        <v>0</v>
      </c>
      <c r="Z50" s="249">
        <v>0</v>
      </c>
      <c r="AA50" s="249">
        <v>631</v>
      </c>
      <c r="AB50" s="249">
        <v>1052</v>
      </c>
      <c r="AC50" s="249">
        <v>0</v>
      </c>
      <c r="AD50" s="249">
        <v>4208</v>
      </c>
      <c r="AE50" s="249">
        <v>2020</v>
      </c>
      <c r="AF50" s="249">
        <v>0</v>
      </c>
      <c r="AG50" s="249">
        <v>480</v>
      </c>
      <c r="AH50" s="249">
        <v>21278</v>
      </c>
      <c r="AI50" s="249">
        <v>0</v>
      </c>
      <c r="AJ50" s="249">
        <v>1515</v>
      </c>
      <c r="AK50" s="249">
        <v>144</v>
      </c>
      <c r="AL50" s="249">
        <v>0</v>
      </c>
      <c r="AM50" s="249">
        <v>19619</v>
      </c>
      <c r="AN50" s="259">
        <v>1641</v>
      </c>
      <c r="AO50" s="259">
        <v>622</v>
      </c>
      <c r="AP50" s="257"/>
      <c r="AQ50" s="258"/>
      <c r="AR50" s="258" t="s">
        <v>501</v>
      </c>
      <c r="AS50" s="259" t="s">
        <v>259</v>
      </c>
      <c r="AT50" s="260">
        <v>0</v>
      </c>
      <c r="AU50" s="260">
        <v>0</v>
      </c>
      <c r="AV50" s="260">
        <v>0</v>
      </c>
      <c r="AW50" s="260">
        <v>24</v>
      </c>
      <c r="AX50" s="260">
        <v>16</v>
      </c>
      <c r="AY50" s="260">
        <v>0</v>
      </c>
      <c r="AZ50" s="264"/>
      <c r="BA50" s="264"/>
      <c r="BB50" s="256">
        <v>350</v>
      </c>
      <c r="BC50" s="256">
        <v>172</v>
      </c>
      <c r="BD50" s="256">
        <f t="shared" si="0"/>
        <v>522</v>
      </c>
    </row>
    <row r="51" spans="1:56" ht="45" customHeight="1">
      <c r="A51" s="248">
        <v>44</v>
      </c>
      <c r="B51" s="248" t="s">
        <v>260</v>
      </c>
      <c r="C51" s="248" t="s">
        <v>261</v>
      </c>
      <c r="D51" s="248" t="s">
        <v>182</v>
      </c>
      <c r="E51" s="248" t="s">
        <v>145</v>
      </c>
      <c r="F51" s="248" t="s">
        <v>362</v>
      </c>
      <c r="G51" s="248" t="s">
        <v>500</v>
      </c>
      <c r="H51" s="255">
        <v>101222359511</v>
      </c>
      <c r="I51" s="248">
        <v>4301489521</v>
      </c>
      <c r="J51" s="249">
        <v>410</v>
      </c>
      <c r="K51" s="249">
        <v>204</v>
      </c>
      <c r="L51" s="249">
        <v>614</v>
      </c>
      <c r="M51" s="249">
        <v>0</v>
      </c>
      <c r="N51" s="249">
        <v>0</v>
      </c>
      <c r="O51" s="249">
        <v>0</v>
      </c>
      <c r="P51" s="249">
        <v>21</v>
      </c>
      <c r="Q51" s="249">
        <v>0</v>
      </c>
      <c r="R51" s="249">
        <v>21</v>
      </c>
      <c r="S51" s="249">
        <v>2</v>
      </c>
      <c r="T51" s="249">
        <v>8610</v>
      </c>
      <c r="U51" s="249">
        <v>4284</v>
      </c>
      <c r="V51" s="249">
        <v>0</v>
      </c>
      <c r="W51" s="249">
        <v>12894</v>
      </c>
      <c r="X51" s="249">
        <v>307</v>
      </c>
      <c r="Y51" s="249">
        <v>0</v>
      </c>
      <c r="Z51" s="249">
        <v>0</v>
      </c>
      <c r="AA51" s="249">
        <v>645</v>
      </c>
      <c r="AB51" s="249">
        <v>1074</v>
      </c>
      <c r="AC51" s="249">
        <v>0</v>
      </c>
      <c r="AD51" s="249">
        <v>4298</v>
      </c>
      <c r="AE51" s="249">
        <v>2063</v>
      </c>
      <c r="AF51" s="249">
        <v>0</v>
      </c>
      <c r="AG51" s="249">
        <v>420</v>
      </c>
      <c r="AH51" s="249">
        <v>21701</v>
      </c>
      <c r="AI51" s="249">
        <v>0</v>
      </c>
      <c r="AJ51" s="249">
        <v>1547</v>
      </c>
      <c r="AK51" s="249">
        <v>0</v>
      </c>
      <c r="AL51" s="249">
        <v>0</v>
      </c>
      <c r="AM51" s="249">
        <v>20154</v>
      </c>
      <c r="AN51" s="259">
        <v>1676</v>
      </c>
      <c r="AO51" s="259">
        <v>0</v>
      </c>
      <c r="AP51" s="257"/>
      <c r="AQ51" s="258"/>
      <c r="AR51" s="258" t="s">
        <v>501</v>
      </c>
      <c r="AS51" s="259" t="s">
        <v>261</v>
      </c>
      <c r="AT51" s="260">
        <v>0</v>
      </c>
      <c r="AU51" s="260">
        <v>0</v>
      </c>
      <c r="AV51" s="260">
        <v>0</v>
      </c>
      <c r="AW51" s="260">
        <v>19</v>
      </c>
      <c r="AX51" s="260">
        <v>4</v>
      </c>
      <c r="AY51" s="260">
        <v>0</v>
      </c>
      <c r="AZ51" s="264"/>
      <c r="BA51" s="264"/>
      <c r="BB51" s="256">
        <v>410</v>
      </c>
      <c r="BC51" s="256">
        <v>200</v>
      </c>
      <c r="BD51" s="256">
        <f t="shared" si="0"/>
        <v>610</v>
      </c>
    </row>
    <row r="52" spans="1:56" ht="45" customHeight="1">
      <c r="A52" s="248">
        <v>45</v>
      </c>
      <c r="B52" s="248" t="s">
        <v>262</v>
      </c>
      <c r="C52" s="248" t="s">
        <v>263</v>
      </c>
      <c r="D52" s="248" t="s">
        <v>196</v>
      </c>
      <c r="E52" s="248" t="s">
        <v>145</v>
      </c>
      <c r="F52" s="248" t="s">
        <v>362</v>
      </c>
      <c r="G52" s="248" t="s">
        <v>500</v>
      </c>
      <c r="H52" s="255">
        <v>101222360042</v>
      </c>
      <c r="I52" s="248">
        <v>4301489316</v>
      </c>
      <c r="J52" s="249">
        <v>410</v>
      </c>
      <c r="K52" s="249">
        <v>204</v>
      </c>
      <c r="L52" s="249">
        <v>614</v>
      </c>
      <c r="M52" s="249">
        <v>0</v>
      </c>
      <c r="N52" s="249">
        <v>0</v>
      </c>
      <c r="O52" s="249">
        <v>0</v>
      </c>
      <c r="P52" s="249">
        <v>27</v>
      </c>
      <c r="Q52" s="249">
        <v>0</v>
      </c>
      <c r="R52" s="249">
        <v>27</v>
      </c>
      <c r="S52" s="249">
        <v>0</v>
      </c>
      <c r="T52" s="249">
        <v>11070</v>
      </c>
      <c r="U52" s="249">
        <v>5508</v>
      </c>
      <c r="V52" s="249">
        <v>0</v>
      </c>
      <c r="W52" s="249">
        <v>16578</v>
      </c>
      <c r="X52" s="249">
        <v>0</v>
      </c>
      <c r="Y52" s="249">
        <v>0</v>
      </c>
      <c r="Z52" s="249">
        <v>0</v>
      </c>
      <c r="AA52" s="249">
        <v>772</v>
      </c>
      <c r="AB52" s="249">
        <v>1381</v>
      </c>
      <c r="AC52" s="249">
        <v>0</v>
      </c>
      <c r="AD52" s="249">
        <v>5525</v>
      </c>
      <c r="AE52" s="249">
        <v>2652</v>
      </c>
      <c r="AF52" s="249">
        <v>0</v>
      </c>
      <c r="AG52" s="249">
        <v>540</v>
      </c>
      <c r="AH52" s="249">
        <v>27448</v>
      </c>
      <c r="AI52" s="249">
        <v>0</v>
      </c>
      <c r="AJ52" s="249">
        <v>1800</v>
      </c>
      <c r="AK52" s="249">
        <v>0</v>
      </c>
      <c r="AL52" s="249">
        <v>0</v>
      </c>
      <c r="AM52" s="249">
        <v>25648</v>
      </c>
      <c r="AN52" s="259">
        <v>1950</v>
      </c>
      <c r="AO52" s="259">
        <v>0</v>
      </c>
      <c r="AP52" s="257"/>
      <c r="AQ52" s="258"/>
      <c r="AR52" s="258" t="s">
        <v>501</v>
      </c>
      <c r="AS52" s="259" t="s">
        <v>263</v>
      </c>
      <c r="AT52" s="260">
        <v>0</v>
      </c>
      <c r="AU52" s="260">
        <v>0</v>
      </c>
      <c r="AV52" s="260">
        <v>0</v>
      </c>
      <c r="AW52" s="260">
        <v>25</v>
      </c>
      <c r="AX52" s="260">
        <v>0</v>
      </c>
      <c r="AY52" s="260">
        <v>0</v>
      </c>
      <c r="AZ52" s="264"/>
      <c r="BA52" s="264"/>
      <c r="BB52" s="256">
        <v>410</v>
      </c>
      <c r="BC52" s="256">
        <v>200</v>
      </c>
      <c r="BD52" s="256">
        <f t="shared" si="0"/>
        <v>610</v>
      </c>
    </row>
    <row r="53" spans="1:65" ht="45" customHeight="1">
      <c r="A53" s="248">
        <v>46</v>
      </c>
      <c r="B53" s="248" t="s">
        <v>427</v>
      </c>
      <c r="C53" s="248" t="s">
        <v>428</v>
      </c>
      <c r="D53" s="248" t="s">
        <v>196</v>
      </c>
      <c r="E53" s="248" t="s">
        <v>146</v>
      </c>
      <c r="F53" s="248" t="s">
        <v>361</v>
      </c>
      <c r="G53" s="248" t="s">
        <v>500</v>
      </c>
      <c r="H53" s="255">
        <v>101222360159</v>
      </c>
      <c r="I53" s="248">
        <v>4301489277</v>
      </c>
      <c r="J53" s="249">
        <v>350</v>
      </c>
      <c r="K53" s="249">
        <v>176</v>
      </c>
      <c r="L53" s="249">
        <v>526</v>
      </c>
      <c r="M53" s="249">
        <v>0</v>
      </c>
      <c r="N53" s="249">
        <v>0</v>
      </c>
      <c r="O53" s="249">
        <v>0</v>
      </c>
      <c r="P53" s="249">
        <v>0</v>
      </c>
      <c r="Q53" s="249">
        <v>0</v>
      </c>
      <c r="R53" s="249">
        <v>0</v>
      </c>
      <c r="S53" s="249">
        <v>0</v>
      </c>
      <c r="T53" s="249">
        <v>0</v>
      </c>
      <c r="U53" s="249">
        <v>0</v>
      </c>
      <c r="V53" s="249">
        <v>0</v>
      </c>
      <c r="W53" s="249">
        <v>0</v>
      </c>
      <c r="X53" s="249">
        <v>0</v>
      </c>
      <c r="Y53" s="249">
        <v>0</v>
      </c>
      <c r="Z53" s="249">
        <v>0</v>
      </c>
      <c r="AA53" s="249">
        <v>0</v>
      </c>
      <c r="AB53" s="249">
        <v>0</v>
      </c>
      <c r="AC53" s="249">
        <v>0</v>
      </c>
      <c r="AD53" s="249">
        <v>0</v>
      </c>
      <c r="AE53" s="249">
        <v>0</v>
      </c>
      <c r="AF53" s="249">
        <v>0</v>
      </c>
      <c r="AG53" s="249">
        <v>0</v>
      </c>
      <c r="AH53" s="249">
        <v>0</v>
      </c>
      <c r="AI53" s="249">
        <v>0</v>
      </c>
      <c r="AJ53" s="249">
        <v>0</v>
      </c>
      <c r="AK53" s="249">
        <v>0</v>
      </c>
      <c r="AL53" s="249">
        <v>0</v>
      </c>
      <c r="AM53" s="249">
        <v>0</v>
      </c>
      <c r="AN53" s="259">
        <v>0</v>
      </c>
      <c r="AO53" s="259">
        <v>0</v>
      </c>
      <c r="AP53" s="257"/>
      <c r="AQ53" s="258"/>
      <c r="AR53" s="258"/>
      <c r="AS53" s="259" t="s">
        <v>428</v>
      </c>
      <c r="AT53" s="268">
        <v>0</v>
      </c>
      <c r="AU53" s="268">
        <v>0</v>
      </c>
      <c r="AV53" s="268">
        <v>0</v>
      </c>
      <c r="AW53" s="268">
        <v>0</v>
      </c>
      <c r="AX53" s="268">
        <v>0</v>
      </c>
      <c r="AY53" s="268">
        <v>0</v>
      </c>
      <c r="AZ53" s="269"/>
      <c r="BA53" s="269"/>
      <c r="BB53" s="270">
        <v>350</v>
      </c>
      <c r="BC53" s="270">
        <v>172</v>
      </c>
      <c r="BD53" s="256">
        <f t="shared" si="0"/>
        <v>522</v>
      </c>
      <c r="BE53" s="271"/>
      <c r="BF53" s="271"/>
      <c r="BG53" s="271"/>
      <c r="BH53" s="271"/>
      <c r="BI53" s="271"/>
      <c r="BJ53" s="271"/>
      <c r="BK53" s="271"/>
      <c r="BL53" s="271"/>
      <c r="BM53" s="271"/>
    </row>
    <row r="54" spans="1:65" ht="45" customHeight="1">
      <c r="A54" s="248">
        <v>47</v>
      </c>
      <c r="B54" s="248" t="s">
        <v>264</v>
      </c>
      <c r="C54" s="248" t="s">
        <v>265</v>
      </c>
      <c r="D54" s="248" t="s">
        <v>369</v>
      </c>
      <c r="E54" s="248" t="s">
        <v>146</v>
      </c>
      <c r="F54" s="248" t="s">
        <v>361</v>
      </c>
      <c r="G54" s="248" t="s">
        <v>500</v>
      </c>
      <c r="H54" s="255">
        <v>101222360320</v>
      </c>
      <c r="I54" s="248">
        <v>4301489024</v>
      </c>
      <c r="J54" s="249">
        <v>350</v>
      </c>
      <c r="K54" s="249">
        <v>176</v>
      </c>
      <c r="L54" s="249">
        <v>526</v>
      </c>
      <c r="M54" s="249">
        <v>8</v>
      </c>
      <c r="N54" s="249">
        <v>9</v>
      </c>
      <c r="O54" s="249">
        <v>9</v>
      </c>
      <c r="P54" s="249">
        <v>0</v>
      </c>
      <c r="Q54" s="249">
        <v>0</v>
      </c>
      <c r="R54" s="249">
        <v>26</v>
      </c>
      <c r="S54" s="249">
        <v>0</v>
      </c>
      <c r="T54" s="249">
        <v>9100</v>
      </c>
      <c r="U54" s="249">
        <v>4576</v>
      </c>
      <c r="V54" s="249">
        <v>0</v>
      </c>
      <c r="W54" s="249">
        <v>13676</v>
      </c>
      <c r="X54" s="249">
        <v>0</v>
      </c>
      <c r="Y54" s="249">
        <v>0</v>
      </c>
      <c r="Z54" s="249">
        <v>0</v>
      </c>
      <c r="AA54" s="249">
        <v>662</v>
      </c>
      <c r="AB54" s="249">
        <v>1139</v>
      </c>
      <c r="AC54" s="249">
        <v>1130</v>
      </c>
      <c r="AD54" s="249">
        <v>4558</v>
      </c>
      <c r="AE54" s="249">
        <v>2188</v>
      </c>
      <c r="AF54" s="249">
        <v>0</v>
      </c>
      <c r="AG54" s="249">
        <v>520</v>
      </c>
      <c r="AH54" s="249">
        <v>23873</v>
      </c>
      <c r="AI54" s="249">
        <v>0</v>
      </c>
      <c r="AJ54" s="249">
        <v>1641</v>
      </c>
      <c r="AK54" s="249">
        <v>162</v>
      </c>
      <c r="AL54" s="249">
        <v>0</v>
      </c>
      <c r="AM54" s="249">
        <v>22070</v>
      </c>
      <c r="AN54" s="259">
        <v>1778</v>
      </c>
      <c r="AO54" s="259">
        <v>701</v>
      </c>
      <c r="AP54" s="257"/>
      <c r="AQ54" s="258"/>
      <c r="AR54" s="258" t="s">
        <v>501</v>
      </c>
      <c r="AS54" s="259" t="s">
        <v>265</v>
      </c>
      <c r="AT54" s="268">
        <v>8</v>
      </c>
      <c r="AU54" s="268">
        <v>9</v>
      </c>
      <c r="AV54" s="268">
        <v>8</v>
      </c>
      <c r="AW54" s="268">
        <v>0</v>
      </c>
      <c r="AX54" s="268">
        <v>4</v>
      </c>
      <c r="AY54" s="268">
        <v>0</v>
      </c>
      <c r="AZ54" s="269"/>
      <c r="BA54" s="269"/>
      <c r="BB54" s="270">
        <v>350</v>
      </c>
      <c r="BC54" s="270">
        <v>172</v>
      </c>
      <c r="BD54" s="256">
        <f t="shared" si="0"/>
        <v>522</v>
      </c>
      <c r="BE54" s="271"/>
      <c r="BF54" s="271"/>
      <c r="BG54" s="271"/>
      <c r="BH54" s="271"/>
      <c r="BI54" s="271"/>
      <c r="BJ54" s="271"/>
      <c r="BK54" s="271"/>
      <c r="BL54" s="271"/>
      <c r="BM54" s="271"/>
    </row>
    <row r="55" spans="1:65" ht="45" customHeight="1">
      <c r="A55" s="248">
        <v>48</v>
      </c>
      <c r="B55" s="248" t="s">
        <v>266</v>
      </c>
      <c r="C55" s="248" t="s">
        <v>267</v>
      </c>
      <c r="D55" s="248" t="s">
        <v>182</v>
      </c>
      <c r="E55" s="248" t="s">
        <v>146</v>
      </c>
      <c r="F55" s="248" t="s">
        <v>361</v>
      </c>
      <c r="G55" s="248" t="s">
        <v>500</v>
      </c>
      <c r="H55" s="255">
        <v>101222359737</v>
      </c>
      <c r="I55" s="248">
        <v>4301489485</v>
      </c>
      <c r="J55" s="249">
        <v>350</v>
      </c>
      <c r="K55" s="249">
        <v>176</v>
      </c>
      <c r="L55" s="249">
        <v>526</v>
      </c>
      <c r="M55" s="249">
        <v>8</v>
      </c>
      <c r="N55" s="249">
        <v>9</v>
      </c>
      <c r="O55" s="249">
        <v>9</v>
      </c>
      <c r="P55" s="249">
        <v>0</v>
      </c>
      <c r="Q55" s="249">
        <v>0</v>
      </c>
      <c r="R55" s="249">
        <v>26</v>
      </c>
      <c r="S55" s="249">
        <v>0</v>
      </c>
      <c r="T55" s="249">
        <v>9100</v>
      </c>
      <c r="U55" s="249">
        <v>4576</v>
      </c>
      <c r="V55" s="249">
        <v>0</v>
      </c>
      <c r="W55" s="249">
        <v>13676</v>
      </c>
      <c r="X55" s="249">
        <v>0</v>
      </c>
      <c r="Y55" s="249">
        <v>0</v>
      </c>
      <c r="Z55" s="249">
        <v>0</v>
      </c>
      <c r="AA55" s="249">
        <v>662</v>
      </c>
      <c r="AB55" s="249">
        <v>1139</v>
      </c>
      <c r="AC55" s="249">
        <v>1130</v>
      </c>
      <c r="AD55" s="249">
        <v>4558</v>
      </c>
      <c r="AE55" s="249">
        <v>2188</v>
      </c>
      <c r="AF55" s="249">
        <v>0</v>
      </c>
      <c r="AG55" s="249">
        <v>520</v>
      </c>
      <c r="AH55" s="249">
        <v>23873</v>
      </c>
      <c r="AI55" s="249">
        <v>0</v>
      </c>
      <c r="AJ55" s="249">
        <v>1641</v>
      </c>
      <c r="AK55" s="249">
        <v>162</v>
      </c>
      <c r="AL55" s="249">
        <v>0</v>
      </c>
      <c r="AM55" s="249">
        <v>22070</v>
      </c>
      <c r="AN55" s="259">
        <v>1778</v>
      </c>
      <c r="AO55" s="259">
        <v>701</v>
      </c>
      <c r="AP55" s="257"/>
      <c r="AQ55" s="258"/>
      <c r="AR55" s="258" t="s">
        <v>501</v>
      </c>
      <c r="AS55" s="259" t="s">
        <v>267</v>
      </c>
      <c r="AT55" s="268">
        <v>8</v>
      </c>
      <c r="AU55" s="268">
        <v>9</v>
      </c>
      <c r="AV55" s="268">
        <v>8</v>
      </c>
      <c r="AW55" s="268">
        <v>0</v>
      </c>
      <c r="AX55" s="268">
        <v>0</v>
      </c>
      <c r="AY55" s="268">
        <v>1</v>
      </c>
      <c r="AZ55" s="269"/>
      <c r="BA55" s="269"/>
      <c r="BB55" s="270">
        <v>350</v>
      </c>
      <c r="BC55" s="270">
        <v>172</v>
      </c>
      <c r="BD55" s="256">
        <f t="shared" si="0"/>
        <v>522</v>
      </c>
      <c r="BE55" s="271"/>
      <c r="BF55" s="271"/>
      <c r="BG55" s="271"/>
      <c r="BH55" s="271"/>
      <c r="BI55" s="271"/>
      <c r="BJ55" s="271"/>
      <c r="BK55" s="271"/>
      <c r="BL55" s="271"/>
      <c r="BM55" s="271"/>
    </row>
    <row r="56" spans="1:56" ht="45" customHeight="1">
      <c r="A56" s="248">
        <v>49</v>
      </c>
      <c r="B56" s="248" t="s">
        <v>268</v>
      </c>
      <c r="C56" s="248" t="s">
        <v>269</v>
      </c>
      <c r="D56" s="248" t="s">
        <v>369</v>
      </c>
      <c r="E56" s="248" t="s">
        <v>144</v>
      </c>
      <c r="F56" s="248" t="s">
        <v>363</v>
      </c>
      <c r="G56" s="248" t="s">
        <v>500</v>
      </c>
      <c r="H56" s="255">
        <v>101222360267</v>
      </c>
      <c r="I56" s="248">
        <v>4301489116</v>
      </c>
      <c r="J56" s="249">
        <v>494</v>
      </c>
      <c r="K56" s="249">
        <v>245</v>
      </c>
      <c r="L56" s="249">
        <v>739</v>
      </c>
      <c r="M56" s="249">
        <v>10</v>
      </c>
      <c r="N56" s="249">
        <v>9</v>
      </c>
      <c r="O56" s="249">
        <v>8</v>
      </c>
      <c r="P56" s="249">
        <v>0</v>
      </c>
      <c r="Q56" s="249">
        <v>0</v>
      </c>
      <c r="R56" s="249">
        <v>27</v>
      </c>
      <c r="S56" s="249">
        <v>0</v>
      </c>
      <c r="T56" s="249">
        <v>13338</v>
      </c>
      <c r="U56" s="249">
        <v>6615</v>
      </c>
      <c r="V56" s="249">
        <v>0</v>
      </c>
      <c r="W56" s="249">
        <v>19953</v>
      </c>
      <c r="X56" s="249">
        <v>0</v>
      </c>
      <c r="Y56" s="249">
        <v>0</v>
      </c>
      <c r="Z56" s="249">
        <v>0</v>
      </c>
      <c r="AA56" s="249">
        <v>930</v>
      </c>
      <c r="AB56" s="249">
        <v>1662</v>
      </c>
      <c r="AC56" s="249">
        <v>1160</v>
      </c>
      <c r="AD56" s="249">
        <v>6650</v>
      </c>
      <c r="AE56" s="249">
        <v>3192</v>
      </c>
      <c r="AF56" s="249">
        <v>0</v>
      </c>
      <c r="AG56" s="249">
        <v>540</v>
      </c>
      <c r="AH56" s="249">
        <v>34087</v>
      </c>
      <c r="AI56" s="249">
        <v>0</v>
      </c>
      <c r="AJ56" s="249">
        <v>1800</v>
      </c>
      <c r="AK56" s="249">
        <v>0</v>
      </c>
      <c r="AL56" s="249">
        <v>0</v>
      </c>
      <c r="AM56" s="249">
        <v>32287</v>
      </c>
      <c r="AN56" s="259">
        <v>1950</v>
      </c>
      <c r="AO56" s="259">
        <v>0</v>
      </c>
      <c r="AP56" s="257"/>
      <c r="AQ56" s="258"/>
      <c r="AR56" s="258" t="s">
        <v>501</v>
      </c>
      <c r="AS56" s="259" t="s">
        <v>269</v>
      </c>
      <c r="AT56" s="260">
        <v>9</v>
      </c>
      <c r="AU56" s="260">
        <v>9</v>
      </c>
      <c r="AV56" s="260">
        <v>8</v>
      </c>
      <c r="AW56" s="260">
        <v>0</v>
      </c>
      <c r="AX56" s="260">
        <v>0</v>
      </c>
      <c r="AY56" s="260">
        <v>0</v>
      </c>
      <c r="AZ56" s="264"/>
      <c r="BA56" s="264"/>
      <c r="BB56" s="256">
        <v>494</v>
      </c>
      <c r="BC56" s="256">
        <v>240</v>
      </c>
      <c r="BD56" s="256">
        <f t="shared" si="0"/>
        <v>734</v>
      </c>
    </row>
    <row r="57" spans="1:56" ht="45" customHeight="1">
      <c r="A57" s="248">
        <v>50</v>
      </c>
      <c r="B57" s="248" t="s">
        <v>270</v>
      </c>
      <c r="C57" s="248" t="s">
        <v>271</v>
      </c>
      <c r="D57" s="248" t="s">
        <v>369</v>
      </c>
      <c r="E57" s="248" t="s">
        <v>146</v>
      </c>
      <c r="F57" s="248" t="s">
        <v>361</v>
      </c>
      <c r="G57" s="248" t="s">
        <v>500</v>
      </c>
      <c r="H57" s="255">
        <v>101222360298</v>
      </c>
      <c r="I57" s="248">
        <v>4301489035</v>
      </c>
      <c r="J57" s="249">
        <v>350</v>
      </c>
      <c r="K57" s="249">
        <v>176</v>
      </c>
      <c r="L57" s="249">
        <v>526</v>
      </c>
      <c r="M57" s="249">
        <v>4</v>
      </c>
      <c r="N57" s="249">
        <v>4</v>
      </c>
      <c r="O57" s="249">
        <v>5</v>
      </c>
      <c r="P57" s="249">
        <v>12</v>
      </c>
      <c r="Q57" s="249">
        <v>0</v>
      </c>
      <c r="R57" s="249">
        <v>25</v>
      </c>
      <c r="S57" s="249">
        <v>0</v>
      </c>
      <c r="T57" s="249">
        <v>8750</v>
      </c>
      <c r="U57" s="249">
        <v>4400</v>
      </c>
      <c r="V57" s="249">
        <v>0</v>
      </c>
      <c r="W57" s="249">
        <v>13150</v>
      </c>
      <c r="X57" s="249">
        <v>0</v>
      </c>
      <c r="Y57" s="249">
        <v>0</v>
      </c>
      <c r="Z57" s="249">
        <v>0</v>
      </c>
      <c r="AA57" s="249">
        <v>658</v>
      </c>
      <c r="AB57" s="249">
        <v>1095</v>
      </c>
      <c r="AC57" s="249">
        <v>570</v>
      </c>
      <c r="AD57" s="249">
        <v>4383</v>
      </c>
      <c r="AE57" s="249">
        <v>2104</v>
      </c>
      <c r="AF57" s="249">
        <v>0</v>
      </c>
      <c r="AG57" s="249">
        <v>500</v>
      </c>
      <c r="AH57" s="249">
        <v>22460</v>
      </c>
      <c r="AI57" s="249">
        <v>0</v>
      </c>
      <c r="AJ57" s="249">
        <v>1578</v>
      </c>
      <c r="AK57" s="249">
        <v>152</v>
      </c>
      <c r="AL57" s="249">
        <v>0</v>
      </c>
      <c r="AM57" s="249">
        <v>20730</v>
      </c>
      <c r="AN57" s="259">
        <v>1710</v>
      </c>
      <c r="AO57" s="259">
        <v>657</v>
      </c>
      <c r="AP57" s="257"/>
      <c r="AQ57" s="258"/>
      <c r="AR57" s="258" t="s">
        <v>501</v>
      </c>
      <c r="AS57" s="259" t="s">
        <v>271</v>
      </c>
      <c r="AT57" s="260">
        <v>5</v>
      </c>
      <c r="AU57" s="260">
        <v>4</v>
      </c>
      <c r="AV57" s="260">
        <v>4</v>
      </c>
      <c r="AW57" s="260">
        <v>13</v>
      </c>
      <c r="AX57" s="260">
        <v>0</v>
      </c>
      <c r="AY57" s="260">
        <v>0</v>
      </c>
      <c r="AZ57" s="264"/>
      <c r="BA57" s="264"/>
      <c r="BB57" s="256">
        <v>350</v>
      </c>
      <c r="BC57" s="256">
        <v>172</v>
      </c>
      <c r="BD57" s="256">
        <f t="shared" si="0"/>
        <v>522</v>
      </c>
    </row>
    <row r="58" spans="1:56" ht="45" customHeight="1">
      <c r="A58" s="248">
        <v>51</v>
      </c>
      <c r="B58" s="248" t="s">
        <v>272</v>
      </c>
      <c r="C58" s="248" t="s">
        <v>273</v>
      </c>
      <c r="D58" s="248" t="s">
        <v>196</v>
      </c>
      <c r="E58" s="248" t="s">
        <v>145</v>
      </c>
      <c r="F58" s="248" t="s">
        <v>362</v>
      </c>
      <c r="G58" s="248" t="s">
        <v>500</v>
      </c>
      <c r="H58" s="255">
        <v>101222360137</v>
      </c>
      <c r="I58" s="248">
        <v>4301489286</v>
      </c>
      <c r="J58" s="249">
        <v>410</v>
      </c>
      <c r="K58" s="249">
        <v>204</v>
      </c>
      <c r="L58" s="249">
        <v>614</v>
      </c>
      <c r="M58" s="249">
        <v>3</v>
      </c>
      <c r="N58" s="249">
        <v>9</v>
      </c>
      <c r="O58" s="249">
        <v>0</v>
      </c>
      <c r="P58" s="249">
        <v>17</v>
      </c>
      <c r="Q58" s="249">
        <v>0</v>
      </c>
      <c r="R58" s="249">
        <v>29</v>
      </c>
      <c r="S58" s="249">
        <v>28</v>
      </c>
      <c r="T58" s="249">
        <v>11890</v>
      </c>
      <c r="U58" s="249">
        <v>5916</v>
      </c>
      <c r="V58" s="249">
        <v>0</v>
      </c>
      <c r="W58" s="249">
        <v>17806</v>
      </c>
      <c r="X58" s="249">
        <v>4298</v>
      </c>
      <c r="Y58" s="249">
        <v>0</v>
      </c>
      <c r="Z58" s="249">
        <v>0</v>
      </c>
      <c r="AA58" s="249">
        <v>772</v>
      </c>
      <c r="AB58" s="249">
        <v>1483</v>
      </c>
      <c r="AC58" s="249">
        <v>480</v>
      </c>
      <c r="AD58" s="249">
        <v>5935</v>
      </c>
      <c r="AE58" s="249">
        <v>2849</v>
      </c>
      <c r="AF58" s="249">
        <v>0</v>
      </c>
      <c r="AG58" s="249">
        <v>580</v>
      </c>
      <c r="AH58" s="249">
        <v>34203</v>
      </c>
      <c r="AI58" s="249">
        <v>0</v>
      </c>
      <c r="AJ58" s="249">
        <v>1800</v>
      </c>
      <c r="AK58" s="249">
        <v>0</v>
      </c>
      <c r="AL58" s="249">
        <v>0</v>
      </c>
      <c r="AM58" s="249">
        <v>32403</v>
      </c>
      <c r="AN58" s="259">
        <v>1950</v>
      </c>
      <c r="AO58" s="259">
        <v>0</v>
      </c>
      <c r="AP58" s="257"/>
      <c r="AQ58" s="258"/>
      <c r="AR58" s="258" t="s">
        <v>501</v>
      </c>
      <c r="AS58" s="259" t="s">
        <v>273</v>
      </c>
      <c r="AT58" s="260">
        <v>1</v>
      </c>
      <c r="AU58" s="260">
        <v>9</v>
      </c>
      <c r="AV58" s="260">
        <v>0</v>
      </c>
      <c r="AW58" s="260">
        <v>18</v>
      </c>
      <c r="AX58" s="260">
        <v>32</v>
      </c>
      <c r="AY58" s="260">
        <v>0</v>
      </c>
      <c r="AZ58" s="264"/>
      <c r="BA58" s="264"/>
      <c r="BB58" s="256">
        <v>410</v>
      </c>
      <c r="BC58" s="256">
        <v>200</v>
      </c>
      <c r="BD58" s="256">
        <f t="shared" si="0"/>
        <v>610</v>
      </c>
    </row>
    <row r="59" spans="1:56" ht="45" customHeight="1">
      <c r="A59" s="248">
        <v>52</v>
      </c>
      <c r="B59" s="248" t="s">
        <v>274</v>
      </c>
      <c r="C59" s="248" t="s">
        <v>275</v>
      </c>
      <c r="D59" s="248" t="s">
        <v>182</v>
      </c>
      <c r="E59" s="248" t="s">
        <v>146</v>
      </c>
      <c r="F59" s="248" t="s">
        <v>361</v>
      </c>
      <c r="G59" s="248" t="s">
        <v>500</v>
      </c>
      <c r="H59" s="255">
        <v>101222359700</v>
      </c>
      <c r="I59" s="248">
        <v>4301489489</v>
      </c>
      <c r="J59" s="249">
        <v>350</v>
      </c>
      <c r="K59" s="249">
        <v>176</v>
      </c>
      <c r="L59" s="249">
        <v>526</v>
      </c>
      <c r="M59" s="249">
        <v>8</v>
      </c>
      <c r="N59" s="249">
        <v>8</v>
      </c>
      <c r="O59" s="249">
        <v>6</v>
      </c>
      <c r="P59" s="249">
        <v>0</v>
      </c>
      <c r="Q59" s="249">
        <v>0</v>
      </c>
      <c r="R59" s="249">
        <v>22</v>
      </c>
      <c r="S59" s="249">
        <v>0</v>
      </c>
      <c r="T59" s="249">
        <v>7700</v>
      </c>
      <c r="U59" s="249">
        <v>3872</v>
      </c>
      <c r="V59" s="249">
        <v>0</v>
      </c>
      <c r="W59" s="249">
        <v>11572</v>
      </c>
      <c r="X59" s="249">
        <v>0</v>
      </c>
      <c r="Y59" s="249">
        <v>0</v>
      </c>
      <c r="Z59" s="249">
        <v>0</v>
      </c>
      <c r="AA59" s="249">
        <v>579</v>
      </c>
      <c r="AB59" s="249">
        <v>964</v>
      </c>
      <c r="AC59" s="249">
        <v>940</v>
      </c>
      <c r="AD59" s="249">
        <v>3857</v>
      </c>
      <c r="AE59" s="249">
        <v>1852</v>
      </c>
      <c r="AF59" s="249">
        <v>0</v>
      </c>
      <c r="AG59" s="249">
        <v>440</v>
      </c>
      <c r="AH59" s="249">
        <v>20204</v>
      </c>
      <c r="AI59" s="249">
        <v>0</v>
      </c>
      <c r="AJ59" s="249">
        <v>1389</v>
      </c>
      <c r="AK59" s="249">
        <v>137</v>
      </c>
      <c r="AL59" s="249">
        <v>0</v>
      </c>
      <c r="AM59" s="249">
        <v>18678</v>
      </c>
      <c r="AN59" s="259">
        <v>1504</v>
      </c>
      <c r="AO59" s="259">
        <v>593</v>
      </c>
      <c r="AP59" s="257"/>
      <c r="AQ59" s="258"/>
      <c r="AR59" s="258" t="s">
        <v>501</v>
      </c>
      <c r="AS59" s="259" t="s">
        <v>275</v>
      </c>
      <c r="AT59" s="260">
        <v>8</v>
      </c>
      <c r="AU59" s="260">
        <v>9</v>
      </c>
      <c r="AV59" s="260">
        <v>7</v>
      </c>
      <c r="AW59" s="260">
        <v>0</v>
      </c>
      <c r="AX59" s="260">
        <v>0</v>
      </c>
      <c r="AY59" s="260">
        <v>0</v>
      </c>
      <c r="AZ59" s="264"/>
      <c r="BA59" s="264"/>
      <c r="BB59" s="256">
        <v>350</v>
      </c>
      <c r="BC59" s="256">
        <v>172</v>
      </c>
      <c r="BD59" s="256">
        <f t="shared" si="0"/>
        <v>522</v>
      </c>
    </row>
    <row r="60" spans="1:56" ht="45" customHeight="1">
      <c r="A60" s="248">
        <v>53</v>
      </c>
      <c r="B60" s="248" t="s">
        <v>276</v>
      </c>
      <c r="C60" s="248" t="s">
        <v>277</v>
      </c>
      <c r="D60" s="248" t="s">
        <v>196</v>
      </c>
      <c r="E60" s="248" t="s">
        <v>145</v>
      </c>
      <c r="F60" s="248" t="s">
        <v>362</v>
      </c>
      <c r="G60" s="248" t="s">
        <v>500</v>
      </c>
      <c r="H60" s="255">
        <v>101222360090</v>
      </c>
      <c r="I60" s="248">
        <v>4301489295</v>
      </c>
      <c r="J60" s="249">
        <v>410</v>
      </c>
      <c r="K60" s="249">
        <v>204</v>
      </c>
      <c r="L60" s="249">
        <v>614</v>
      </c>
      <c r="M60" s="249">
        <v>10</v>
      </c>
      <c r="N60" s="249">
        <v>9</v>
      </c>
      <c r="O60" s="249">
        <v>8</v>
      </c>
      <c r="P60" s="249">
        <v>0</v>
      </c>
      <c r="Q60" s="249">
        <v>0</v>
      </c>
      <c r="R60" s="249">
        <v>27</v>
      </c>
      <c r="S60" s="249">
        <v>4</v>
      </c>
      <c r="T60" s="249">
        <v>11070</v>
      </c>
      <c r="U60" s="249">
        <v>5508</v>
      </c>
      <c r="V60" s="249">
        <v>0</v>
      </c>
      <c r="W60" s="249">
        <v>16578</v>
      </c>
      <c r="X60" s="249">
        <v>614</v>
      </c>
      <c r="Y60" s="249">
        <v>0</v>
      </c>
      <c r="Z60" s="249">
        <v>0</v>
      </c>
      <c r="AA60" s="249">
        <v>772</v>
      </c>
      <c r="AB60" s="249">
        <v>1381</v>
      </c>
      <c r="AC60" s="249">
        <v>1160</v>
      </c>
      <c r="AD60" s="249">
        <v>5525</v>
      </c>
      <c r="AE60" s="249">
        <v>2652</v>
      </c>
      <c r="AF60" s="249">
        <v>0</v>
      </c>
      <c r="AG60" s="249">
        <v>540</v>
      </c>
      <c r="AH60" s="249">
        <v>29222</v>
      </c>
      <c r="AI60" s="249">
        <v>0</v>
      </c>
      <c r="AJ60" s="249">
        <v>1800</v>
      </c>
      <c r="AK60" s="249">
        <v>0</v>
      </c>
      <c r="AL60" s="249">
        <v>0</v>
      </c>
      <c r="AM60" s="249">
        <v>27422</v>
      </c>
      <c r="AN60" s="259">
        <v>1950</v>
      </c>
      <c r="AO60" s="259">
        <v>0</v>
      </c>
      <c r="AP60" s="257"/>
      <c r="AQ60" s="258"/>
      <c r="AR60" s="258" t="s">
        <v>501</v>
      </c>
      <c r="AS60" s="259" t="s">
        <v>277</v>
      </c>
      <c r="AT60" s="260">
        <v>10</v>
      </c>
      <c r="AU60" s="260">
        <v>8</v>
      </c>
      <c r="AV60" s="260">
        <v>9</v>
      </c>
      <c r="AW60" s="260">
        <v>0</v>
      </c>
      <c r="AX60" s="260">
        <v>4</v>
      </c>
      <c r="AY60" s="260">
        <v>0</v>
      </c>
      <c r="AZ60" s="264"/>
      <c r="BA60" s="264"/>
      <c r="BB60" s="256">
        <v>410</v>
      </c>
      <c r="BC60" s="256">
        <v>200</v>
      </c>
      <c r="BD60" s="256">
        <f t="shared" si="0"/>
        <v>610</v>
      </c>
    </row>
    <row r="61" spans="1:56" ht="45" customHeight="1">
      <c r="A61" s="248">
        <v>54</v>
      </c>
      <c r="B61" s="248" t="s">
        <v>278</v>
      </c>
      <c r="C61" s="248" t="s">
        <v>279</v>
      </c>
      <c r="D61" s="248" t="s">
        <v>182</v>
      </c>
      <c r="E61" s="248" t="s">
        <v>145</v>
      </c>
      <c r="F61" s="248" t="s">
        <v>362</v>
      </c>
      <c r="G61" s="248" t="s">
        <v>500</v>
      </c>
      <c r="H61" s="255">
        <v>101222359613</v>
      </c>
      <c r="I61" s="248">
        <v>4301489508</v>
      </c>
      <c r="J61" s="249">
        <v>410</v>
      </c>
      <c r="K61" s="249">
        <v>204</v>
      </c>
      <c r="L61" s="249">
        <v>614</v>
      </c>
      <c r="M61" s="249">
        <v>9</v>
      </c>
      <c r="N61" s="249">
        <v>10</v>
      </c>
      <c r="O61" s="249">
        <v>8</v>
      </c>
      <c r="P61" s="249">
        <v>0</v>
      </c>
      <c r="Q61" s="249">
        <v>0</v>
      </c>
      <c r="R61" s="249">
        <v>27</v>
      </c>
      <c r="S61" s="249">
        <v>16</v>
      </c>
      <c r="T61" s="249">
        <v>11070</v>
      </c>
      <c r="U61" s="249">
        <v>5508</v>
      </c>
      <c r="V61" s="249">
        <v>0</v>
      </c>
      <c r="W61" s="249">
        <v>16578</v>
      </c>
      <c r="X61" s="249">
        <v>2456</v>
      </c>
      <c r="Y61" s="249">
        <v>0</v>
      </c>
      <c r="Z61" s="249">
        <v>0</v>
      </c>
      <c r="AA61" s="249">
        <v>772</v>
      </c>
      <c r="AB61" s="249">
        <v>1381</v>
      </c>
      <c r="AC61" s="249">
        <v>1160</v>
      </c>
      <c r="AD61" s="249">
        <v>5525</v>
      </c>
      <c r="AE61" s="249">
        <v>2652</v>
      </c>
      <c r="AF61" s="249">
        <v>0</v>
      </c>
      <c r="AG61" s="249">
        <v>540</v>
      </c>
      <c r="AH61" s="249">
        <v>31064</v>
      </c>
      <c r="AI61" s="249">
        <v>0</v>
      </c>
      <c r="AJ61" s="249">
        <v>1800</v>
      </c>
      <c r="AK61" s="249">
        <v>0</v>
      </c>
      <c r="AL61" s="249">
        <v>0</v>
      </c>
      <c r="AM61" s="249">
        <v>29264</v>
      </c>
      <c r="AN61" s="259">
        <v>1950</v>
      </c>
      <c r="AO61" s="259">
        <v>0</v>
      </c>
      <c r="AP61" s="257"/>
      <c r="AQ61" s="258"/>
      <c r="AR61" s="258" t="s">
        <v>501</v>
      </c>
      <c r="AS61" s="259" t="s">
        <v>279</v>
      </c>
      <c r="AT61" s="260">
        <v>9</v>
      </c>
      <c r="AU61" s="260">
        <v>9</v>
      </c>
      <c r="AV61" s="260">
        <v>8</v>
      </c>
      <c r="AW61" s="260">
        <v>0</v>
      </c>
      <c r="AX61" s="260">
        <v>15</v>
      </c>
      <c r="AY61" s="260">
        <v>0</v>
      </c>
      <c r="AZ61" s="264"/>
      <c r="BA61" s="264"/>
      <c r="BB61" s="256">
        <v>410</v>
      </c>
      <c r="BC61" s="256">
        <v>200</v>
      </c>
      <c r="BD61" s="256">
        <f t="shared" si="0"/>
        <v>610</v>
      </c>
    </row>
    <row r="62" spans="1:56" ht="45" customHeight="1">
      <c r="A62" s="248">
        <v>55</v>
      </c>
      <c r="B62" s="248" t="s">
        <v>280</v>
      </c>
      <c r="C62" s="248" t="s">
        <v>281</v>
      </c>
      <c r="D62" s="248" t="s">
        <v>182</v>
      </c>
      <c r="E62" s="248" t="s">
        <v>144</v>
      </c>
      <c r="F62" s="248" t="s">
        <v>363</v>
      </c>
      <c r="G62" s="248" t="s">
        <v>500</v>
      </c>
      <c r="H62" s="255">
        <v>101222359467</v>
      </c>
      <c r="I62" s="248">
        <v>4301489748</v>
      </c>
      <c r="J62" s="249">
        <v>494</v>
      </c>
      <c r="K62" s="249">
        <v>245</v>
      </c>
      <c r="L62" s="249">
        <v>739</v>
      </c>
      <c r="M62" s="249">
        <v>10</v>
      </c>
      <c r="N62" s="249">
        <v>9</v>
      </c>
      <c r="O62" s="249">
        <v>8</v>
      </c>
      <c r="P62" s="249">
        <v>0</v>
      </c>
      <c r="Q62" s="249">
        <v>0</v>
      </c>
      <c r="R62" s="249">
        <v>27</v>
      </c>
      <c r="S62" s="249">
        <v>0</v>
      </c>
      <c r="T62" s="249">
        <v>13338</v>
      </c>
      <c r="U62" s="249">
        <v>6615</v>
      </c>
      <c r="V62" s="249">
        <v>0</v>
      </c>
      <c r="W62" s="249">
        <v>19953</v>
      </c>
      <c r="X62" s="249">
        <v>0</v>
      </c>
      <c r="Y62" s="249">
        <v>0</v>
      </c>
      <c r="Z62" s="249">
        <v>0</v>
      </c>
      <c r="AA62" s="249">
        <v>930</v>
      </c>
      <c r="AB62" s="249">
        <v>1662</v>
      </c>
      <c r="AC62" s="249">
        <v>1160</v>
      </c>
      <c r="AD62" s="249">
        <v>6650</v>
      </c>
      <c r="AE62" s="249">
        <v>3192</v>
      </c>
      <c r="AF62" s="249">
        <v>0</v>
      </c>
      <c r="AG62" s="249">
        <v>540</v>
      </c>
      <c r="AH62" s="249">
        <v>34087</v>
      </c>
      <c r="AI62" s="249">
        <v>0</v>
      </c>
      <c r="AJ62" s="249">
        <v>1800</v>
      </c>
      <c r="AK62" s="249">
        <v>0</v>
      </c>
      <c r="AL62" s="249">
        <v>0</v>
      </c>
      <c r="AM62" s="249">
        <v>32287</v>
      </c>
      <c r="AN62" s="259">
        <v>1950</v>
      </c>
      <c r="AO62" s="259">
        <v>0</v>
      </c>
      <c r="AP62" s="257"/>
      <c r="AQ62" s="258"/>
      <c r="AR62" s="258" t="s">
        <v>501</v>
      </c>
      <c r="AS62" s="259" t="s">
        <v>281</v>
      </c>
      <c r="AT62" s="260">
        <v>10</v>
      </c>
      <c r="AU62" s="260">
        <v>8</v>
      </c>
      <c r="AV62" s="260">
        <v>8</v>
      </c>
      <c r="AW62" s="260">
        <v>0</v>
      </c>
      <c r="AX62" s="260">
        <v>4</v>
      </c>
      <c r="AY62" s="260">
        <v>0</v>
      </c>
      <c r="AZ62" s="264"/>
      <c r="BA62" s="264"/>
      <c r="BB62" s="256">
        <v>494</v>
      </c>
      <c r="BC62" s="256">
        <v>240</v>
      </c>
      <c r="BD62" s="256">
        <f t="shared" si="0"/>
        <v>734</v>
      </c>
    </row>
    <row r="63" spans="1:57" ht="45" customHeight="1">
      <c r="A63" s="248">
        <v>56</v>
      </c>
      <c r="B63" s="248" t="s">
        <v>282</v>
      </c>
      <c r="C63" s="248" t="s">
        <v>283</v>
      </c>
      <c r="D63" s="248" t="s">
        <v>182</v>
      </c>
      <c r="E63" s="248" t="s">
        <v>145</v>
      </c>
      <c r="F63" s="248" t="s">
        <v>362</v>
      </c>
      <c r="G63" s="248" t="s">
        <v>500</v>
      </c>
      <c r="H63" s="255">
        <v>101222359894</v>
      </c>
      <c r="I63" s="248">
        <v>4301489366</v>
      </c>
      <c r="J63" s="249">
        <v>410</v>
      </c>
      <c r="K63" s="249">
        <v>204</v>
      </c>
      <c r="L63" s="249">
        <v>614</v>
      </c>
      <c r="M63" s="249">
        <v>8</v>
      </c>
      <c r="N63" s="249">
        <v>9</v>
      </c>
      <c r="O63" s="249">
        <v>9</v>
      </c>
      <c r="P63" s="249">
        <v>0</v>
      </c>
      <c r="Q63" s="249">
        <v>0</v>
      </c>
      <c r="R63" s="249">
        <v>26</v>
      </c>
      <c r="S63" s="249">
        <v>0</v>
      </c>
      <c r="T63" s="249">
        <v>10660</v>
      </c>
      <c r="U63" s="249">
        <v>5304</v>
      </c>
      <c r="V63" s="249">
        <v>0</v>
      </c>
      <c r="W63" s="249">
        <v>15964</v>
      </c>
      <c r="X63" s="249">
        <v>0</v>
      </c>
      <c r="Y63" s="249">
        <v>0</v>
      </c>
      <c r="Z63" s="249">
        <v>0</v>
      </c>
      <c r="AA63" s="249">
        <v>772</v>
      </c>
      <c r="AB63" s="249">
        <v>1330</v>
      </c>
      <c r="AC63" s="249">
        <v>1130</v>
      </c>
      <c r="AD63" s="249">
        <v>5321</v>
      </c>
      <c r="AE63" s="249">
        <v>2554</v>
      </c>
      <c r="AF63" s="249">
        <v>0</v>
      </c>
      <c r="AG63" s="249">
        <v>520</v>
      </c>
      <c r="AH63" s="249">
        <v>27591</v>
      </c>
      <c r="AI63" s="249">
        <v>0</v>
      </c>
      <c r="AJ63" s="249">
        <v>1800</v>
      </c>
      <c r="AK63" s="249">
        <v>0</v>
      </c>
      <c r="AL63" s="249">
        <v>0</v>
      </c>
      <c r="AM63" s="249">
        <v>25791</v>
      </c>
      <c r="AN63" s="259">
        <v>1950</v>
      </c>
      <c r="AO63" s="259">
        <v>0</v>
      </c>
      <c r="AP63" s="257"/>
      <c r="AQ63" s="258"/>
      <c r="AR63" s="258" t="s">
        <v>502</v>
      </c>
      <c r="AS63" s="259" t="s">
        <v>283</v>
      </c>
      <c r="AT63" s="260">
        <v>8</v>
      </c>
      <c r="AU63" s="260">
        <v>9</v>
      </c>
      <c r="AV63" s="260">
        <v>8</v>
      </c>
      <c r="AW63" s="260">
        <v>0</v>
      </c>
      <c r="AX63" s="260">
        <v>2</v>
      </c>
      <c r="AY63" s="260">
        <v>0</v>
      </c>
      <c r="AZ63" s="264"/>
      <c r="BA63" s="264"/>
      <c r="BB63" s="256">
        <v>410</v>
      </c>
      <c r="BC63" s="256">
        <v>200</v>
      </c>
      <c r="BD63" s="256">
        <f t="shared" si="0"/>
        <v>610</v>
      </c>
      <c r="BE63" t="s">
        <v>502</v>
      </c>
    </row>
    <row r="64" spans="1:56" ht="45" customHeight="1">
      <c r="A64" s="248">
        <v>57</v>
      </c>
      <c r="B64" s="248" t="s">
        <v>284</v>
      </c>
      <c r="C64" s="248" t="s">
        <v>285</v>
      </c>
      <c r="D64" s="248" t="s">
        <v>182</v>
      </c>
      <c r="E64" s="248" t="s">
        <v>145</v>
      </c>
      <c r="F64" s="248" t="s">
        <v>362</v>
      </c>
      <c r="G64" s="248" t="s">
        <v>500</v>
      </c>
      <c r="H64" s="255">
        <v>101222359595</v>
      </c>
      <c r="I64" s="248">
        <v>4301489512</v>
      </c>
      <c r="J64" s="249">
        <v>410</v>
      </c>
      <c r="K64" s="249">
        <v>204</v>
      </c>
      <c r="L64" s="249">
        <v>614</v>
      </c>
      <c r="M64" s="249">
        <v>10</v>
      </c>
      <c r="N64" s="249">
        <v>9</v>
      </c>
      <c r="O64" s="249">
        <v>8</v>
      </c>
      <c r="P64" s="249">
        <v>0</v>
      </c>
      <c r="Q64" s="249">
        <v>0</v>
      </c>
      <c r="R64" s="249">
        <v>27</v>
      </c>
      <c r="S64" s="249">
        <v>13</v>
      </c>
      <c r="T64" s="249">
        <v>11070</v>
      </c>
      <c r="U64" s="249">
        <v>5508</v>
      </c>
      <c r="V64" s="249">
        <v>0</v>
      </c>
      <c r="W64" s="249">
        <v>16578</v>
      </c>
      <c r="X64" s="249">
        <v>1996</v>
      </c>
      <c r="Y64" s="249">
        <v>0</v>
      </c>
      <c r="Z64" s="249">
        <v>0</v>
      </c>
      <c r="AA64" s="249">
        <v>772</v>
      </c>
      <c r="AB64" s="249">
        <v>1381</v>
      </c>
      <c r="AC64" s="249">
        <v>1160</v>
      </c>
      <c r="AD64" s="249">
        <v>5525</v>
      </c>
      <c r="AE64" s="249">
        <v>2652</v>
      </c>
      <c r="AF64" s="249">
        <v>0</v>
      </c>
      <c r="AG64" s="249">
        <v>540</v>
      </c>
      <c r="AH64" s="249">
        <v>30604</v>
      </c>
      <c r="AI64" s="249">
        <v>0</v>
      </c>
      <c r="AJ64" s="249">
        <v>1800</v>
      </c>
      <c r="AK64" s="249">
        <v>0</v>
      </c>
      <c r="AL64" s="249">
        <v>0</v>
      </c>
      <c r="AM64" s="249">
        <v>28804</v>
      </c>
      <c r="AN64" s="259">
        <v>1950</v>
      </c>
      <c r="AO64" s="259">
        <v>0</v>
      </c>
      <c r="AP64" s="257"/>
      <c r="AQ64" s="258"/>
      <c r="AR64" s="258" t="s">
        <v>501</v>
      </c>
      <c r="AS64" s="259" t="s">
        <v>285</v>
      </c>
      <c r="AT64" s="260">
        <v>8</v>
      </c>
      <c r="AU64" s="260">
        <v>10</v>
      </c>
      <c r="AV64" s="260">
        <v>8</v>
      </c>
      <c r="AW64" s="260">
        <v>0</v>
      </c>
      <c r="AX64" s="260">
        <v>45</v>
      </c>
      <c r="AY64" s="260">
        <v>0</v>
      </c>
      <c r="AZ64" s="264"/>
      <c r="BA64" s="264"/>
      <c r="BB64" s="256">
        <v>410</v>
      </c>
      <c r="BC64" s="256">
        <v>200</v>
      </c>
      <c r="BD64" s="256">
        <f t="shared" si="0"/>
        <v>610</v>
      </c>
    </row>
    <row r="65" spans="1:56" ht="45" customHeight="1">
      <c r="A65" s="248">
        <v>58</v>
      </c>
      <c r="B65" s="248" t="s">
        <v>286</v>
      </c>
      <c r="C65" s="248" t="s">
        <v>287</v>
      </c>
      <c r="D65" s="248" t="s">
        <v>182</v>
      </c>
      <c r="E65" s="248" t="s">
        <v>146</v>
      </c>
      <c r="F65" s="248" t="s">
        <v>361</v>
      </c>
      <c r="G65" s="248" t="s">
        <v>500</v>
      </c>
      <c r="H65" s="255">
        <v>101222359728</v>
      </c>
      <c r="I65" s="248">
        <v>4301489486</v>
      </c>
      <c r="J65" s="249">
        <v>350</v>
      </c>
      <c r="K65" s="249">
        <v>176</v>
      </c>
      <c r="L65" s="249">
        <v>526</v>
      </c>
      <c r="M65" s="249">
        <v>0</v>
      </c>
      <c r="N65" s="249">
        <v>0</v>
      </c>
      <c r="O65" s="249">
        <v>0</v>
      </c>
      <c r="P65" s="249">
        <v>21</v>
      </c>
      <c r="Q65" s="249">
        <v>0</v>
      </c>
      <c r="R65" s="249">
        <v>21</v>
      </c>
      <c r="S65" s="249">
        <v>0</v>
      </c>
      <c r="T65" s="249">
        <v>7350</v>
      </c>
      <c r="U65" s="249">
        <v>3696</v>
      </c>
      <c r="V65" s="249">
        <v>0</v>
      </c>
      <c r="W65" s="249">
        <v>11046</v>
      </c>
      <c r="X65" s="249">
        <v>0</v>
      </c>
      <c r="Y65" s="249">
        <v>0</v>
      </c>
      <c r="Z65" s="249">
        <v>0</v>
      </c>
      <c r="AA65" s="249">
        <v>552</v>
      </c>
      <c r="AB65" s="249">
        <v>920</v>
      </c>
      <c r="AC65" s="249">
        <v>0</v>
      </c>
      <c r="AD65" s="249">
        <v>3682</v>
      </c>
      <c r="AE65" s="249">
        <v>1767</v>
      </c>
      <c r="AF65" s="249">
        <v>0</v>
      </c>
      <c r="AG65" s="249">
        <v>420</v>
      </c>
      <c r="AH65" s="249">
        <v>18387</v>
      </c>
      <c r="AI65" s="249">
        <v>0</v>
      </c>
      <c r="AJ65" s="249">
        <v>1326</v>
      </c>
      <c r="AK65" s="249">
        <v>124</v>
      </c>
      <c r="AL65" s="249">
        <v>0</v>
      </c>
      <c r="AM65" s="249">
        <v>16937</v>
      </c>
      <c r="AN65" s="259">
        <v>1436</v>
      </c>
      <c r="AO65" s="259">
        <v>537</v>
      </c>
      <c r="AP65" s="257"/>
      <c r="AQ65" s="258"/>
      <c r="AR65" s="258"/>
      <c r="AS65" s="259" t="s">
        <v>287</v>
      </c>
      <c r="AT65" s="260">
        <v>0</v>
      </c>
      <c r="AU65" s="260">
        <v>0</v>
      </c>
      <c r="AV65" s="260">
        <v>0</v>
      </c>
      <c r="AW65" s="260">
        <v>0</v>
      </c>
      <c r="AX65" s="260">
        <v>0</v>
      </c>
      <c r="AY65" s="260">
        <v>0</v>
      </c>
      <c r="AZ65" s="264"/>
      <c r="BA65" s="264"/>
      <c r="BB65" s="256">
        <v>350</v>
      </c>
      <c r="BC65" s="256">
        <v>172</v>
      </c>
      <c r="BD65" s="256">
        <f t="shared" si="0"/>
        <v>522</v>
      </c>
    </row>
    <row r="66" spans="1:56" ht="45" customHeight="1">
      <c r="A66" s="248">
        <v>59</v>
      </c>
      <c r="B66" s="248" t="s">
        <v>288</v>
      </c>
      <c r="C66" s="248" t="s">
        <v>135</v>
      </c>
      <c r="D66" s="248" t="s">
        <v>196</v>
      </c>
      <c r="E66" s="248" t="s">
        <v>145</v>
      </c>
      <c r="F66" s="248" t="s">
        <v>362</v>
      </c>
      <c r="G66" s="248" t="s">
        <v>500</v>
      </c>
      <c r="H66" s="255">
        <v>101222359989</v>
      </c>
      <c r="I66" s="248">
        <v>4301489332</v>
      </c>
      <c r="J66" s="249">
        <v>410</v>
      </c>
      <c r="K66" s="249">
        <v>204</v>
      </c>
      <c r="L66" s="249">
        <v>614</v>
      </c>
      <c r="M66" s="249">
        <v>10</v>
      </c>
      <c r="N66" s="249">
        <v>9</v>
      </c>
      <c r="O66" s="249">
        <v>8</v>
      </c>
      <c r="P66" s="249">
        <v>0</v>
      </c>
      <c r="Q66" s="249">
        <v>0</v>
      </c>
      <c r="R66" s="249">
        <v>27</v>
      </c>
      <c r="S66" s="249">
        <v>0</v>
      </c>
      <c r="T66" s="249">
        <v>11070</v>
      </c>
      <c r="U66" s="249">
        <v>5508</v>
      </c>
      <c r="V66" s="249">
        <v>0</v>
      </c>
      <c r="W66" s="249">
        <v>16578</v>
      </c>
      <c r="X66" s="249">
        <v>0</v>
      </c>
      <c r="Y66" s="249">
        <v>0</v>
      </c>
      <c r="Z66" s="249">
        <v>0</v>
      </c>
      <c r="AA66" s="249">
        <v>772</v>
      </c>
      <c r="AB66" s="249">
        <v>1381</v>
      </c>
      <c r="AC66" s="249">
        <v>1160</v>
      </c>
      <c r="AD66" s="249">
        <v>5525</v>
      </c>
      <c r="AE66" s="249">
        <v>2652</v>
      </c>
      <c r="AF66" s="249">
        <v>0</v>
      </c>
      <c r="AG66" s="249">
        <v>540</v>
      </c>
      <c r="AH66" s="249">
        <v>28608</v>
      </c>
      <c r="AI66" s="249">
        <v>0</v>
      </c>
      <c r="AJ66" s="249">
        <v>1800</v>
      </c>
      <c r="AK66" s="249">
        <v>0</v>
      </c>
      <c r="AL66" s="249">
        <v>0</v>
      </c>
      <c r="AM66" s="249">
        <v>26808</v>
      </c>
      <c r="AN66" s="259">
        <v>1950</v>
      </c>
      <c r="AO66" s="259">
        <v>0</v>
      </c>
      <c r="AP66" s="257"/>
      <c r="AQ66" s="258"/>
      <c r="AR66" s="258" t="s">
        <v>501</v>
      </c>
      <c r="AS66" s="259" t="s">
        <v>135</v>
      </c>
      <c r="AT66" s="260">
        <v>10</v>
      </c>
      <c r="AU66" s="260">
        <v>8</v>
      </c>
      <c r="AV66" s="260">
        <v>8</v>
      </c>
      <c r="AW66" s="260">
        <v>0</v>
      </c>
      <c r="AX66" s="260">
        <v>4</v>
      </c>
      <c r="AY66" s="260">
        <v>0</v>
      </c>
      <c r="AZ66" s="264"/>
      <c r="BA66" s="264"/>
      <c r="BB66" s="256">
        <v>410</v>
      </c>
      <c r="BC66" s="256">
        <v>200</v>
      </c>
      <c r="BD66" s="256">
        <f t="shared" si="0"/>
        <v>610</v>
      </c>
    </row>
    <row r="67" spans="1:56" ht="45" customHeight="1">
      <c r="A67" s="248">
        <v>60</v>
      </c>
      <c r="B67" s="248" t="s">
        <v>289</v>
      </c>
      <c r="C67" s="248" t="s">
        <v>290</v>
      </c>
      <c r="D67" s="248" t="s">
        <v>369</v>
      </c>
      <c r="E67" s="248" t="s">
        <v>146</v>
      </c>
      <c r="F67" s="248" t="s">
        <v>361</v>
      </c>
      <c r="G67" s="248" t="s">
        <v>500</v>
      </c>
      <c r="H67" s="255">
        <v>101222360331</v>
      </c>
      <c r="I67" s="248">
        <v>4301489020</v>
      </c>
      <c r="J67" s="249">
        <v>350</v>
      </c>
      <c r="K67" s="249">
        <v>176</v>
      </c>
      <c r="L67" s="249">
        <v>526</v>
      </c>
      <c r="M67" s="249">
        <v>9</v>
      </c>
      <c r="N67" s="249">
        <v>8</v>
      </c>
      <c r="O67" s="249">
        <v>10</v>
      </c>
      <c r="P67" s="249">
        <v>0</v>
      </c>
      <c r="Q67" s="249">
        <v>0</v>
      </c>
      <c r="R67" s="249">
        <v>27</v>
      </c>
      <c r="S67" s="249">
        <v>0</v>
      </c>
      <c r="T67" s="249">
        <v>9450</v>
      </c>
      <c r="U67" s="249">
        <v>4752</v>
      </c>
      <c r="V67" s="249">
        <v>0</v>
      </c>
      <c r="W67" s="249">
        <v>14202</v>
      </c>
      <c r="X67" s="249">
        <v>0</v>
      </c>
      <c r="Y67" s="249">
        <v>0</v>
      </c>
      <c r="Z67" s="249">
        <v>0</v>
      </c>
      <c r="AA67" s="249">
        <v>662</v>
      </c>
      <c r="AB67" s="249">
        <v>1183</v>
      </c>
      <c r="AC67" s="249">
        <v>1180</v>
      </c>
      <c r="AD67" s="249">
        <v>4734</v>
      </c>
      <c r="AE67" s="249">
        <v>2272</v>
      </c>
      <c r="AF67" s="249">
        <v>0</v>
      </c>
      <c r="AG67" s="249">
        <v>540</v>
      </c>
      <c r="AH67" s="249">
        <v>24773</v>
      </c>
      <c r="AI67" s="249">
        <v>0</v>
      </c>
      <c r="AJ67" s="249">
        <v>1704</v>
      </c>
      <c r="AK67" s="249">
        <v>168</v>
      </c>
      <c r="AL67" s="249">
        <v>0</v>
      </c>
      <c r="AM67" s="249">
        <v>22901</v>
      </c>
      <c r="AN67" s="259">
        <v>1846</v>
      </c>
      <c r="AO67" s="259">
        <v>728</v>
      </c>
      <c r="AP67" s="257"/>
      <c r="AQ67" s="258"/>
      <c r="AR67" s="258" t="s">
        <v>501</v>
      </c>
      <c r="AS67" s="259" t="s">
        <v>290</v>
      </c>
      <c r="AT67" s="260">
        <v>4</v>
      </c>
      <c r="AU67" s="260">
        <v>12</v>
      </c>
      <c r="AV67" s="260">
        <v>4</v>
      </c>
      <c r="AW67" s="260">
        <v>5</v>
      </c>
      <c r="AX67" s="260">
        <v>0</v>
      </c>
      <c r="AY67" s="260">
        <v>0</v>
      </c>
      <c r="AZ67" s="264"/>
      <c r="BA67" s="264"/>
      <c r="BB67" s="256">
        <v>350</v>
      </c>
      <c r="BC67" s="256">
        <v>172</v>
      </c>
      <c r="BD67" s="256">
        <f t="shared" si="0"/>
        <v>522</v>
      </c>
    </row>
    <row r="68" spans="1:56" ht="45" customHeight="1">
      <c r="A68" s="248">
        <v>61</v>
      </c>
      <c r="B68" s="248" t="s">
        <v>291</v>
      </c>
      <c r="C68" s="248" t="s">
        <v>429</v>
      </c>
      <c r="D68" s="248" t="s">
        <v>182</v>
      </c>
      <c r="E68" s="248" t="s">
        <v>146</v>
      </c>
      <c r="F68" s="248" t="s">
        <v>361</v>
      </c>
      <c r="G68" s="248" t="s">
        <v>500</v>
      </c>
      <c r="H68" s="255">
        <v>101222359792</v>
      </c>
      <c r="I68" s="248">
        <v>4301489460</v>
      </c>
      <c r="J68" s="249">
        <v>350</v>
      </c>
      <c r="K68" s="249">
        <v>176</v>
      </c>
      <c r="L68" s="249">
        <v>526</v>
      </c>
      <c r="M68" s="249">
        <v>0</v>
      </c>
      <c r="N68" s="249">
        <v>0</v>
      </c>
      <c r="O68" s="249">
        <v>0</v>
      </c>
      <c r="P68" s="249">
        <v>25</v>
      </c>
      <c r="Q68" s="249">
        <v>0</v>
      </c>
      <c r="R68" s="249">
        <v>25</v>
      </c>
      <c r="S68" s="249">
        <v>6</v>
      </c>
      <c r="T68" s="249">
        <v>8750</v>
      </c>
      <c r="U68" s="249">
        <v>4400</v>
      </c>
      <c r="V68" s="249">
        <v>0</v>
      </c>
      <c r="W68" s="249">
        <v>13150</v>
      </c>
      <c r="X68" s="249">
        <v>789</v>
      </c>
      <c r="Y68" s="249">
        <v>0</v>
      </c>
      <c r="Z68" s="249">
        <v>0</v>
      </c>
      <c r="AA68" s="249">
        <v>658</v>
      </c>
      <c r="AB68" s="249">
        <v>1095</v>
      </c>
      <c r="AC68" s="249">
        <v>0</v>
      </c>
      <c r="AD68" s="249">
        <v>4383</v>
      </c>
      <c r="AE68" s="249">
        <v>2104</v>
      </c>
      <c r="AF68" s="249">
        <v>0</v>
      </c>
      <c r="AG68" s="249">
        <v>500</v>
      </c>
      <c r="AH68" s="249">
        <v>22679</v>
      </c>
      <c r="AI68" s="249">
        <v>0</v>
      </c>
      <c r="AJ68" s="249">
        <v>1578</v>
      </c>
      <c r="AK68" s="249">
        <v>154</v>
      </c>
      <c r="AL68" s="249">
        <v>0</v>
      </c>
      <c r="AM68" s="249">
        <v>20947</v>
      </c>
      <c r="AN68" s="259">
        <v>1710</v>
      </c>
      <c r="AO68" s="259">
        <v>664</v>
      </c>
      <c r="AP68" s="257"/>
      <c r="AQ68" s="258"/>
      <c r="AR68" s="258" t="s">
        <v>501</v>
      </c>
      <c r="AS68" s="259" t="s">
        <v>429</v>
      </c>
      <c r="AT68" s="260">
        <v>0</v>
      </c>
      <c r="AU68" s="260">
        <v>0</v>
      </c>
      <c r="AV68" s="260">
        <v>0</v>
      </c>
      <c r="AW68" s="260">
        <v>19</v>
      </c>
      <c r="AX68" s="260">
        <v>10</v>
      </c>
      <c r="AY68" s="260">
        <v>0</v>
      </c>
      <c r="AZ68" s="264"/>
      <c r="BA68" s="264"/>
      <c r="BB68" s="256">
        <v>350</v>
      </c>
      <c r="BC68" s="256">
        <v>172</v>
      </c>
      <c r="BD68" s="256">
        <f t="shared" si="0"/>
        <v>522</v>
      </c>
    </row>
    <row r="69" spans="1:56" ht="45" customHeight="1">
      <c r="A69" s="248">
        <v>62</v>
      </c>
      <c r="B69" s="248" t="s">
        <v>292</v>
      </c>
      <c r="C69" s="248" t="s">
        <v>293</v>
      </c>
      <c r="D69" s="248" t="s">
        <v>182</v>
      </c>
      <c r="E69" s="248" t="s">
        <v>145</v>
      </c>
      <c r="F69" s="248" t="s">
        <v>362</v>
      </c>
      <c r="G69" s="248" t="s">
        <v>500</v>
      </c>
      <c r="H69" s="255">
        <v>101222359632</v>
      </c>
      <c r="I69" s="248">
        <v>4301489506</v>
      </c>
      <c r="J69" s="249">
        <v>410</v>
      </c>
      <c r="K69" s="249">
        <v>204</v>
      </c>
      <c r="L69" s="249">
        <v>614</v>
      </c>
      <c r="M69" s="249">
        <v>0</v>
      </c>
      <c r="N69" s="249">
        <v>0</v>
      </c>
      <c r="O69" s="249">
        <v>0</v>
      </c>
      <c r="P69" s="249">
        <v>16</v>
      </c>
      <c r="Q69" s="249">
        <v>0</v>
      </c>
      <c r="R69" s="249">
        <v>16</v>
      </c>
      <c r="S69" s="249">
        <v>0</v>
      </c>
      <c r="T69" s="249">
        <v>6560</v>
      </c>
      <c r="U69" s="249">
        <v>3264</v>
      </c>
      <c r="V69" s="249">
        <v>0</v>
      </c>
      <c r="W69" s="249">
        <v>9824</v>
      </c>
      <c r="X69" s="249">
        <v>0</v>
      </c>
      <c r="Y69" s="249">
        <v>0</v>
      </c>
      <c r="Z69" s="249">
        <v>0</v>
      </c>
      <c r="AA69" s="249">
        <v>0</v>
      </c>
      <c r="AB69" s="249">
        <v>818</v>
      </c>
      <c r="AC69" s="249">
        <v>0</v>
      </c>
      <c r="AD69" s="249">
        <v>3274</v>
      </c>
      <c r="AE69" s="249">
        <v>1572</v>
      </c>
      <c r="AF69" s="249">
        <v>0</v>
      </c>
      <c r="AG69" s="249">
        <v>320</v>
      </c>
      <c r="AH69" s="249">
        <v>15808</v>
      </c>
      <c r="AI69" s="249">
        <v>0</v>
      </c>
      <c r="AJ69" s="249">
        <v>1179</v>
      </c>
      <c r="AK69" s="249">
        <v>0</v>
      </c>
      <c r="AL69" s="249">
        <v>0</v>
      </c>
      <c r="AM69" s="249">
        <v>14629</v>
      </c>
      <c r="AN69" s="259">
        <v>1277</v>
      </c>
      <c r="AO69" s="259">
        <v>0</v>
      </c>
      <c r="AP69" s="257"/>
      <c r="AQ69" s="258"/>
      <c r="AR69" s="258" t="s">
        <v>501</v>
      </c>
      <c r="AS69" s="259" t="s">
        <v>293</v>
      </c>
      <c r="AT69" s="260">
        <v>0</v>
      </c>
      <c r="AU69" s="260">
        <v>0</v>
      </c>
      <c r="AV69" s="260">
        <v>0</v>
      </c>
      <c r="AW69" s="260">
        <v>20</v>
      </c>
      <c r="AX69" s="260">
        <v>0</v>
      </c>
      <c r="AY69" s="260">
        <v>0</v>
      </c>
      <c r="AZ69" s="264"/>
      <c r="BA69" s="264"/>
      <c r="BB69" s="256">
        <v>350</v>
      </c>
      <c r="BC69" s="256">
        <v>172</v>
      </c>
      <c r="BD69" s="256">
        <f t="shared" si="0"/>
        <v>522</v>
      </c>
    </row>
    <row r="70" spans="1:56" ht="45" customHeight="1">
      <c r="A70" s="248">
        <v>63</v>
      </c>
      <c r="B70" s="248" t="s">
        <v>294</v>
      </c>
      <c r="C70" s="265" t="s">
        <v>295</v>
      </c>
      <c r="D70" s="248" t="s">
        <v>182</v>
      </c>
      <c r="E70" s="248" t="s">
        <v>144</v>
      </c>
      <c r="F70" s="248" t="s">
        <v>363</v>
      </c>
      <c r="G70" s="248" t="s">
        <v>500</v>
      </c>
      <c r="H70" s="255">
        <v>101222360214</v>
      </c>
      <c r="I70" s="248">
        <v>4301489128</v>
      </c>
      <c r="J70" s="249">
        <v>494</v>
      </c>
      <c r="K70" s="249">
        <v>245</v>
      </c>
      <c r="L70" s="249">
        <v>739</v>
      </c>
      <c r="M70" s="249">
        <v>6</v>
      </c>
      <c r="N70" s="249">
        <v>8</v>
      </c>
      <c r="O70" s="249">
        <v>4</v>
      </c>
      <c r="P70" s="249">
        <v>0</v>
      </c>
      <c r="Q70" s="249">
        <v>0</v>
      </c>
      <c r="R70" s="249">
        <v>18</v>
      </c>
      <c r="S70" s="249">
        <v>13</v>
      </c>
      <c r="T70" s="249">
        <v>8892</v>
      </c>
      <c r="U70" s="249">
        <v>4410</v>
      </c>
      <c r="V70" s="249">
        <v>0</v>
      </c>
      <c r="W70" s="249">
        <v>13302</v>
      </c>
      <c r="X70" s="249">
        <v>2402</v>
      </c>
      <c r="Y70" s="249">
        <v>0</v>
      </c>
      <c r="Z70" s="249">
        <v>0</v>
      </c>
      <c r="AA70" s="249">
        <v>0</v>
      </c>
      <c r="AB70" s="249">
        <v>1108</v>
      </c>
      <c r="AC70" s="249">
        <v>760</v>
      </c>
      <c r="AD70" s="249">
        <v>4434</v>
      </c>
      <c r="AE70" s="249">
        <v>2128</v>
      </c>
      <c r="AF70" s="249">
        <v>0</v>
      </c>
      <c r="AG70" s="249">
        <v>360</v>
      </c>
      <c r="AH70" s="249">
        <v>24494</v>
      </c>
      <c r="AI70" s="249">
        <v>0</v>
      </c>
      <c r="AJ70" s="249">
        <v>1596</v>
      </c>
      <c r="AK70" s="249">
        <v>0</v>
      </c>
      <c r="AL70" s="249">
        <v>0</v>
      </c>
      <c r="AM70" s="267">
        <v>22898</v>
      </c>
      <c r="AN70" s="259">
        <v>1729</v>
      </c>
      <c r="AO70" s="259">
        <v>0</v>
      </c>
      <c r="AP70" s="257"/>
      <c r="AQ70" s="258"/>
      <c r="AR70" s="258" t="s">
        <v>501</v>
      </c>
      <c r="AS70" s="259" t="s">
        <v>295</v>
      </c>
      <c r="AT70" s="260">
        <v>7</v>
      </c>
      <c r="AU70" s="260">
        <v>9</v>
      </c>
      <c r="AV70" s="260">
        <v>6</v>
      </c>
      <c r="AW70" s="260">
        <v>0</v>
      </c>
      <c r="AX70" s="260">
        <v>45</v>
      </c>
      <c r="AY70" s="260">
        <v>0</v>
      </c>
      <c r="AZ70" s="264"/>
      <c r="BA70" s="264"/>
      <c r="BB70" s="256">
        <v>410</v>
      </c>
      <c r="BC70" s="256">
        <v>200</v>
      </c>
      <c r="BD70" s="256">
        <f t="shared" si="0"/>
        <v>610</v>
      </c>
    </row>
    <row r="71" spans="1:56" ht="45" customHeight="1">
      <c r="A71" s="248">
        <v>64</v>
      </c>
      <c r="B71" s="248" t="s">
        <v>296</v>
      </c>
      <c r="C71" s="248" t="s">
        <v>297</v>
      </c>
      <c r="D71" s="248" t="s">
        <v>196</v>
      </c>
      <c r="E71" s="248" t="s">
        <v>146</v>
      </c>
      <c r="F71" s="248" t="s">
        <v>361</v>
      </c>
      <c r="G71" s="248" t="s">
        <v>500</v>
      </c>
      <c r="H71" s="255">
        <v>101222359479</v>
      </c>
      <c r="I71" s="248">
        <v>4301489745</v>
      </c>
      <c r="J71" s="249">
        <v>350</v>
      </c>
      <c r="K71" s="249">
        <v>176</v>
      </c>
      <c r="L71" s="249">
        <v>526</v>
      </c>
      <c r="M71" s="249">
        <v>8</v>
      </c>
      <c r="N71" s="249">
        <v>10</v>
      </c>
      <c r="O71" s="249">
        <v>8</v>
      </c>
      <c r="P71" s="249">
        <v>0</v>
      </c>
      <c r="Q71" s="249">
        <v>0</v>
      </c>
      <c r="R71" s="249">
        <v>26</v>
      </c>
      <c r="S71" s="249">
        <v>4</v>
      </c>
      <c r="T71" s="249">
        <v>9100</v>
      </c>
      <c r="U71" s="249">
        <v>4576</v>
      </c>
      <c r="V71" s="249">
        <v>0</v>
      </c>
      <c r="W71" s="249">
        <v>13676</v>
      </c>
      <c r="X71" s="249">
        <v>526</v>
      </c>
      <c r="Y71" s="249">
        <v>0</v>
      </c>
      <c r="Z71" s="249">
        <v>0</v>
      </c>
      <c r="AA71" s="249">
        <v>662</v>
      </c>
      <c r="AB71" s="249">
        <v>1139</v>
      </c>
      <c r="AC71" s="249">
        <v>1120</v>
      </c>
      <c r="AD71" s="249">
        <v>4558</v>
      </c>
      <c r="AE71" s="249">
        <v>2188</v>
      </c>
      <c r="AF71" s="249">
        <v>0</v>
      </c>
      <c r="AG71" s="249">
        <v>520</v>
      </c>
      <c r="AH71" s="249">
        <v>24389</v>
      </c>
      <c r="AI71" s="249">
        <v>0</v>
      </c>
      <c r="AJ71" s="249">
        <v>1641</v>
      </c>
      <c r="AK71" s="249">
        <v>166</v>
      </c>
      <c r="AL71" s="249">
        <v>0</v>
      </c>
      <c r="AM71" s="249">
        <v>22582</v>
      </c>
      <c r="AN71" s="259">
        <v>1778</v>
      </c>
      <c r="AO71" s="259">
        <v>718</v>
      </c>
      <c r="AP71" s="257"/>
      <c r="AQ71" s="258"/>
      <c r="AR71" s="258" t="s">
        <v>501</v>
      </c>
      <c r="AS71" s="259" t="s">
        <v>297</v>
      </c>
      <c r="AT71" s="260">
        <v>8</v>
      </c>
      <c r="AU71" s="260">
        <v>10</v>
      </c>
      <c r="AV71" s="260">
        <v>8</v>
      </c>
      <c r="AW71" s="260">
        <v>0</v>
      </c>
      <c r="AX71" s="260">
        <v>0</v>
      </c>
      <c r="AY71" s="260">
        <v>0</v>
      </c>
      <c r="AZ71" s="264"/>
      <c r="BA71" s="264"/>
      <c r="BB71" s="256">
        <v>494</v>
      </c>
      <c r="BC71" s="256">
        <v>240</v>
      </c>
      <c r="BD71" s="256">
        <f t="shared" si="0"/>
        <v>734</v>
      </c>
    </row>
    <row r="72" spans="1:56" ht="45" customHeight="1">
      <c r="A72" s="248">
        <v>65</v>
      </c>
      <c r="B72" s="248" t="s">
        <v>298</v>
      </c>
      <c r="C72" s="248" t="s">
        <v>299</v>
      </c>
      <c r="D72" s="248" t="s">
        <v>196</v>
      </c>
      <c r="E72" s="248" t="s">
        <v>356</v>
      </c>
      <c r="F72" s="248" t="s">
        <v>143</v>
      </c>
      <c r="G72" s="248" t="s">
        <v>500</v>
      </c>
      <c r="H72" s="255">
        <v>101222359936</v>
      </c>
      <c r="I72" s="248">
        <v>4301489357</v>
      </c>
      <c r="J72" s="249">
        <v>579</v>
      </c>
      <c r="K72" s="249">
        <v>289</v>
      </c>
      <c r="L72" s="249">
        <v>868</v>
      </c>
      <c r="M72" s="249">
        <v>0</v>
      </c>
      <c r="N72" s="249">
        <v>7</v>
      </c>
      <c r="O72" s="249">
        <v>0</v>
      </c>
      <c r="P72" s="249">
        <v>16</v>
      </c>
      <c r="Q72" s="249">
        <v>0</v>
      </c>
      <c r="R72" s="249">
        <v>23</v>
      </c>
      <c r="S72" s="249">
        <v>0</v>
      </c>
      <c r="T72" s="249">
        <v>13317</v>
      </c>
      <c r="U72" s="249">
        <v>6647</v>
      </c>
      <c r="V72" s="249">
        <v>3</v>
      </c>
      <c r="W72" s="249">
        <v>19964</v>
      </c>
      <c r="X72" s="249">
        <v>0</v>
      </c>
      <c r="Y72" s="249">
        <v>0</v>
      </c>
      <c r="Z72" s="249">
        <v>0</v>
      </c>
      <c r="AA72" s="249">
        <v>998</v>
      </c>
      <c r="AB72" s="249">
        <v>1663</v>
      </c>
      <c r="AC72" s="249">
        <v>280</v>
      </c>
      <c r="AD72" s="249">
        <v>6654</v>
      </c>
      <c r="AE72" s="249">
        <v>3194</v>
      </c>
      <c r="AF72" s="249">
        <v>2604</v>
      </c>
      <c r="AG72" s="249">
        <v>460</v>
      </c>
      <c r="AH72" s="249">
        <v>35817</v>
      </c>
      <c r="AI72" s="249">
        <v>0</v>
      </c>
      <c r="AJ72" s="249">
        <v>1800</v>
      </c>
      <c r="AK72" s="249">
        <v>0</v>
      </c>
      <c r="AL72" s="249">
        <v>0</v>
      </c>
      <c r="AM72" s="249">
        <v>34017</v>
      </c>
      <c r="AN72" s="259">
        <v>1950</v>
      </c>
      <c r="AO72" s="259">
        <v>0</v>
      </c>
      <c r="AP72" s="257"/>
      <c r="AQ72" s="258"/>
      <c r="AR72" s="258" t="s">
        <v>501</v>
      </c>
      <c r="AS72" s="259" t="s">
        <v>299</v>
      </c>
      <c r="AT72" s="260">
        <v>0</v>
      </c>
      <c r="AU72" s="260">
        <v>7</v>
      </c>
      <c r="AV72" s="260">
        <v>0</v>
      </c>
      <c r="AW72" s="260">
        <v>18</v>
      </c>
      <c r="AX72" s="260">
        <v>4</v>
      </c>
      <c r="AY72" s="260">
        <v>0</v>
      </c>
      <c r="AZ72" s="264"/>
      <c r="BA72" s="264"/>
      <c r="BB72" s="256">
        <v>350</v>
      </c>
      <c r="BC72" s="256">
        <v>172</v>
      </c>
      <c r="BD72" s="256">
        <f t="shared" si="1" ref="BD72:BD100">BB72+BC72</f>
        <v>522</v>
      </c>
    </row>
    <row r="73" spans="1:56" ht="45" customHeight="1">
      <c r="A73" s="248">
        <v>66</v>
      </c>
      <c r="B73" s="248" t="s">
        <v>300</v>
      </c>
      <c r="C73" s="248" t="s">
        <v>301</v>
      </c>
      <c r="D73" s="248" t="s">
        <v>369</v>
      </c>
      <c r="E73" s="248" t="s">
        <v>146</v>
      </c>
      <c r="F73" s="248" t="s">
        <v>361</v>
      </c>
      <c r="G73" s="248" t="s">
        <v>500</v>
      </c>
      <c r="H73" s="255">
        <v>101222360280</v>
      </c>
      <c r="I73" s="248">
        <v>4301489041</v>
      </c>
      <c r="J73" s="249">
        <v>350</v>
      </c>
      <c r="K73" s="249">
        <v>176</v>
      </c>
      <c r="L73" s="249">
        <v>526</v>
      </c>
      <c r="M73" s="249">
        <v>10</v>
      </c>
      <c r="N73" s="249">
        <v>10</v>
      </c>
      <c r="O73" s="249">
        <v>6</v>
      </c>
      <c r="P73" s="249">
        <v>2</v>
      </c>
      <c r="Q73" s="249">
        <v>0</v>
      </c>
      <c r="R73" s="249">
        <v>28</v>
      </c>
      <c r="S73" s="249">
        <v>8</v>
      </c>
      <c r="T73" s="249">
        <v>9800</v>
      </c>
      <c r="U73" s="249">
        <v>4928</v>
      </c>
      <c r="V73" s="249">
        <v>0</v>
      </c>
      <c r="W73" s="249">
        <v>14728</v>
      </c>
      <c r="X73" s="249">
        <v>1052</v>
      </c>
      <c r="Y73" s="249">
        <v>0</v>
      </c>
      <c r="Z73" s="249">
        <v>0</v>
      </c>
      <c r="AA73" s="249">
        <v>662</v>
      </c>
      <c r="AB73" s="249">
        <v>1227</v>
      </c>
      <c r="AC73" s="249">
        <v>1100</v>
      </c>
      <c r="AD73" s="249">
        <v>4909</v>
      </c>
      <c r="AE73" s="249">
        <v>2356</v>
      </c>
      <c r="AF73" s="249">
        <v>0</v>
      </c>
      <c r="AG73" s="249">
        <v>560</v>
      </c>
      <c r="AH73" s="249">
        <v>26594</v>
      </c>
      <c r="AI73" s="249">
        <v>0</v>
      </c>
      <c r="AJ73" s="249">
        <v>1767</v>
      </c>
      <c r="AK73" s="249">
        <v>182</v>
      </c>
      <c r="AL73" s="249">
        <v>0</v>
      </c>
      <c r="AM73" s="249">
        <v>24645</v>
      </c>
      <c r="AN73" s="259">
        <v>1915</v>
      </c>
      <c r="AO73" s="259">
        <v>785</v>
      </c>
      <c r="AP73" s="257"/>
      <c r="AQ73" s="258"/>
      <c r="AR73" s="258" t="s">
        <v>501</v>
      </c>
      <c r="AS73" s="259" t="s">
        <v>301</v>
      </c>
      <c r="AT73" s="260">
        <v>8</v>
      </c>
      <c r="AU73" s="260">
        <v>8</v>
      </c>
      <c r="AV73" s="260">
        <v>8</v>
      </c>
      <c r="AW73" s="260">
        <v>0</v>
      </c>
      <c r="AX73" s="260">
        <v>4</v>
      </c>
      <c r="AY73" s="260">
        <v>0</v>
      </c>
      <c r="AZ73" s="264"/>
      <c r="BA73" s="264"/>
      <c r="BB73" s="256">
        <v>579</v>
      </c>
      <c r="BC73" s="256">
        <v>283</v>
      </c>
      <c r="BD73" s="256">
        <f t="shared" si="1"/>
        <v>862</v>
      </c>
    </row>
    <row r="74" spans="1:57" ht="45" customHeight="1">
      <c r="A74" s="248">
        <v>67</v>
      </c>
      <c r="B74" s="248" t="s">
        <v>302</v>
      </c>
      <c r="C74" s="248" t="s">
        <v>303</v>
      </c>
      <c r="D74" s="248" t="s">
        <v>182</v>
      </c>
      <c r="E74" s="248" t="s">
        <v>146</v>
      </c>
      <c r="F74" s="248" t="s">
        <v>361</v>
      </c>
      <c r="G74" s="248" t="s">
        <v>500</v>
      </c>
      <c r="H74" s="255">
        <v>101222359839</v>
      </c>
      <c r="I74" s="248">
        <v>4301489402</v>
      </c>
      <c r="J74" s="249">
        <v>350</v>
      </c>
      <c r="K74" s="249">
        <v>176</v>
      </c>
      <c r="L74" s="249">
        <v>526</v>
      </c>
      <c r="M74" s="249">
        <v>10</v>
      </c>
      <c r="N74" s="249">
        <v>8</v>
      </c>
      <c r="O74" s="249">
        <v>9</v>
      </c>
      <c r="P74" s="249">
        <v>0</v>
      </c>
      <c r="Q74" s="249">
        <v>0</v>
      </c>
      <c r="R74" s="249">
        <v>27</v>
      </c>
      <c r="S74" s="249">
        <v>0</v>
      </c>
      <c r="T74" s="249">
        <v>9450</v>
      </c>
      <c r="U74" s="249">
        <v>4752</v>
      </c>
      <c r="V74" s="249">
        <v>0</v>
      </c>
      <c r="W74" s="249">
        <v>14202</v>
      </c>
      <c r="X74" s="249">
        <v>0</v>
      </c>
      <c r="Y74" s="249">
        <v>0</v>
      </c>
      <c r="Z74" s="249">
        <v>0</v>
      </c>
      <c r="AA74" s="249">
        <v>662</v>
      </c>
      <c r="AB74" s="249">
        <v>1183</v>
      </c>
      <c r="AC74" s="249">
        <v>1170</v>
      </c>
      <c r="AD74" s="249">
        <v>4734</v>
      </c>
      <c r="AE74" s="249">
        <v>2272</v>
      </c>
      <c r="AF74" s="249">
        <v>0</v>
      </c>
      <c r="AG74" s="249">
        <v>540</v>
      </c>
      <c r="AH74" s="249">
        <v>24763</v>
      </c>
      <c r="AI74" s="249">
        <v>0</v>
      </c>
      <c r="AJ74" s="249">
        <v>1704</v>
      </c>
      <c r="AK74" s="249">
        <v>168</v>
      </c>
      <c r="AL74" s="249">
        <v>0</v>
      </c>
      <c r="AM74" s="249">
        <v>22891</v>
      </c>
      <c r="AN74" s="259">
        <v>1846</v>
      </c>
      <c r="AO74" s="259">
        <v>728</v>
      </c>
      <c r="AP74" s="257"/>
      <c r="AQ74" s="258"/>
      <c r="AR74" s="258" t="s">
        <v>502</v>
      </c>
      <c r="AS74" s="259" t="s">
        <v>303</v>
      </c>
      <c r="AT74" s="260">
        <v>9</v>
      </c>
      <c r="AU74" s="260">
        <v>9</v>
      </c>
      <c r="AV74" s="260">
        <v>8</v>
      </c>
      <c r="AW74" s="260">
        <v>0</v>
      </c>
      <c r="AX74" s="260">
        <v>16</v>
      </c>
      <c r="AY74" s="260">
        <v>0</v>
      </c>
      <c r="AZ74" s="264"/>
      <c r="BA74" s="264"/>
      <c r="BB74" s="256">
        <v>350</v>
      </c>
      <c r="BC74" s="256">
        <v>172</v>
      </c>
      <c r="BD74" s="256">
        <f t="shared" si="1"/>
        <v>522</v>
      </c>
      <c r="BE74" t="s">
        <v>502</v>
      </c>
    </row>
    <row r="75" spans="1:56" ht="45" customHeight="1">
      <c r="A75" s="248">
        <v>68</v>
      </c>
      <c r="B75" s="248" t="s">
        <v>304</v>
      </c>
      <c r="C75" s="248" t="s">
        <v>305</v>
      </c>
      <c r="D75" s="248" t="s">
        <v>182</v>
      </c>
      <c r="E75" s="248" t="s">
        <v>146</v>
      </c>
      <c r="F75" s="248" t="s">
        <v>361</v>
      </c>
      <c r="G75" s="248" t="s">
        <v>500</v>
      </c>
      <c r="H75" s="255">
        <v>101222359841</v>
      </c>
      <c r="I75" s="248">
        <v>4301489395</v>
      </c>
      <c r="J75" s="249">
        <v>350</v>
      </c>
      <c r="K75" s="249">
        <v>176</v>
      </c>
      <c r="L75" s="249">
        <v>526</v>
      </c>
      <c r="M75" s="249">
        <v>7</v>
      </c>
      <c r="N75" s="249">
        <v>9</v>
      </c>
      <c r="O75" s="249">
        <v>10</v>
      </c>
      <c r="P75" s="249">
        <v>0</v>
      </c>
      <c r="Q75" s="249">
        <v>0</v>
      </c>
      <c r="R75" s="249">
        <v>26</v>
      </c>
      <c r="S75" s="249">
        <v>0</v>
      </c>
      <c r="T75" s="249">
        <v>9100</v>
      </c>
      <c r="U75" s="249">
        <v>4576</v>
      </c>
      <c r="V75" s="249">
        <v>0</v>
      </c>
      <c r="W75" s="249">
        <v>13676</v>
      </c>
      <c r="X75" s="249">
        <v>0</v>
      </c>
      <c r="Y75" s="249">
        <v>0</v>
      </c>
      <c r="Z75" s="249">
        <v>0</v>
      </c>
      <c r="AA75" s="249">
        <v>662</v>
      </c>
      <c r="AB75" s="249">
        <v>1139</v>
      </c>
      <c r="AC75" s="249">
        <v>1140</v>
      </c>
      <c r="AD75" s="249">
        <v>4558</v>
      </c>
      <c r="AE75" s="249">
        <v>2188</v>
      </c>
      <c r="AF75" s="249">
        <v>0</v>
      </c>
      <c r="AG75" s="249">
        <v>520</v>
      </c>
      <c r="AH75" s="249">
        <v>23883</v>
      </c>
      <c r="AI75" s="249">
        <v>0</v>
      </c>
      <c r="AJ75" s="249">
        <v>1641</v>
      </c>
      <c r="AK75" s="249">
        <v>162</v>
      </c>
      <c r="AL75" s="249">
        <v>0</v>
      </c>
      <c r="AM75" s="249">
        <v>22080</v>
      </c>
      <c r="AN75" s="259">
        <v>1778</v>
      </c>
      <c r="AO75" s="259">
        <v>701</v>
      </c>
      <c r="AP75" s="257"/>
      <c r="AQ75" s="258"/>
      <c r="AR75" s="258" t="s">
        <v>501</v>
      </c>
      <c r="AS75" s="259" t="s">
        <v>305</v>
      </c>
      <c r="AT75" s="260">
        <v>8</v>
      </c>
      <c r="AU75" s="260">
        <v>9</v>
      </c>
      <c r="AV75" s="260">
        <v>8</v>
      </c>
      <c r="AW75" s="260">
        <v>0</v>
      </c>
      <c r="AX75" s="260">
        <v>13</v>
      </c>
      <c r="AY75" s="260">
        <v>0</v>
      </c>
      <c r="AZ75" s="264"/>
      <c r="BA75" s="264"/>
      <c r="BB75" s="256">
        <v>350</v>
      </c>
      <c r="BC75" s="256">
        <v>172</v>
      </c>
      <c r="BD75" s="256">
        <f t="shared" si="1"/>
        <v>522</v>
      </c>
    </row>
    <row r="76" spans="1:56" ht="45" customHeight="1">
      <c r="A76" s="248">
        <v>69</v>
      </c>
      <c r="B76" s="248" t="s">
        <v>306</v>
      </c>
      <c r="C76" s="248" t="s">
        <v>307</v>
      </c>
      <c r="D76" s="248" t="s">
        <v>182</v>
      </c>
      <c r="E76" s="248" t="s">
        <v>357</v>
      </c>
      <c r="F76" s="248" t="s">
        <v>143</v>
      </c>
      <c r="G76" s="248" t="s">
        <v>500</v>
      </c>
      <c r="H76" s="255">
        <v>101222359582</v>
      </c>
      <c r="I76" s="248">
        <v>4301489513</v>
      </c>
      <c r="J76" s="249">
        <v>579</v>
      </c>
      <c r="K76" s="249">
        <v>289</v>
      </c>
      <c r="L76" s="249">
        <v>868</v>
      </c>
      <c r="M76" s="249">
        <v>15</v>
      </c>
      <c r="N76" s="249">
        <v>12</v>
      </c>
      <c r="O76" s="249">
        <v>1</v>
      </c>
      <c r="P76" s="249">
        <v>0</v>
      </c>
      <c r="Q76" s="249">
        <v>0</v>
      </c>
      <c r="R76" s="249">
        <v>28</v>
      </c>
      <c r="S76" s="249">
        <v>8</v>
      </c>
      <c r="T76" s="249">
        <v>16212</v>
      </c>
      <c r="U76" s="249">
        <v>8092</v>
      </c>
      <c r="V76" s="249">
        <v>0</v>
      </c>
      <c r="W76" s="249">
        <v>24304</v>
      </c>
      <c r="X76" s="249">
        <v>1736</v>
      </c>
      <c r="Y76" s="249">
        <v>0</v>
      </c>
      <c r="Z76" s="249">
        <v>0</v>
      </c>
      <c r="AA76" s="249">
        <v>1092</v>
      </c>
      <c r="AB76" s="249">
        <v>2025</v>
      </c>
      <c r="AC76" s="249">
        <v>1130</v>
      </c>
      <c r="AD76" s="249">
        <v>8101</v>
      </c>
      <c r="AE76" s="249">
        <v>3889</v>
      </c>
      <c r="AF76" s="249">
        <v>0</v>
      </c>
      <c r="AG76" s="249">
        <v>560</v>
      </c>
      <c r="AH76" s="249">
        <v>42837</v>
      </c>
      <c r="AI76" s="249">
        <v>0</v>
      </c>
      <c r="AJ76" s="249">
        <v>1800</v>
      </c>
      <c r="AK76" s="249">
        <v>0</v>
      </c>
      <c r="AL76" s="249">
        <v>0</v>
      </c>
      <c r="AM76" s="249">
        <v>41037</v>
      </c>
      <c r="AN76" s="259">
        <v>1950</v>
      </c>
      <c r="AO76" s="259">
        <v>0</v>
      </c>
      <c r="AP76" s="257"/>
      <c r="AQ76" s="258"/>
      <c r="AR76" s="258" t="s">
        <v>501</v>
      </c>
      <c r="AS76" s="259" t="s">
        <v>307</v>
      </c>
      <c r="AT76" s="260">
        <v>14</v>
      </c>
      <c r="AU76" s="260">
        <v>11</v>
      </c>
      <c r="AV76" s="260">
        <v>0</v>
      </c>
      <c r="AW76" s="260">
        <v>0</v>
      </c>
      <c r="AX76" s="260">
        <v>12</v>
      </c>
      <c r="AY76" s="260">
        <v>0</v>
      </c>
      <c r="AZ76" s="264"/>
      <c r="BA76" s="264"/>
      <c r="BB76" s="256">
        <v>579</v>
      </c>
      <c r="BC76" s="256">
        <v>283</v>
      </c>
      <c r="BD76" s="256">
        <f t="shared" si="1"/>
        <v>862</v>
      </c>
    </row>
    <row r="77" spans="1:56" ht="45" customHeight="1">
      <c r="A77" s="248">
        <v>70</v>
      </c>
      <c r="B77" s="248" t="s">
        <v>308</v>
      </c>
      <c r="C77" s="248" t="s">
        <v>136</v>
      </c>
      <c r="D77" s="248" t="s">
        <v>182</v>
      </c>
      <c r="E77" s="248" t="s">
        <v>146</v>
      </c>
      <c r="F77" s="248" t="s">
        <v>361</v>
      </c>
      <c r="G77" s="248" t="s">
        <v>500</v>
      </c>
      <c r="H77" s="255">
        <v>101222360279</v>
      </c>
      <c r="I77" s="248">
        <v>4301489114</v>
      </c>
      <c r="J77" s="249">
        <v>350</v>
      </c>
      <c r="K77" s="249">
        <v>176</v>
      </c>
      <c r="L77" s="249">
        <v>526</v>
      </c>
      <c r="M77" s="249">
        <v>9</v>
      </c>
      <c r="N77" s="249">
        <v>8</v>
      </c>
      <c r="O77" s="249">
        <v>7</v>
      </c>
      <c r="P77" s="249">
        <v>0</v>
      </c>
      <c r="Q77" s="249">
        <v>0</v>
      </c>
      <c r="R77" s="249">
        <v>24</v>
      </c>
      <c r="S77" s="249">
        <v>0</v>
      </c>
      <c r="T77" s="249">
        <v>8400</v>
      </c>
      <c r="U77" s="249">
        <v>4224</v>
      </c>
      <c r="V77" s="249">
        <v>0</v>
      </c>
      <c r="W77" s="249">
        <v>12624</v>
      </c>
      <c r="X77" s="249">
        <v>0</v>
      </c>
      <c r="Y77" s="249">
        <v>0</v>
      </c>
      <c r="Z77" s="249">
        <v>0</v>
      </c>
      <c r="AA77" s="249">
        <v>631</v>
      </c>
      <c r="AB77" s="249">
        <v>1052</v>
      </c>
      <c r="AC77" s="249">
        <v>1030</v>
      </c>
      <c r="AD77" s="249">
        <v>4208</v>
      </c>
      <c r="AE77" s="249">
        <v>2020</v>
      </c>
      <c r="AF77" s="249">
        <v>0</v>
      </c>
      <c r="AG77" s="249">
        <v>480</v>
      </c>
      <c r="AH77" s="249">
        <v>22045</v>
      </c>
      <c r="AI77" s="249">
        <v>0</v>
      </c>
      <c r="AJ77" s="249">
        <v>1515</v>
      </c>
      <c r="AK77" s="249">
        <v>150</v>
      </c>
      <c r="AL77" s="249">
        <v>0</v>
      </c>
      <c r="AM77" s="249">
        <v>20380</v>
      </c>
      <c r="AN77" s="259">
        <v>1641</v>
      </c>
      <c r="AO77" s="259">
        <v>647</v>
      </c>
      <c r="AP77" s="257"/>
      <c r="AQ77" s="258"/>
      <c r="AR77" s="258" t="s">
        <v>501</v>
      </c>
      <c r="AS77" s="259" t="s">
        <v>136</v>
      </c>
      <c r="AT77" s="260">
        <v>8</v>
      </c>
      <c r="AU77" s="260">
        <v>8</v>
      </c>
      <c r="AV77" s="260">
        <v>7</v>
      </c>
      <c r="AW77" s="260">
        <v>0</v>
      </c>
      <c r="AX77" s="260">
        <v>12</v>
      </c>
      <c r="AY77" s="260">
        <v>3</v>
      </c>
      <c r="AZ77" s="264"/>
      <c r="BA77" s="264"/>
      <c r="BB77" s="256">
        <v>350</v>
      </c>
      <c r="BC77" s="256">
        <v>172</v>
      </c>
      <c r="BD77" s="256">
        <f t="shared" si="1"/>
        <v>522</v>
      </c>
    </row>
    <row r="78" spans="1:56" ht="45" customHeight="1">
      <c r="A78" s="248">
        <v>71</v>
      </c>
      <c r="B78" s="248" t="s">
        <v>309</v>
      </c>
      <c r="C78" s="248" t="s">
        <v>310</v>
      </c>
      <c r="D78" s="248" t="s">
        <v>369</v>
      </c>
      <c r="E78" s="248" t="s">
        <v>144</v>
      </c>
      <c r="F78" s="248" t="s">
        <v>363</v>
      </c>
      <c r="G78" s="248" t="s">
        <v>500</v>
      </c>
      <c r="H78" s="255">
        <v>101222360003</v>
      </c>
      <c r="I78" s="248">
        <v>4301489325</v>
      </c>
      <c r="J78" s="249">
        <v>494</v>
      </c>
      <c r="K78" s="249">
        <v>245</v>
      </c>
      <c r="L78" s="249">
        <v>739</v>
      </c>
      <c r="M78" s="249">
        <v>4</v>
      </c>
      <c r="N78" s="249">
        <v>9</v>
      </c>
      <c r="O78" s="249">
        <v>2</v>
      </c>
      <c r="P78" s="249">
        <v>13</v>
      </c>
      <c r="Q78" s="249">
        <v>0</v>
      </c>
      <c r="R78" s="249">
        <v>28</v>
      </c>
      <c r="S78" s="249">
        <v>8</v>
      </c>
      <c r="T78" s="249">
        <v>13832</v>
      </c>
      <c r="U78" s="249">
        <v>6860</v>
      </c>
      <c r="V78" s="249">
        <v>0</v>
      </c>
      <c r="W78" s="249">
        <v>20692</v>
      </c>
      <c r="X78" s="249">
        <v>1478</v>
      </c>
      <c r="Y78" s="249">
        <v>0</v>
      </c>
      <c r="Z78" s="249">
        <v>0</v>
      </c>
      <c r="AA78" s="249">
        <v>930</v>
      </c>
      <c r="AB78" s="249">
        <v>1724</v>
      </c>
      <c r="AC78" s="249">
        <v>620</v>
      </c>
      <c r="AD78" s="249">
        <v>6897</v>
      </c>
      <c r="AE78" s="249">
        <v>3311</v>
      </c>
      <c r="AF78" s="249">
        <v>0</v>
      </c>
      <c r="AG78" s="249">
        <v>560</v>
      </c>
      <c r="AH78" s="249">
        <v>36212</v>
      </c>
      <c r="AI78" s="249">
        <v>0</v>
      </c>
      <c r="AJ78" s="249">
        <v>1800</v>
      </c>
      <c r="AK78" s="249">
        <v>0</v>
      </c>
      <c r="AL78" s="249">
        <v>0</v>
      </c>
      <c r="AM78" s="249">
        <v>34412</v>
      </c>
      <c r="AN78" s="259">
        <v>1950</v>
      </c>
      <c r="AO78" s="259">
        <v>0</v>
      </c>
      <c r="AP78" s="257"/>
      <c r="AQ78" s="258"/>
      <c r="AR78" s="258" t="s">
        <v>501</v>
      </c>
      <c r="AS78" s="259" t="s">
        <v>310</v>
      </c>
      <c r="AT78" s="260">
        <v>8</v>
      </c>
      <c r="AU78" s="260">
        <v>8</v>
      </c>
      <c r="AV78" s="260">
        <v>10</v>
      </c>
      <c r="AW78" s="260">
        <v>0</v>
      </c>
      <c r="AX78" s="260">
        <v>0</v>
      </c>
      <c r="AY78" s="260">
        <v>0</v>
      </c>
      <c r="AZ78" s="264"/>
      <c r="BA78" s="264"/>
      <c r="BB78" s="256">
        <v>494</v>
      </c>
      <c r="BC78" s="256">
        <v>240</v>
      </c>
      <c r="BD78" s="256">
        <f t="shared" si="1"/>
        <v>734</v>
      </c>
    </row>
    <row r="79" spans="1:56" ht="45" customHeight="1">
      <c r="A79" s="248">
        <v>72</v>
      </c>
      <c r="B79" s="248" t="s">
        <v>311</v>
      </c>
      <c r="C79" s="248" t="s">
        <v>312</v>
      </c>
      <c r="D79" s="248" t="s">
        <v>196</v>
      </c>
      <c r="E79" s="248" t="s">
        <v>145</v>
      </c>
      <c r="F79" s="248" t="s">
        <v>362</v>
      </c>
      <c r="G79" s="248" t="s">
        <v>500</v>
      </c>
      <c r="H79" s="255">
        <v>101222359825</v>
      </c>
      <c r="I79" s="248">
        <v>4301489421</v>
      </c>
      <c r="J79" s="249">
        <v>410</v>
      </c>
      <c r="K79" s="249">
        <v>204</v>
      </c>
      <c r="L79" s="249">
        <v>614</v>
      </c>
      <c r="M79" s="249">
        <v>6</v>
      </c>
      <c r="N79" s="249">
        <v>8</v>
      </c>
      <c r="O79" s="249">
        <v>10</v>
      </c>
      <c r="P79" s="249">
        <v>0</v>
      </c>
      <c r="Q79" s="249">
        <v>0</v>
      </c>
      <c r="R79" s="249">
        <v>24</v>
      </c>
      <c r="S79" s="249">
        <v>0</v>
      </c>
      <c r="T79" s="249">
        <v>9840</v>
      </c>
      <c r="U79" s="249">
        <v>4896</v>
      </c>
      <c r="V79" s="249">
        <v>0</v>
      </c>
      <c r="W79" s="249">
        <v>14736</v>
      </c>
      <c r="X79" s="249">
        <v>0</v>
      </c>
      <c r="Y79" s="249">
        <v>0</v>
      </c>
      <c r="Z79" s="249">
        <v>0</v>
      </c>
      <c r="AA79" s="249">
        <v>737</v>
      </c>
      <c r="AB79" s="249">
        <v>1228</v>
      </c>
      <c r="AC79" s="249">
        <v>1060</v>
      </c>
      <c r="AD79" s="249">
        <v>4912</v>
      </c>
      <c r="AE79" s="249">
        <v>2358</v>
      </c>
      <c r="AF79" s="249">
        <v>0</v>
      </c>
      <c r="AG79" s="249">
        <v>480</v>
      </c>
      <c r="AH79" s="249">
        <v>25511</v>
      </c>
      <c r="AI79" s="249">
        <v>0</v>
      </c>
      <c r="AJ79" s="249">
        <v>1768</v>
      </c>
      <c r="AK79" s="249">
        <v>0</v>
      </c>
      <c r="AL79" s="249">
        <v>0</v>
      </c>
      <c r="AM79" s="249">
        <v>23743</v>
      </c>
      <c r="AN79" s="259">
        <v>1916</v>
      </c>
      <c r="AO79" s="259">
        <v>0</v>
      </c>
      <c r="AP79" s="257"/>
      <c r="AQ79" s="258"/>
      <c r="AR79" s="258" t="s">
        <v>501</v>
      </c>
      <c r="AS79" s="259" t="s">
        <v>312</v>
      </c>
      <c r="AT79" s="260">
        <v>7</v>
      </c>
      <c r="AU79" s="260">
        <v>9</v>
      </c>
      <c r="AV79" s="260">
        <v>7</v>
      </c>
      <c r="AW79" s="260">
        <v>0</v>
      </c>
      <c r="AX79" s="260">
        <v>8</v>
      </c>
      <c r="AY79" s="260">
        <v>0</v>
      </c>
      <c r="AZ79" s="264"/>
      <c r="BA79" s="264"/>
      <c r="BB79" s="256">
        <v>410</v>
      </c>
      <c r="BC79" s="256">
        <v>200</v>
      </c>
      <c r="BD79" s="256">
        <f t="shared" si="1"/>
        <v>610</v>
      </c>
    </row>
    <row r="80" spans="1:56" ht="45" customHeight="1">
      <c r="A80" s="248">
        <v>73</v>
      </c>
      <c r="B80" s="248" t="s">
        <v>313</v>
      </c>
      <c r="C80" s="248" t="s">
        <v>314</v>
      </c>
      <c r="D80" s="248" t="s">
        <v>369</v>
      </c>
      <c r="E80" s="248" t="s">
        <v>144</v>
      </c>
      <c r="F80" s="248" t="s">
        <v>363</v>
      </c>
      <c r="G80" s="248" t="s">
        <v>500</v>
      </c>
      <c r="H80" s="255">
        <v>101222360251</v>
      </c>
      <c r="I80" s="248">
        <v>4301489119</v>
      </c>
      <c r="J80" s="249">
        <v>494</v>
      </c>
      <c r="K80" s="249">
        <v>245</v>
      </c>
      <c r="L80" s="249">
        <v>739</v>
      </c>
      <c r="M80" s="249">
        <v>5</v>
      </c>
      <c r="N80" s="249">
        <v>8</v>
      </c>
      <c r="O80" s="249">
        <v>10</v>
      </c>
      <c r="P80" s="249">
        <v>0</v>
      </c>
      <c r="Q80" s="249">
        <v>0</v>
      </c>
      <c r="R80" s="249">
        <v>23</v>
      </c>
      <c r="S80" s="249">
        <v>0</v>
      </c>
      <c r="T80" s="249">
        <v>11362</v>
      </c>
      <c r="U80" s="249">
        <v>5635</v>
      </c>
      <c r="V80" s="249">
        <v>3</v>
      </c>
      <c r="W80" s="249">
        <v>16997</v>
      </c>
      <c r="X80" s="249">
        <v>0</v>
      </c>
      <c r="Y80" s="249">
        <v>0</v>
      </c>
      <c r="Z80" s="249">
        <v>0</v>
      </c>
      <c r="AA80" s="249">
        <v>850</v>
      </c>
      <c r="AB80" s="249">
        <v>1416</v>
      </c>
      <c r="AC80" s="249">
        <v>1020</v>
      </c>
      <c r="AD80" s="249">
        <v>5665</v>
      </c>
      <c r="AE80" s="249">
        <v>2720</v>
      </c>
      <c r="AF80" s="249">
        <v>2217</v>
      </c>
      <c r="AG80" s="249">
        <v>460</v>
      </c>
      <c r="AH80" s="249">
        <v>31345</v>
      </c>
      <c r="AI80" s="249">
        <v>0</v>
      </c>
      <c r="AJ80" s="249">
        <v>1800</v>
      </c>
      <c r="AK80" s="249">
        <v>0</v>
      </c>
      <c r="AL80" s="249">
        <v>0</v>
      </c>
      <c r="AM80" s="249">
        <v>29545</v>
      </c>
      <c r="AN80" s="259">
        <v>1950</v>
      </c>
      <c r="AO80" s="259">
        <v>0</v>
      </c>
      <c r="AP80" s="257"/>
      <c r="AQ80" s="258"/>
      <c r="AR80" s="258" t="s">
        <v>501</v>
      </c>
      <c r="AS80" s="259" t="s">
        <v>314</v>
      </c>
      <c r="AT80" s="260">
        <v>8</v>
      </c>
      <c r="AU80" s="260">
        <v>9</v>
      </c>
      <c r="AV80" s="260">
        <v>8</v>
      </c>
      <c r="AW80" s="260">
        <v>0</v>
      </c>
      <c r="AX80" s="260">
        <v>4</v>
      </c>
      <c r="AY80" s="260">
        <v>0</v>
      </c>
      <c r="AZ80" s="264"/>
      <c r="BA80" s="264"/>
      <c r="BB80" s="256">
        <v>494</v>
      </c>
      <c r="BC80" s="256">
        <v>240</v>
      </c>
      <c r="BD80" s="256">
        <f t="shared" si="1"/>
        <v>734</v>
      </c>
    </row>
    <row r="81" spans="1:56" ht="45" customHeight="1">
      <c r="A81" s="248">
        <v>74</v>
      </c>
      <c r="B81" s="248" t="s">
        <v>315</v>
      </c>
      <c r="C81" s="248" t="s">
        <v>316</v>
      </c>
      <c r="D81" s="248" t="s">
        <v>196</v>
      </c>
      <c r="E81" s="248" t="s">
        <v>145</v>
      </c>
      <c r="F81" s="248" t="s">
        <v>362</v>
      </c>
      <c r="G81" s="248" t="s">
        <v>500</v>
      </c>
      <c r="H81" s="255">
        <v>101222360019</v>
      </c>
      <c r="I81" s="248">
        <v>4301489323</v>
      </c>
      <c r="J81" s="249">
        <v>410</v>
      </c>
      <c r="K81" s="249">
        <v>204</v>
      </c>
      <c r="L81" s="249">
        <v>614</v>
      </c>
      <c r="M81" s="249">
        <v>8</v>
      </c>
      <c r="N81" s="249">
        <v>10</v>
      </c>
      <c r="O81" s="249">
        <v>7</v>
      </c>
      <c r="P81" s="249">
        <v>0</v>
      </c>
      <c r="Q81" s="249">
        <v>0</v>
      </c>
      <c r="R81" s="249">
        <v>25</v>
      </c>
      <c r="S81" s="249">
        <v>0</v>
      </c>
      <c r="T81" s="249">
        <v>10250</v>
      </c>
      <c r="U81" s="249">
        <v>5100</v>
      </c>
      <c r="V81" s="249">
        <v>1</v>
      </c>
      <c r="W81" s="249">
        <v>15350</v>
      </c>
      <c r="X81" s="249">
        <v>0</v>
      </c>
      <c r="Y81" s="249">
        <v>0</v>
      </c>
      <c r="Z81" s="249">
        <v>0</v>
      </c>
      <c r="AA81" s="249">
        <v>768</v>
      </c>
      <c r="AB81" s="249">
        <v>1279</v>
      </c>
      <c r="AC81" s="249">
        <v>1070</v>
      </c>
      <c r="AD81" s="249">
        <v>5116</v>
      </c>
      <c r="AE81" s="249">
        <v>2456</v>
      </c>
      <c r="AF81" s="249">
        <v>614</v>
      </c>
      <c r="AG81" s="249">
        <v>500</v>
      </c>
      <c r="AH81" s="249">
        <v>27153</v>
      </c>
      <c r="AI81" s="249">
        <v>0</v>
      </c>
      <c r="AJ81" s="249">
        <v>1800</v>
      </c>
      <c r="AK81" s="249">
        <v>0</v>
      </c>
      <c r="AL81" s="249">
        <v>0</v>
      </c>
      <c r="AM81" s="249">
        <v>25353</v>
      </c>
      <c r="AN81" s="259">
        <v>1950</v>
      </c>
      <c r="AO81" s="259">
        <v>0</v>
      </c>
      <c r="AP81" s="257"/>
      <c r="AQ81" s="258"/>
      <c r="AR81" s="258" t="s">
        <v>501</v>
      </c>
      <c r="AS81" s="259" t="s">
        <v>316</v>
      </c>
      <c r="AT81" s="260">
        <v>8</v>
      </c>
      <c r="AU81" s="260">
        <v>10</v>
      </c>
      <c r="AV81" s="260">
        <v>8</v>
      </c>
      <c r="AW81" s="260">
        <v>0</v>
      </c>
      <c r="AX81" s="260">
        <v>8</v>
      </c>
      <c r="AY81" s="260">
        <v>0</v>
      </c>
      <c r="AZ81" s="264"/>
      <c r="BA81" s="264"/>
      <c r="BB81" s="256">
        <v>410</v>
      </c>
      <c r="BC81" s="256">
        <v>200</v>
      </c>
      <c r="BD81" s="256">
        <f t="shared" si="1"/>
        <v>610</v>
      </c>
    </row>
    <row r="82" spans="1:56" ht="45" customHeight="1">
      <c r="A82" s="248">
        <v>75</v>
      </c>
      <c r="B82" s="248" t="s">
        <v>317</v>
      </c>
      <c r="C82" s="248" t="s">
        <v>318</v>
      </c>
      <c r="D82" s="248" t="s">
        <v>196</v>
      </c>
      <c r="E82" s="248" t="s">
        <v>145</v>
      </c>
      <c r="F82" s="248" t="s">
        <v>362</v>
      </c>
      <c r="G82" s="248" t="s">
        <v>500</v>
      </c>
      <c r="H82" s="255">
        <v>101222360061</v>
      </c>
      <c r="I82" s="248">
        <v>4301489312</v>
      </c>
      <c r="J82" s="249">
        <v>410</v>
      </c>
      <c r="K82" s="249">
        <v>204</v>
      </c>
      <c r="L82" s="249">
        <v>614</v>
      </c>
      <c r="M82" s="249">
        <v>9</v>
      </c>
      <c r="N82" s="249">
        <v>8</v>
      </c>
      <c r="O82" s="249">
        <v>10</v>
      </c>
      <c r="P82" s="249">
        <v>0</v>
      </c>
      <c r="Q82" s="249">
        <v>0</v>
      </c>
      <c r="R82" s="249">
        <v>27</v>
      </c>
      <c r="S82" s="249">
        <v>0</v>
      </c>
      <c r="T82" s="249">
        <v>11070</v>
      </c>
      <c r="U82" s="249">
        <v>5508</v>
      </c>
      <c r="V82" s="249">
        <v>0</v>
      </c>
      <c r="W82" s="249">
        <v>16578</v>
      </c>
      <c r="X82" s="249">
        <v>0</v>
      </c>
      <c r="Y82" s="249">
        <v>0</v>
      </c>
      <c r="Z82" s="249">
        <v>0</v>
      </c>
      <c r="AA82" s="249">
        <v>772</v>
      </c>
      <c r="AB82" s="249">
        <v>1381</v>
      </c>
      <c r="AC82" s="249">
        <v>1180</v>
      </c>
      <c r="AD82" s="249">
        <v>5525</v>
      </c>
      <c r="AE82" s="249">
        <v>2652</v>
      </c>
      <c r="AF82" s="249">
        <v>0</v>
      </c>
      <c r="AG82" s="249">
        <v>540</v>
      </c>
      <c r="AH82" s="249">
        <v>28628</v>
      </c>
      <c r="AI82" s="249">
        <v>0</v>
      </c>
      <c r="AJ82" s="249">
        <v>1800</v>
      </c>
      <c r="AK82" s="249">
        <v>0</v>
      </c>
      <c r="AL82" s="249">
        <v>0</v>
      </c>
      <c r="AM82" s="249">
        <v>26828</v>
      </c>
      <c r="AN82" s="259">
        <v>1950</v>
      </c>
      <c r="AO82" s="259">
        <v>0</v>
      </c>
      <c r="AP82" s="257"/>
      <c r="AQ82" s="258"/>
      <c r="AR82" s="258" t="s">
        <v>501</v>
      </c>
      <c r="AS82" s="259" t="s">
        <v>318</v>
      </c>
      <c r="AT82" s="260">
        <v>8</v>
      </c>
      <c r="AU82" s="260">
        <v>8</v>
      </c>
      <c r="AV82" s="260">
        <v>10</v>
      </c>
      <c r="AW82" s="260">
        <v>0</v>
      </c>
      <c r="AX82" s="260">
        <v>0</v>
      </c>
      <c r="AY82" s="260">
        <v>0</v>
      </c>
      <c r="AZ82" s="264"/>
      <c r="BA82" s="264"/>
      <c r="BB82" s="256">
        <v>410</v>
      </c>
      <c r="BC82" s="256">
        <v>200</v>
      </c>
      <c r="BD82" s="256">
        <f t="shared" si="1"/>
        <v>610</v>
      </c>
    </row>
    <row r="83" spans="1:56" ht="45" customHeight="1">
      <c r="A83" s="248">
        <v>76</v>
      </c>
      <c r="B83" s="248" t="s">
        <v>319</v>
      </c>
      <c r="C83" s="248" t="s">
        <v>320</v>
      </c>
      <c r="D83" s="248" t="s">
        <v>369</v>
      </c>
      <c r="E83" s="248" t="s">
        <v>146</v>
      </c>
      <c r="F83" s="248" t="s">
        <v>361</v>
      </c>
      <c r="G83" s="248" t="s">
        <v>500</v>
      </c>
      <c r="H83" s="255">
        <v>101222360312</v>
      </c>
      <c r="I83" s="248">
        <v>4301489027</v>
      </c>
      <c r="J83" s="249">
        <v>350</v>
      </c>
      <c r="K83" s="249">
        <v>176</v>
      </c>
      <c r="L83" s="249">
        <v>526</v>
      </c>
      <c r="M83" s="249">
        <v>3</v>
      </c>
      <c r="N83" s="249">
        <v>11</v>
      </c>
      <c r="O83" s="249">
        <v>4</v>
      </c>
      <c r="P83" s="249">
        <v>7</v>
      </c>
      <c r="Q83" s="249">
        <v>0</v>
      </c>
      <c r="R83" s="249">
        <v>25</v>
      </c>
      <c r="S83" s="249">
        <v>0</v>
      </c>
      <c r="T83" s="249">
        <v>8750</v>
      </c>
      <c r="U83" s="249">
        <v>4400</v>
      </c>
      <c r="V83" s="249">
        <v>0</v>
      </c>
      <c r="W83" s="249">
        <v>13150</v>
      </c>
      <c r="X83" s="249">
        <v>0</v>
      </c>
      <c r="Y83" s="249">
        <v>0</v>
      </c>
      <c r="Z83" s="249">
        <v>0</v>
      </c>
      <c r="AA83" s="249">
        <v>658</v>
      </c>
      <c r="AB83" s="249">
        <v>1095</v>
      </c>
      <c r="AC83" s="249">
        <v>760</v>
      </c>
      <c r="AD83" s="249">
        <v>4383</v>
      </c>
      <c r="AE83" s="249">
        <v>2104</v>
      </c>
      <c r="AF83" s="249">
        <v>0</v>
      </c>
      <c r="AG83" s="249">
        <v>500</v>
      </c>
      <c r="AH83" s="249">
        <v>22650</v>
      </c>
      <c r="AI83" s="249">
        <v>0</v>
      </c>
      <c r="AJ83" s="249">
        <v>1578</v>
      </c>
      <c r="AK83" s="249">
        <v>153</v>
      </c>
      <c r="AL83" s="249">
        <v>0</v>
      </c>
      <c r="AM83" s="249">
        <v>20919</v>
      </c>
      <c r="AN83" s="259">
        <v>1710</v>
      </c>
      <c r="AO83" s="259">
        <v>663</v>
      </c>
      <c r="AP83" s="257"/>
      <c r="AQ83" s="258"/>
      <c r="AR83" s="258" t="s">
        <v>501</v>
      </c>
      <c r="AS83" s="259" t="s">
        <v>320</v>
      </c>
      <c r="AT83" s="260">
        <v>0</v>
      </c>
      <c r="AU83" s="260">
        <v>8</v>
      </c>
      <c r="AV83" s="260">
        <v>1</v>
      </c>
      <c r="AW83" s="260">
        <v>16</v>
      </c>
      <c r="AX83" s="260">
        <v>4</v>
      </c>
      <c r="AY83" s="260">
        <v>0</v>
      </c>
      <c r="AZ83" s="264"/>
      <c r="BA83" s="264"/>
      <c r="BB83" s="256">
        <v>350</v>
      </c>
      <c r="BC83" s="256">
        <v>172</v>
      </c>
      <c r="BD83" s="256">
        <f t="shared" si="1"/>
        <v>522</v>
      </c>
    </row>
    <row r="84" spans="1:56" ht="45" customHeight="1">
      <c r="A84" s="248">
        <v>77</v>
      </c>
      <c r="B84" s="248" t="s">
        <v>321</v>
      </c>
      <c r="C84" s="248" t="s">
        <v>322</v>
      </c>
      <c r="D84" s="248" t="s">
        <v>196</v>
      </c>
      <c r="E84" s="248" t="s">
        <v>145</v>
      </c>
      <c r="F84" s="248" t="s">
        <v>362</v>
      </c>
      <c r="G84" s="248" t="s">
        <v>500</v>
      </c>
      <c r="H84" s="255">
        <v>101222360074</v>
      </c>
      <c r="I84" s="248">
        <v>4301489309</v>
      </c>
      <c r="J84" s="249">
        <v>410</v>
      </c>
      <c r="K84" s="249">
        <v>204</v>
      </c>
      <c r="L84" s="249">
        <v>614</v>
      </c>
      <c r="M84" s="249">
        <v>0</v>
      </c>
      <c r="N84" s="249">
        <v>12</v>
      </c>
      <c r="O84" s="249">
        <v>0</v>
      </c>
      <c r="P84" s="249">
        <v>12</v>
      </c>
      <c r="Q84" s="249">
        <v>0</v>
      </c>
      <c r="R84" s="249">
        <v>24</v>
      </c>
      <c r="S84" s="249">
        <v>0</v>
      </c>
      <c r="T84" s="249">
        <v>9840</v>
      </c>
      <c r="U84" s="249">
        <v>4896</v>
      </c>
      <c r="V84" s="249">
        <v>2</v>
      </c>
      <c r="W84" s="249">
        <v>14736</v>
      </c>
      <c r="X84" s="249">
        <v>0</v>
      </c>
      <c r="Y84" s="249">
        <v>0</v>
      </c>
      <c r="Z84" s="249">
        <v>0</v>
      </c>
      <c r="AA84" s="249">
        <v>737</v>
      </c>
      <c r="AB84" s="249">
        <v>1228</v>
      </c>
      <c r="AC84" s="249">
        <v>480</v>
      </c>
      <c r="AD84" s="249">
        <v>4912</v>
      </c>
      <c r="AE84" s="249">
        <v>2358</v>
      </c>
      <c r="AF84" s="249">
        <v>1228</v>
      </c>
      <c r="AG84" s="249">
        <v>480</v>
      </c>
      <c r="AH84" s="249">
        <v>26159</v>
      </c>
      <c r="AI84" s="249">
        <v>0</v>
      </c>
      <c r="AJ84" s="249">
        <v>1768</v>
      </c>
      <c r="AK84" s="249">
        <v>0</v>
      </c>
      <c r="AL84" s="249">
        <v>0</v>
      </c>
      <c r="AM84" s="249">
        <v>24391</v>
      </c>
      <c r="AN84" s="259">
        <v>1916</v>
      </c>
      <c r="AO84" s="259">
        <v>0</v>
      </c>
      <c r="AP84" s="257"/>
      <c r="AQ84" s="258"/>
      <c r="AR84" s="258" t="s">
        <v>501</v>
      </c>
      <c r="AS84" s="259" t="s">
        <v>322</v>
      </c>
      <c r="AT84" s="260">
        <v>0</v>
      </c>
      <c r="AU84" s="260">
        <v>13</v>
      </c>
      <c r="AV84" s="260">
        <v>0</v>
      </c>
      <c r="AW84" s="260">
        <v>12</v>
      </c>
      <c r="AX84" s="260">
        <v>4</v>
      </c>
      <c r="AY84" s="260">
        <v>0</v>
      </c>
      <c r="AZ84" s="264"/>
      <c r="BA84" s="264"/>
      <c r="BB84" s="256">
        <v>410</v>
      </c>
      <c r="BC84" s="256">
        <v>200</v>
      </c>
      <c r="BD84" s="256">
        <f t="shared" si="1"/>
        <v>610</v>
      </c>
    </row>
    <row r="85" spans="1:56" ht="45" customHeight="1">
      <c r="A85" s="248">
        <v>78</v>
      </c>
      <c r="B85" s="248" t="s">
        <v>323</v>
      </c>
      <c r="C85" s="248" t="s">
        <v>324</v>
      </c>
      <c r="D85" s="248" t="s">
        <v>182</v>
      </c>
      <c r="E85" s="248" t="s">
        <v>146</v>
      </c>
      <c r="F85" s="248" t="s">
        <v>361</v>
      </c>
      <c r="G85" s="248" t="s">
        <v>500</v>
      </c>
      <c r="H85" s="255">
        <v>101222359684</v>
      </c>
      <c r="I85" s="248">
        <v>4301489493</v>
      </c>
      <c r="J85" s="249">
        <v>350</v>
      </c>
      <c r="K85" s="249">
        <v>176</v>
      </c>
      <c r="L85" s="249">
        <v>526</v>
      </c>
      <c r="M85" s="249">
        <v>8</v>
      </c>
      <c r="N85" s="249">
        <v>0</v>
      </c>
      <c r="O85" s="249">
        <v>0</v>
      </c>
      <c r="P85" s="249">
        <v>18</v>
      </c>
      <c r="Q85" s="249">
        <v>0</v>
      </c>
      <c r="R85" s="249">
        <v>26</v>
      </c>
      <c r="S85" s="249">
        <v>0</v>
      </c>
      <c r="T85" s="249">
        <v>9100</v>
      </c>
      <c r="U85" s="249">
        <v>4576</v>
      </c>
      <c r="V85" s="249">
        <v>0</v>
      </c>
      <c r="W85" s="249">
        <v>13676</v>
      </c>
      <c r="X85" s="249">
        <v>0</v>
      </c>
      <c r="Y85" s="249">
        <v>0</v>
      </c>
      <c r="Z85" s="249">
        <v>0</v>
      </c>
      <c r="AA85" s="249">
        <v>662</v>
      </c>
      <c r="AB85" s="249">
        <v>1139</v>
      </c>
      <c r="AC85" s="249">
        <v>320</v>
      </c>
      <c r="AD85" s="249">
        <v>4558</v>
      </c>
      <c r="AE85" s="249">
        <v>2188</v>
      </c>
      <c r="AF85" s="249">
        <v>0</v>
      </c>
      <c r="AG85" s="249">
        <v>520</v>
      </c>
      <c r="AH85" s="249">
        <v>23063</v>
      </c>
      <c r="AI85" s="249">
        <v>0</v>
      </c>
      <c r="AJ85" s="249">
        <v>1641</v>
      </c>
      <c r="AK85" s="249">
        <v>156</v>
      </c>
      <c r="AL85" s="249">
        <v>0</v>
      </c>
      <c r="AM85" s="249">
        <v>21266</v>
      </c>
      <c r="AN85" s="259">
        <v>1778</v>
      </c>
      <c r="AO85" s="259">
        <v>675</v>
      </c>
      <c r="AP85" s="257"/>
      <c r="AQ85" s="258"/>
      <c r="AR85" s="258" t="s">
        <v>501</v>
      </c>
      <c r="AS85" s="259" t="s">
        <v>324</v>
      </c>
      <c r="AT85" s="260">
        <v>8</v>
      </c>
      <c r="AU85" s="260">
        <v>0</v>
      </c>
      <c r="AV85" s="260">
        <v>0</v>
      </c>
      <c r="AW85" s="260">
        <v>17</v>
      </c>
      <c r="AX85" s="260">
        <v>0</v>
      </c>
      <c r="AY85" s="260">
        <v>0</v>
      </c>
      <c r="AZ85" s="264"/>
      <c r="BA85" s="264"/>
      <c r="BB85" s="256">
        <v>350</v>
      </c>
      <c r="BC85" s="256">
        <v>172</v>
      </c>
      <c r="BD85" s="256">
        <f t="shared" si="1"/>
        <v>522</v>
      </c>
    </row>
    <row r="86" spans="1:56" ht="45" customHeight="1">
      <c r="A86" s="248">
        <v>79</v>
      </c>
      <c r="B86" s="248" t="s">
        <v>325</v>
      </c>
      <c r="C86" s="248" t="s">
        <v>326</v>
      </c>
      <c r="D86" s="248" t="s">
        <v>369</v>
      </c>
      <c r="E86" s="248" t="s">
        <v>146</v>
      </c>
      <c r="F86" s="248" t="s">
        <v>361</v>
      </c>
      <c r="G86" s="248" t="s">
        <v>500</v>
      </c>
      <c r="H86" s="255">
        <v>101222360308</v>
      </c>
      <c r="I86" s="248">
        <v>4301489031</v>
      </c>
      <c r="J86" s="249">
        <v>350</v>
      </c>
      <c r="K86" s="249">
        <v>176</v>
      </c>
      <c r="L86" s="249">
        <v>526</v>
      </c>
      <c r="M86" s="249">
        <v>7</v>
      </c>
      <c r="N86" s="249">
        <v>11</v>
      </c>
      <c r="O86" s="249">
        <v>8</v>
      </c>
      <c r="P86" s="249">
        <v>0</v>
      </c>
      <c r="Q86" s="249">
        <v>0</v>
      </c>
      <c r="R86" s="249">
        <v>26</v>
      </c>
      <c r="S86" s="249">
        <v>0</v>
      </c>
      <c r="T86" s="249">
        <v>9100</v>
      </c>
      <c r="U86" s="249">
        <v>4576</v>
      </c>
      <c r="V86" s="249">
        <v>1</v>
      </c>
      <c r="W86" s="249">
        <v>13676</v>
      </c>
      <c r="X86" s="249">
        <v>0</v>
      </c>
      <c r="Y86" s="249">
        <v>0</v>
      </c>
      <c r="Z86" s="249">
        <v>0</v>
      </c>
      <c r="AA86" s="249">
        <v>662</v>
      </c>
      <c r="AB86" s="249">
        <v>1139</v>
      </c>
      <c r="AC86" s="249">
        <v>1120</v>
      </c>
      <c r="AD86" s="249">
        <v>4558</v>
      </c>
      <c r="AE86" s="249">
        <v>2188</v>
      </c>
      <c r="AF86" s="249">
        <v>526</v>
      </c>
      <c r="AG86" s="249">
        <v>520</v>
      </c>
      <c r="AH86" s="249">
        <v>24389</v>
      </c>
      <c r="AI86" s="249">
        <v>0</v>
      </c>
      <c r="AJ86" s="249">
        <v>1641</v>
      </c>
      <c r="AK86" s="249">
        <v>162</v>
      </c>
      <c r="AL86" s="249">
        <v>0</v>
      </c>
      <c r="AM86" s="249">
        <v>22586</v>
      </c>
      <c r="AN86" s="259">
        <v>1778</v>
      </c>
      <c r="AO86" s="259">
        <v>701</v>
      </c>
      <c r="AP86" s="257"/>
      <c r="AQ86" s="258"/>
      <c r="AR86" s="258" t="s">
        <v>501</v>
      </c>
      <c r="AS86" s="259" t="s">
        <v>326</v>
      </c>
      <c r="AT86" s="260">
        <v>9</v>
      </c>
      <c r="AU86" s="260">
        <v>9</v>
      </c>
      <c r="AV86" s="260">
        <v>7</v>
      </c>
      <c r="AW86" s="260">
        <v>0</v>
      </c>
      <c r="AX86" s="260">
        <v>0</v>
      </c>
      <c r="AY86" s="260">
        <v>0</v>
      </c>
      <c r="AZ86" s="264"/>
      <c r="BA86" s="264"/>
      <c r="BB86" s="256">
        <v>350</v>
      </c>
      <c r="BC86" s="256">
        <v>172</v>
      </c>
      <c r="BD86" s="256">
        <f t="shared" si="1"/>
        <v>522</v>
      </c>
    </row>
    <row r="87" spans="1:56" ht="45" customHeight="1">
      <c r="A87" s="248">
        <v>80</v>
      </c>
      <c r="B87" s="248" t="s">
        <v>327</v>
      </c>
      <c r="C87" s="248" t="s">
        <v>328</v>
      </c>
      <c r="D87" s="248" t="s">
        <v>196</v>
      </c>
      <c r="E87" s="248" t="s">
        <v>144</v>
      </c>
      <c r="F87" s="248" t="s">
        <v>363</v>
      </c>
      <c r="G87" s="248" t="s">
        <v>500</v>
      </c>
      <c r="H87" s="255">
        <v>101222359970</v>
      </c>
      <c r="I87" s="248">
        <v>4301489340</v>
      </c>
      <c r="J87" s="249">
        <v>494</v>
      </c>
      <c r="K87" s="249">
        <v>245</v>
      </c>
      <c r="L87" s="249">
        <v>739</v>
      </c>
      <c r="M87" s="249">
        <v>3</v>
      </c>
      <c r="N87" s="249">
        <v>3</v>
      </c>
      <c r="O87" s="249">
        <v>3</v>
      </c>
      <c r="P87" s="249">
        <v>16</v>
      </c>
      <c r="Q87" s="249">
        <v>0</v>
      </c>
      <c r="R87" s="249">
        <v>25</v>
      </c>
      <c r="S87" s="249">
        <v>0</v>
      </c>
      <c r="T87" s="249">
        <v>12350</v>
      </c>
      <c r="U87" s="249">
        <v>6125</v>
      </c>
      <c r="V87" s="249">
        <v>1</v>
      </c>
      <c r="W87" s="249">
        <v>18475</v>
      </c>
      <c r="X87" s="249">
        <v>0</v>
      </c>
      <c r="Y87" s="249">
        <v>0</v>
      </c>
      <c r="Z87" s="249">
        <v>0</v>
      </c>
      <c r="AA87" s="249">
        <v>924</v>
      </c>
      <c r="AB87" s="249">
        <v>1539</v>
      </c>
      <c r="AC87" s="249">
        <v>390</v>
      </c>
      <c r="AD87" s="249">
        <v>6158</v>
      </c>
      <c r="AE87" s="249">
        <v>2956</v>
      </c>
      <c r="AF87" s="249">
        <v>739</v>
      </c>
      <c r="AG87" s="249">
        <v>500</v>
      </c>
      <c r="AH87" s="249">
        <v>31681</v>
      </c>
      <c r="AI87" s="249">
        <v>0</v>
      </c>
      <c r="AJ87" s="249">
        <v>1800</v>
      </c>
      <c r="AK87" s="249">
        <v>0</v>
      </c>
      <c r="AL87" s="249">
        <v>0</v>
      </c>
      <c r="AM87" s="249">
        <v>29881</v>
      </c>
      <c r="AN87" s="259">
        <v>1950</v>
      </c>
      <c r="AO87" s="259">
        <v>0</v>
      </c>
      <c r="AP87" s="257"/>
      <c r="AQ87" s="258"/>
      <c r="AR87" s="258" t="s">
        <v>501</v>
      </c>
      <c r="AS87" s="259" t="s">
        <v>328</v>
      </c>
      <c r="AT87" s="260">
        <v>6</v>
      </c>
      <c r="AU87" s="260">
        <v>10</v>
      </c>
      <c r="AV87" s="260">
        <v>3</v>
      </c>
      <c r="AW87" s="260">
        <v>6</v>
      </c>
      <c r="AX87" s="260">
        <v>0</v>
      </c>
      <c r="AY87" s="260">
        <v>0</v>
      </c>
      <c r="AZ87" s="264"/>
      <c r="BA87" s="264"/>
      <c r="BB87" s="256">
        <v>494</v>
      </c>
      <c r="BC87" s="256">
        <v>240</v>
      </c>
      <c r="BD87" s="256">
        <f t="shared" si="1"/>
        <v>734</v>
      </c>
    </row>
    <row r="88" spans="1:56" ht="45" customHeight="1">
      <c r="A88" s="248">
        <v>81</v>
      </c>
      <c r="B88" s="248" t="s">
        <v>329</v>
      </c>
      <c r="C88" s="248" t="s">
        <v>330</v>
      </c>
      <c r="D88" s="248" t="s">
        <v>182</v>
      </c>
      <c r="E88" s="248" t="s">
        <v>146</v>
      </c>
      <c r="F88" s="248" t="s">
        <v>361</v>
      </c>
      <c r="G88" s="248" t="s">
        <v>500</v>
      </c>
      <c r="H88" s="255">
        <v>101222359802</v>
      </c>
      <c r="I88" s="248">
        <v>4301489454</v>
      </c>
      <c r="J88" s="249">
        <v>350</v>
      </c>
      <c r="K88" s="249">
        <v>176</v>
      </c>
      <c r="L88" s="249">
        <v>526</v>
      </c>
      <c r="M88" s="249">
        <v>10</v>
      </c>
      <c r="N88" s="249">
        <v>9</v>
      </c>
      <c r="O88" s="249">
        <v>8</v>
      </c>
      <c r="P88" s="249">
        <v>0</v>
      </c>
      <c r="Q88" s="249">
        <v>0</v>
      </c>
      <c r="R88" s="249">
        <v>27</v>
      </c>
      <c r="S88" s="249">
        <v>0</v>
      </c>
      <c r="T88" s="249">
        <v>9450</v>
      </c>
      <c r="U88" s="249">
        <v>4752</v>
      </c>
      <c r="V88" s="249">
        <v>0</v>
      </c>
      <c r="W88" s="249">
        <v>14202</v>
      </c>
      <c r="X88" s="249">
        <v>0</v>
      </c>
      <c r="Y88" s="249">
        <v>0</v>
      </c>
      <c r="Z88" s="249">
        <v>0</v>
      </c>
      <c r="AA88" s="249">
        <v>662</v>
      </c>
      <c r="AB88" s="249">
        <v>1183</v>
      </c>
      <c r="AC88" s="249">
        <v>1160</v>
      </c>
      <c r="AD88" s="249">
        <v>4734</v>
      </c>
      <c r="AE88" s="249">
        <v>2272</v>
      </c>
      <c r="AF88" s="249">
        <v>0</v>
      </c>
      <c r="AG88" s="249">
        <v>540</v>
      </c>
      <c r="AH88" s="249">
        <v>24753</v>
      </c>
      <c r="AI88" s="249">
        <v>0</v>
      </c>
      <c r="AJ88" s="249">
        <v>1704</v>
      </c>
      <c r="AK88" s="249">
        <v>168</v>
      </c>
      <c r="AL88" s="249">
        <v>0</v>
      </c>
      <c r="AM88" s="249">
        <v>22881</v>
      </c>
      <c r="AN88" s="259">
        <v>1846</v>
      </c>
      <c r="AO88" s="259">
        <v>727</v>
      </c>
      <c r="AP88" s="257"/>
      <c r="AQ88" s="258"/>
      <c r="AR88" s="258" t="s">
        <v>501</v>
      </c>
      <c r="AS88" s="259" t="s">
        <v>330</v>
      </c>
      <c r="AT88" s="260">
        <v>10</v>
      </c>
      <c r="AU88" s="260">
        <v>8</v>
      </c>
      <c r="AV88" s="260">
        <v>8</v>
      </c>
      <c r="AW88" s="260">
        <v>1</v>
      </c>
      <c r="AX88" s="260">
        <v>26</v>
      </c>
      <c r="AY88" s="260">
        <v>0</v>
      </c>
      <c r="AZ88" s="264"/>
      <c r="BA88" s="264"/>
      <c r="BB88" s="256">
        <v>350</v>
      </c>
      <c r="BC88" s="256">
        <v>172</v>
      </c>
      <c r="BD88" s="256">
        <f t="shared" si="1"/>
        <v>522</v>
      </c>
    </row>
    <row r="89" spans="1:57" ht="45" customHeight="1">
      <c r="A89" s="248">
        <v>82</v>
      </c>
      <c r="B89" s="248" t="s">
        <v>331</v>
      </c>
      <c r="C89" s="248" t="s">
        <v>332</v>
      </c>
      <c r="D89" s="248" t="s">
        <v>182</v>
      </c>
      <c r="E89" s="248" t="s">
        <v>146</v>
      </c>
      <c r="F89" s="248" t="s">
        <v>361</v>
      </c>
      <c r="G89" s="248" t="s">
        <v>500</v>
      </c>
      <c r="H89" s="255">
        <v>101222359818</v>
      </c>
      <c r="I89" s="248">
        <v>4301489424</v>
      </c>
      <c r="J89" s="249">
        <v>350</v>
      </c>
      <c r="K89" s="249">
        <v>176</v>
      </c>
      <c r="L89" s="249">
        <v>526</v>
      </c>
      <c r="M89" s="249">
        <v>13</v>
      </c>
      <c r="N89" s="249">
        <v>13</v>
      </c>
      <c r="O89" s="249">
        <v>0</v>
      </c>
      <c r="P89" s="249">
        <v>0</v>
      </c>
      <c r="Q89" s="249">
        <v>0</v>
      </c>
      <c r="R89" s="249">
        <v>26</v>
      </c>
      <c r="S89" s="249">
        <v>0</v>
      </c>
      <c r="T89" s="249">
        <v>9100</v>
      </c>
      <c r="U89" s="249">
        <v>4576</v>
      </c>
      <c r="V89" s="249">
        <v>0</v>
      </c>
      <c r="W89" s="249">
        <v>13676</v>
      </c>
      <c r="X89" s="249">
        <v>0</v>
      </c>
      <c r="Y89" s="249">
        <v>0</v>
      </c>
      <c r="Z89" s="249">
        <v>0</v>
      </c>
      <c r="AA89" s="249">
        <v>662</v>
      </c>
      <c r="AB89" s="249">
        <v>1139</v>
      </c>
      <c r="AC89" s="249">
        <v>1040</v>
      </c>
      <c r="AD89" s="249">
        <v>4558</v>
      </c>
      <c r="AE89" s="249">
        <v>2188</v>
      </c>
      <c r="AF89" s="249">
        <v>0</v>
      </c>
      <c r="AG89" s="249">
        <v>520</v>
      </c>
      <c r="AH89" s="249">
        <v>23783</v>
      </c>
      <c r="AI89" s="249">
        <v>0</v>
      </c>
      <c r="AJ89" s="249">
        <v>1641</v>
      </c>
      <c r="AK89" s="249">
        <v>161</v>
      </c>
      <c r="AL89" s="249">
        <v>0</v>
      </c>
      <c r="AM89" s="249">
        <v>21981</v>
      </c>
      <c r="AN89" s="259">
        <v>1778</v>
      </c>
      <c r="AO89" s="259">
        <v>698</v>
      </c>
      <c r="AP89" s="257"/>
      <c r="AQ89" s="258"/>
      <c r="AR89" s="258" t="s">
        <v>502</v>
      </c>
      <c r="AS89" s="259" t="s">
        <v>332</v>
      </c>
      <c r="AT89" s="260">
        <v>14</v>
      </c>
      <c r="AU89" s="260">
        <v>11</v>
      </c>
      <c r="AV89" s="260">
        <v>0</v>
      </c>
      <c r="AW89" s="260">
        <v>0</v>
      </c>
      <c r="AX89" s="260">
        <v>15</v>
      </c>
      <c r="AY89" s="260">
        <v>0</v>
      </c>
      <c r="AZ89" s="264"/>
      <c r="BA89" s="264"/>
      <c r="BB89" s="256">
        <v>410</v>
      </c>
      <c r="BC89" s="256">
        <v>200</v>
      </c>
      <c r="BD89" s="256">
        <f t="shared" si="1"/>
        <v>610</v>
      </c>
      <c r="BE89" t="s">
        <v>502</v>
      </c>
    </row>
    <row r="90" spans="1:56" ht="45" customHeight="1">
      <c r="A90" s="248">
        <v>83</v>
      </c>
      <c r="B90" s="248" t="s">
        <v>333</v>
      </c>
      <c r="C90" s="248" t="s">
        <v>334</v>
      </c>
      <c r="D90" s="248" t="s">
        <v>182</v>
      </c>
      <c r="E90" s="248" t="s">
        <v>358</v>
      </c>
      <c r="F90" s="248" t="s">
        <v>362</v>
      </c>
      <c r="G90" s="248" t="s">
        <v>500</v>
      </c>
      <c r="H90" s="255">
        <v>101222359530</v>
      </c>
      <c r="I90" s="248">
        <v>4301489519</v>
      </c>
      <c r="J90" s="249">
        <v>410</v>
      </c>
      <c r="K90" s="249">
        <v>204</v>
      </c>
      <c r="L90" s="249">
        <v>614</v>
      </c>
      <c r="M90" s="249">
        <v>0</v>
      </c>
      <c r="N90" s="249">
        <v>0</v>
      </c>
      <c r="O90" s="249">
        <v>0</v>
      </c>
      <c r="P90" s="249">
        <v>25</v>
      </c>
      <c r="Q90" s="249">
        <v>0</v>
      </c>
      <c r="R90" s="249">
        <v>25</v>
      </c>
      <c r="S90" s="249">
        <v>4</v>
      </c>
      <c r="T90" s="249">
        <v>10250</v>
      </c>
      <c r="U90" s="249">
        <v>5100</v>
      </c>
      <c r="V90" s="249">
        <v>1</v>
      </c>
      <c r="W90" s="249">
        <v>15350</v>
      </c>
      <c r="X90" s="249">
        <v>614</v>
      </c>
      <c r="Y90" s="249">
        <v>0</v>
      </c>
      <c r="Z90" s="249">
        <v>0</v>
      </c>
      <c r="AA90" s="249">
        <v>768</v>
      </c>
      <c r="AB90" s="249">
        <v>1279</v>
      </c>
      <c r="AC90" s="249">
        <v>0</v>
      </c>
      <c r="AD90" s="249">
        <v>5116</v>
      </c>
      <c r="AE90" s="249">
        <v>2456</v>
      </c>
      <c r="AF90" s="249">
        <v>614</v>
      </c>
      <c r="AG90" s="249">
        <v>500</v>
      </c>
      <c r="AH90" s="249">
        <v>26697</v>
      </c>
      <c r="AI90" s="249">
        <v>0</v>
      </c>
      <c r="AJ90" s="249">
        <v>1800</v>
      </c>
      <c r="AK90" s="249">
        <v>0</v>
      </c>
      <c r="AL90" s="249">
        <v>0</v>
      </c>
      <c r="AM90" s="249">
        <v>24897</v>
      </c>
      <c r="AN90" s="259">
        <v>1950</v>
      </c>
      <c r="AO90" s="259">
        <v>0</v>
      </c>
      <c r="AP90" s="257"/>
      <c r="AQ90" s="258"/>
      <c r="AR90" s="258" t="s">
        <v>501</v>
      </c>
      <c r="AS90" s="259" t="s">
        <v>334</v>
      </c>
      <c r="AT90" s="260">
        <v>0</v>
      </c>
      <c r="AU90" s="260">
        <v>0</v>
      </c>
      <c r="AV90" s="260">
        <v>0</v>
      </c>
      <c r="AW90" s="260">
        <v>26</v>
      </c>
      <c r="AX90" s="260">
        <v>31</v>
      </c>
      <c r="AY90" s="260">
        <v>0</v>
      </c>
      <c r="AZ90" s="264"/>
      <c r="BA90" s="264"/>
      <c r="BB90" s="256">
        <v>494</v>
      </c>
      <c r="BC90" s="256">
        <v>240</v>
      </c>
      <c r="BD90" s="256">
        <f t="shared" si="1"/>
        <v>734</v>
      </c>
    </row>
    <row r="91" spans="1:56" ht="45" customHeight="1">
      <c r="A91" s="248">
        <v>84</v>
      </c>
      <c r="B91" s="248" t="s">
        <v>335</v>
      </c>
      <c r="C91" s="248" t="s">
        <v>430</v>
      </c>
      <c r="D91" s="248" t="s">
        <v>196</v>
      </c>
      <c r="E91" s="248" t="s">
        <v>144</v>
      </c>
      <c r="F91" s="248" t="s">
        <v>363</v>
      </c>
      <c r="G91" s="248" t="s">
        <v>500</v>
      </c>
      <c r="H91" s="255">
        <v>101222359962</v>
      </c>
      <c r="I91" s="248">
        <v>4301489341</v>
      </c>
      <c r="J91" s="249">
        <v>494</v>
      </c>
      <c r="K91" s="249">
        <v>245</v>
      </c>
      <c r="L91" s="249">
        <v>739</v>
      </c>
      <c r="M91" s="249">
        <v>4</v>
      </c>
      <c r="N91" s="249">
        <v>4</v>
      </c>
      <c r="O91" s="249">
        <v>6</v>
      </c>
      <c r="P91" s="249">
        <v>13</v>
      </c>
      <c r="Q91" s="249">
        <v>0</v>
      </c>
      <c r="R91" s="249">
        <v>27</v>
      </c>
      <c r="S91" s="249">
        <v>8</v>
      </c>
      <c r="T91" s="249">
        <v>13338</v>
      </c>
      <c r="U91" s="249">
        <v>6615</v>
      </c>
      <c r="V91" s="249">
        <v>0</v>
      </c>
      <c r="W91" s="249">
        <v>19953</v>
      </c>
      <c r="X91" s="249">
        <v>1478</v>
      </c>
      <c r="Y91" s="249">
        <v>0</v>
      </c>
      <c r="Z91" s="249">
        <v>0</v>
      </c>
      <c r="AA91" s="249">
        <v>930</v>
      </c>
      <c r="AB91" s="249">
        <v>1662</v>
      </c>
      <c r="AC91" s="249">
        <v>620</v>
      </c>
      <c r="AD91" s="249">
        <v>6650</v>
      </c>
      <c r="AE91" s="249">
        <v>3192</v>
      </c>
      <c r="AF91" s="249">
        <v>0</v>
      </c>
      <c r="AG91" s="249">
        <v>540</v>
      </c>
      <c r="AH91" s="249">
        <v>35025</v>
      </c>
      <c r="AI91" s="249">
        <v>0</v>
      </c>
      <c r="AJ91" s="249">
        <v>1800</v>
      </c>
      <c r="AK91" s="249">
        <v>0</v>
      </c>
      <c r="AL91" s="249">
        <v>0</v>
      </c>
      <c r="AM91" s="249">
        <v>33225</v>
      </c>
      <c r="AN91" s="259">
        <v>1950</v>
      </c>
      <c r="AO91" s="259">
        <v>0</v>
      </c>
      <c r="AP91" s="257"/>
      <c r="AQ91" s="258"/>
      <c r="AR91" s="258" t="s">
        <v>501</v>
      </c>
      <c r="AS91" s="259" t="s">
        <v>430</v>
      </c>
      <c r="AT91" s="260">
        <v>4</v>
      </c>
      <c r="AU91" s="260">
        <v>4</v>
      </c>
      <c r="AV91" s="260">
        <v>4</v>
      </c>
      <c r="AW91" s="260">
        <v>12</v>
      </c>
      <c r="AX91" s="260">
        <v>0</v>
      </c>
      <c r="AY91" s="260">
        <v>1</v>
      </c>
      <c r="AZ91" s="264"/>
      <c r="BA91" s="264"/>
      <c r="BB91" s="256">
        <v>350</v>
      </c>
      <c r="BC91" s="256">
        <v>172</v>
      </c>
      <c r="BD91" s="256">
        <f t="shared" si="1"/>
        <v>522</v>
      </c>
    </row>
    <row r="92" spans="1:56" ht="45" customHeight="1">
      <c r="A92" s="248">
        <v>85</v>
      </c>
      <c r="B92" s="248" t="s">
        <v>336</v>
      </c>
      <c r="C92" s="248" t="s">
        <v>337</v>
      </c>
      <c r="D92" s="248" t="s">
        <v>196</v>
      </c>
      <c r="E92" s="248" t="s">
        <v>357</v>
      </c>
      <c r="F92" s="248" t="s">
        <v>143</v>
      </c>
      <c r="G92" s="248" t="s">
        <v>500</v>
      </c>
      <c r="H92" s="255">
        <v>101222359904</v>
      </c>
      <c r="I92" s="248">
        <v>4301489364</v>
      </c>
      <c r="J92" s="249">
        <v>579</v>
      </c>
      <c r="K92" s="249">
        <v>289</v>
      </c>
      <c r="L92" s="249">
        <v>868</v>
      </c>
      <c r="M92" s="249">
        <v>0</v>
      </c>
      <c r="N92" s="249">
        <v>0</v>
      </c>
      <c r="O92" s="249">
        <v>0</v>
      </c>
      <c r="P92" s="249">
        <v>25</v>
      </c>
      <c r="Q92" s="249">
        <v>0</v>
      </c>
      <c r="R92" s="249">
        <v>25</v>
      </c>
      <c r="S92" s="249">
        <v>4</v>
      </c>
      <c r="T92" s="249">
        <v>14475</v>
      </c>
      <c r="U92" s="249">
        <v>7225</v>
      </c>
      <c r="V92" s="249">
        <v>1</v>
      </c>
      <c r="W92" s="249">
        <v>21700</v>
      </c>
      <c r="X92" s="249">
        <v>868</v>
      </c>
      <c r="Y92" s="249">
        <v>0</v>
      </c>
      <c r="Z92" s="249">
        <v>0</v>
      </c>
      <c r="AA92" s="249">
        <v>1085</v>
      </c>
      <c r="AB92" s="249">
        <v>1808</v>
      </c>
      <c r="AC92" s="249">
        <v>0</v>
      </c>
      <c r="AD92" s="249">
        <v>7233</v>
      </c>
      <c r="AE92" s="249">
        <v>3472</v>
      </c>
      <c r="AF92" s="249">
        <v>868</v>
      </c>
      <c r="AG92" s="249">
        <v>500</v>
      </c>
      <c r="AH92" s="249">
        <v>37534</v>
      </c>
      <c r="AI92" s="249">
        <v>0</v>
      </c>
      <c r="AJ92" s="249">
        <v>1800</v>
      </c>
      <c r="AK92" s="249">
        <v>0</v>
      </c>
      <c r="AL92" s="249">
        <v>0</v>
      </c>
      <c r="AM92" s="249">
        <v>35734</v>
      </c>
      <c r="AN92" s="259">
        <v>1950</v>
      </c>
      <c r="AO92" s="259">
        <v>0</v>
      </c>
      <c r="AP92" s="257"/>
      <c r="AQ92" s="258"/>
      <c r="AR92" s="258" t="s">
        <v>501</v>
      </c>
      <c r="AS92" s="259" t="s">
        <v>337</v>
      </c>
      <c r="AT92" s="260">
        <v>2</v>
      </c>
      <c r="AU92" s="260">
        <v>0</v>
      </c>
      <c r="AV92" s="260">
        <v>0</v>
      </c>
      <c r="AW92" s="260">
        <v>24</v>
      </c>
      <c r="AX92" s="260">
        <v>8</v>
      </c>
      <c r="AY92" s="260">
        <v>0</v>
      </c>
      <c r="AZ92" s="264"/>
      <c r="BA92" s="264"/>
      <c r="BB92" s="256">
        <v>579</v>
      </c>
      <c r="BC92" s="256">
        <v>283</v>
      </c>
      <c r="BD92" s="256">
        <f t="shared" si="1"/>
        <v>862</v>
      </c>
    </row>
    <row r="93" spans="1:56" ht="45" customHeight="1">
      <c r="A93" s="248">
        <v>86</v>
      </c>
      <c r="B93" s="248" t="s">
        <v>338</v>
      </c>
      <c r="C93" s="248" t="s">
        <v>339</v>
      </c>
      <c r="D93" s="248" t="s">
        <v>182</v>
      </c>
      <c r="E93" s="248" t="s">
        <v>145</v>
      </c>
      <c r="F93" s="248" t="s">
        <v>362</v>
      </c>
      <c r="G93" s="248" t="s">
        <v>500</v>
      </c>
      <c r="H93" s="255">
        <v>101222359507</v>
      </c>
      <c r="I93" s="248">
        <v>4301489522</v>
      </c>
      <c r="J93" s="249">
        <v>410</v>
      </c>
      <c r="K93" s="249">
        <v>204</v>
      </c>
      <c r="L93" s="249">
        <v>614</v>
      </c>
      <c r="M93" s="249">
        <v>0</v>
      </c>
      <c r="N93" s="249">
        <v>0</v>
      </c>
      <c r="O93" s="249">
        <v>0</v>
      </c>
      <c r="P93" s="249">
        <v>11</v>
      </c>
      <c r="Q93" s="249">
        <v>0</v>
      </c>
      <c r="R93" s="249">
        <v>11</v>
      </c>
      <c r="S93" s="249">
        <v>0</v>
      </c>
      <c r="T93" s="249">
        <v>4510</v>
      </c>
      <c r="U93" s="249">
        <v>2244</v>
      </c>
      <c r="V93" s="249">
        <v>0</v>
      </c>
      <c r="W93" s="249">
        <v>6754</v>
      </c>
      <c r="X93" s="249">
        <v>0</v>
      </c>
      <c r="Y93" s="249">
        <v>0</v>
      </c>
      <c r="Z93" s="249">
        <v>0</v>
      </c>
      <c r="AA93" s="249">
        <v>0</v>
      </c>
      <c r="AB93" s="249">
        <v>563</v>
      </c>
      <c r="AC93" s="249">
        <v>0</v>
      </c>
      <c r="AD93" s="249">
        <v>2251</v>
      </c>
      <c r="AE93" s="249">
        <v>1081</v>
      </c>
      <c r="AF93" s="249">
        <v>0</v>
      </c>
      <c r="AG93" s="249">
        <v>220</v>
      </c>
      <c r="AH93" s="249">
        <v>10869</v>
      </c>
      <c r="AI93" s="249">
        <v>0</v>
      </c>
      <c r="AJ93" s="249">
        <v>810</v>
      </c>
      <c r="AK93" s="249">
        <v>0</v>
      </c>
      <c r="AL93" s="249">
        <v>0</v>
      </c>
      <c r="AM93" s="249">
        <v>10059</v>
      </c>
      <c r="AN93" s="259">
        <v>878</v>
      </c>
      <c r="AO93" s="259">
        <v>0</v>
      </c>
      <c r="AP93" s="257"/>
      <c r="AQ93" s="258"/>
      <c r="AR93" s="258" t="s">
        <v>501</v>
      </c>
      <c r="AS93" s="259" t="s">
        <v>339</v>
      </c>
      <c r="AT93" s="260">
        <v>0</v>
      </c>
      <c r="AU93" s="260">
        <v>0</v>
      </c>
      <c r="AV93" s="260">
        <v>0</v>
      </c>
      <c r="AW93" s="260">
        <v>19</v>
      </c>
      <c r="AX93" s="260">
        <v>2</v>
      </c>
      <c r="AY93" s="260">
        <v>3</v>
      </c>
      <c r="AZ93" s="264"/>
      <c r="BA93" s="264"/>
      <c r="BB93" s="256">
        <v>410</v>
      </c>
      <c r="BC93" s="256">
        <v>200</v>
      </c>
      <c r="BD93" s="256">
        <f t="shared" si="1"/>
        <v>610</v>
      </c>
    </row>
    <row r="94" spans="1:56" ht="45" customHeight="1">
      <c r="A94" s="248">
        <v>87</v>
      </c>
      <c r="B94" s="248" t="s">
        <v>340</v>
      </c>
      <c r="C94" s="248" t="s">
        <v>341</v>
      </c>
      <c r="D94" s="248" t="s">
        <v>182</v>
      </c>
      <c r="E94" s="248" t="s">
        <v>145</v>
      </c>
      <c r="F94" s="248" t="s">
        <v>362</v>
      </c>
      <c r="G94" s="248" t="s">
        <v>500</v>
      </c>
      <c r="H94" s="255">
        <v>101222359569</v>
      </c>
      <c r="I94" s="248">
        <v>4301489516</v>
      </c>
      <c r="J94" s="249">
        <v>410</v>
      </c>
      <c r="K94" s="249">
        <v>204</v>
      </c>
      <c r="L94" s="249">
        <v>614</v>
      </c>
      <c r="M94" s="249">
        <v>10</v>
      </c>
      <c r="N94" s="249">
        <v>6</v>
      </c>
      <c r="O94" s="249">
        <v>10</v>
      </c>
      <c r="P94" s="249">
        <v>0</v>
      </c>
      <c r="Q94" s="249">
        <v>0</v>
      </c>
      <c r="R94" s="249">
        <v>26</v>
      </c>
      <c r="S94" s="249">
        <v>0</v>
      </c>
      <c r="T94" s="249">
        <v>10660</v>
      </c>
      <c r="U94" s="249">
        <v>5304</v>
      </c>
      <c r="V94" s="249">
        <v>0</v>
      </c>
      <c r="W94" s="249">
        <v>15964</v>
      </c>
      <c r="X94" s="249">
        <v>0</v>
      </c>
      <c r="Y94" s="249">
        <v>0</v>
      </c>
      <c r="Z94" s="249">
        <v>0</v>
      </c>
      <c r="AA94" s="249">
        <v>772</v>
      </c>
      <c r="AB94" s="249">
        <v>1330</v>
      </c>
      <c r="AC94" s="249">
        <v>1140</v>
      </c>
      <c r="AD94" s="249">
        <v>5321</v>
      </c>
      <c r="AE94" s="249">
        <v>2554</v>
      </c>
      <c r="AF94" s="249">
        <v>0</v>
      </c>
      <c r="AG94" s="249">
        <v>520</v>
      </c>
      <c r="AH94" s="249">
        <v>27601</v>
      </c>
      <c r="AI94" s="249">
        <v>0</v>
      </c>
      <c r="AJ94" s="249">
        <v>1800</v>
      </c>
      <c r="AK94" s="249">
        <v>0</v>
      </c>
      <c r="AL94" s="249">
        <v>0</v>
      </c>
      <c r="AM94" s="249">
        <v>25801</v>
      </c>
      <c r="AN94" s="259">
        <v>1950</v>
      </c>
      <c r="AO94" s="259">
        <v>0</v>
      </c>
      <c r="AP94" s="257"/>
      <c r="AQ94" s="258"/>
      <c r="AR94" s="258" t="s">
        <v>501</v>
      </c>
      <c r="AS94" s="259" t="s">
        <v>341</v>
      </c>
      <c r="AT94" s="260">
        <v>9</v>
      </c>
      <c r="AU94" s="260">
        <v>7</v>
      </c>
      <c r="AV94" s="260">
        <v>9</v>
      </c>
      <c r="AW94" s="260">
        <v>0</v>
      </c>
      <c r="AX94" s="260">
        <v>8</v>
      </c>
      <c r="AY94" s="260">
        <v>1</v>
      </c>
      <c r="AZ94" s="264"/>
      <c r="BA94" s="264"/>
      <c r="BB94" s="256">
        <v>410</v>
      </c>
      <c r="BC94" s="256">
        <v>200</v>
      </c>
      <c r="BD94" s="256">
        <f t="shared" si="1"/>
        <v>610</v>
      </c>
    </row>
    <row r="95" spans="1:56" ht="45" customHeight="1">
      <c r="A95" s="248">
        <v>88</v>
      </c>
      <c r="B95" s="248" t="s">
        <v>342</v>
      </c>
      <c r="C95" s="248" t="s">
        <v>343</v>
      </c>
      <c r="D95" s="248" t="s">
        <v>182</v>
      </c>
      <c r="E95" s="248" t="s">
        <v>144</v>
      </c>
      <c r="F95" s="248" t="s">
        <v>363</v>
      </c>
      <c r="G95" s="248" t="s">
        <v>500</v>
      </c>
      <c r="H95" s="255">
        <v>101222359763</v>
      </c>
      <c r="I95" s="248">
        <v>4301489482</v>
      </c>
      <c r="J95" s="249">
        <v>494</v>
      </c>
      <c r="K95" s="249">
        <v>245</v>
      </c>
      <c r="L95" s="249">
        <v>739</v>
      </c>
      <c r="M95" s="249">
        <v>0</v>
      </c>
      <c r="N95" s="249">
        <v>0</v>
      </c>
      <c r="O95" s="249">
        <v>0</v>
      </c>
      <c r="P95" s="249">
        <v>22</v>
      </c>
      <c r="Q95" s="249">
        <v>0</v>
      </c>
      <c r="R95" s="249">
        <v>22</v>
      </c>
      <c r="S95" s="249">
        <v>2</v>
      </c>
      <c r="T95" s="249">
        <v>10868</v>
      </c>
      <c r="U95" s="249">
        <v>5390</v>
      </c>
      <c r="V95" s="249">
        <v>2</v>
      </c>
      <c r="W95" s="249">
        <v>16258</v>
      </c>
      <c r="X95" s="249">
        <v>370</v>
      </c>
      <c r="Y95" s="249">
        <v>0</v>
      </c>
      <c r="Z95" s="249">
        <v>0</v>
      </c>
      <c r="AA95" s="249">
        <v>813</v>
      </c>
      <c r="AB95" s="249">
        <v>1354</v>
      </c>
      <c r="AC95" s="249">
        <v>0</v>
      </c>
      <c r="AD95" s="249">
        <v>5419</v>
      </c>
      <c r="AE95" s="249">
        <v>2601</v>
      </c>
      <c r="AF95" s="249">
        <v>1478</v>
      </c>
      <c r="AG95" s="249">
        <v>440</v>
      </c>
      <c r="AH95" s="249">
        <v>28733</v>
      </c>
      <c r="AI95" s="249">
        <v>0</v>
      </c>
      <c r="AJ95" s="249">
        <v>1800</v>
      </c>
      <c r="AK95" s="249">
        <v>0</v>
      </c>
      <c r="AL95" s="249">
        <v>0</v>
      </c>
      <c r="AM95" s="249">
        <v>26933</v>
      </c>
      <c r="AN95" s="259">
        <v>1950</v>
      </c>
      <c r="AO95" s="259">
        <v>0</v>
      </c>
      <c r="AP95" s="257"/>
      <c r="AQ95" s="258"/>
      <c r="AR95" s="258" t="s">
        <v>501</v>
      </c>
      <c r="AS95" s="259" t="s">
        <v>343</v>
      </c>
      <c r="AT95" s="260">
        <v>0</v>
      </c>
      <c r="AU95" s="260">
        <v>0</v>
      </c>
      <c r="AV95" s="260">
        <v>0</v>
      </c>
      <c r="AW95" s="260">
        <v>25</v>
      </c>
      <c r="AX95" s="260">
        <v>0</v>
      </c>
      <c r="AY95" s="260">
        <v>0</v>
      </c>
      <c r="AZ95" s="264"/>
      <c r="BA95" s="264"/>
      <c r="BB95" s="256">
        <v>494</v>
      </c>
      <c r="BC95" s="256">
        <v>240</v>
      </c>
      <c r="BD95" s="256">
        <f t="shared" si="1"/>
        <v>734</v>
      </c>
    </row>
    <row r="96" spans="1:56" ht="45" customHeight="1">
      <c r="A96" s="248">
        <v>89</v>
      </c>
      <c r="B96" s="248" t="s">
        <v>344</v>
      </c>
      <c r="C96" s="248" t="s">
        <v>345</v>
      </c>
      <c r="D96" s="248" t="s">
        <v>182</v>
      </c>
      <c r="E96" s="248" t="s">
        <v>146</v>
      </c>
      <c r="F96" s="248" t="s">
        <v>361</v>
      </c>
      <c r="G96" s="248" t="s">
        <v>500</v>
      </c>
      <c r="H96" s="255">
        <v>101222359433</v>
      </c>
      <c r="I96" s="248">
        <v>4301489760</v>
      </c>
      <c r="J96" s="249">
        <v>350</v>
      </c>
      <c r="K96" s="249">
        <v>176</v>
      </c>
      <c r="L96" s="249">
        <v>526</v>
      </c>
      <c r="M96" s="249">
        <v>10</v>
      </c>
      <c r="N96" s="249">
        <v>8</v>
      </c>
      <c r="O96" s="249">
        <v>8</v>
      </c>
      <c r="P96" s="249">
        <v>0</v>
      </c>
      <c r="Q96" s="249">
        <v>0</v>
      </c>
      <c r="R96" s="249">
        <v>26</v>
      </c>
      <c r="S96" s="249">
        <v>8</v>
      </c>
      <c r="T96" s="249">
        <v>9100</v>
      </c>
      <c r="U96" s="249">
        <v>4576</v>
      </c>
      <c r="V96" s="249">
        <v>0</v>
      </c>
      <c r="W96" s="249">
        <v>13676</v>
      </c>
      <c r="X96" s="249">
        <v>1052</v>
      </c>
      <c r="Y96" s="249">
        <v>0</v>
      </c>
      <c r="Z96" s="249">
        <v>0</v>
      </c>
      <c r="AA96" s="249">
        <v>662</v>
      </c>
      <c r="AB96" s="249">
        <v>1139</v>
      </c>
      <c r="AC96" s="249">
        <v>1120</v>
      </c>
      <c r="AD96" s="249">
        <v>4558</v>
      </c>
      <c r="AE96" s="249">
        <v>2188</v>
      </c>
      <c r="AF96" s="249">
        <v>0</v>
      </c>
      <c r="AG96" s="249">
        <v>520</v>
      </c>
      <c r="AH96" s="249">
        <v>24915</v>
      </c>
      <c r="AI96" s="249">
        <v>0</v>
      </c>
      <c r="AJ96" s="249">
        <v>1641</v>
      </c>
      <c r="AK96" s="249">
        <v>170</v>
      </c>
      <c r="AL96" s="249">
        <v>0</v>
      </c>
      <c r="AM96" s="249">
        <v>23104</v>
      </c>
      <c r="AN96" s="259">
        <v>1778</v>
      </c>
      <c r="AO96" s="259">
        <v>735</v>
      </c>
      <c r="AP96" s="257"/>
      <c r="AQ96" s="258"/>
      <c r="AR96" s="258" t="s">
        <v>501</v>
      </c>
      <c r="AS96" s="259" t="s">
        <v>345</v>
      </c>
      <c r="AT96" s="260">
        <v>10</v>
      </c>
      <c r="AU96" s="260">
        <v>8</v>
      </c>
      <c r="AV96" s="260">
        <v>8</v>
      </c>
      <c r="AW96" s="260">
        <v>0</v>
      </c>
      <c r="AX96" s="260">
        <v>20</v>
      </c>
      <c r="AY96" s="260">
        <v>0</v>
      </c>
      <c r="AZ96" s="264"/>
      <c r="BA96" s="264"/>
      <c r="BB96" s="256">
        <v>350</v>
      </c>
      <c r="BC96" s="256">
        <v>172</v>
      </c>
      <c r="BD96" s="256">
        <f t="shared" si="1"/>
        <v>522</v>
      </c>
    </row>
    <row r="97" spans="1:56" ht="45" customHeight="1">
      <c r="A97" s="248">
        <v>90</v>
      </c>
      <c r="B97" s="248" t="s">
        <v>346</v>
      </c>
      <c r="C97" s="248" t="s">
        <v>347</v>
      </c>
      <c r="D97" s="248" t="s">
        <v>196</v>
      </c>
      <c r="E97" s="248" t="s">
        <v>146</v>
      </c>
      <c r="F97" s="248" t="s">
        <v>361</v>
      </c>
      <c r="G97" s="248" t="s">
        <v>500</v>
      </c>
      <c r="H97" s="255">
        <v>101222360163</v>
      </c>
      <c r="I97" s="248">
        <v>4301489272</v>
      </c>
      <c r="J97" s="249">
        <v>350</v>
      </c>
      <c r="K97" s="249">
        <v>176</v>
      </c>
      <c r="L97" s="249">
        <v>526</v>
      </c>
      <c r="M97" s="249">
        <v>9</v>
      </c>
      <c r="N97" s="249">
        <v>8</v>
      </c>
      <c r="O97" s="249">
        <v>10</v>
      </c>
      <c r="P97" s="249">
        <v>0</v>
      </c>
      <c r="Q97" s="249">
        <v>0</v>
      </c>
      <c r="R97" s="249">
        <v>27</v>
      </c>
      <c r="S97" s="249">
        <v>0</v>
      </c>
      <c r="T97" s="249">
        <v>9450</v>
      </c>
      <c r="U97" s="249">
        <v>4752</v>
      </c>
      <c r="V97" s="249">
        <v>0</v>
      </c>
      <c r="W97" s="249">
        <v>14202</v>
      </c>
      <c r="X97" s="249">
        <v>0</v>
      </c>
      <c r="Y97" s="249">
        <v>0</v>
      </c>
      <c r="Z97" s="249">
        <v>0</v>
      </c>
      <c r="AA97" s="249">
        <v>662</v>
      </c>
      <c r="AB97" s="249">
        <v>1183</v>
      </c>
      <c r="AC97" s="249">
        <v>1180</v>
      </c>
      <c r="AD97" s="249">
        <v>4734</v>
      </c>
      <c r="AE97" s="249">
        <v>2272</v>
      </c>
      <c r="AF97" s="249">
        <v>0</v>
      </c>
      <c r="AG97" s="249">
        <v>540</v>
      </c>
      <c r="AH97" s="249">
        <v>24773</v>
      </c>
      <c r="AI97" s="249">
        <v>0</v>
      </c>
      <c r="AJ97" s="249">
        <v>1704</v>
      </c>
      <c r="AK97" s="249">
        <v>168</v>
      </c>
      <c r="AL97" s="249">
        <v>0</v>
      </c>
      <c r="AM97" s="249">
        <v>22901</v>
      </c>
      <c r="AN97" s="259">
        <v>1846</v>
      </c>
      <c r="AO97" s="259">
        <v>728</v>
      </c>
      <c r="AP97" s="257"/>
      <c r="AQ97" s="258"/>
      <c r="AR97" s="258" t="s">
        <v>501</v>
      </c>
      <c r="AS97" s="259" t="s">
        <v>347</v>
      </c>
      <c r="AT97" s="260">
        <v>7</v>
      </c>
      <c r="AU97" s="260">
        <v>6</v>
      </c>
      <c r="AV97" s="260">
        <v>10</v>
      </c>
      <c r="AW97" s="260">
        <v>0</v>
      </c>
      <c r="AX97" s="260">
        <v>0</v>
      </c>
      <c r="AY97" s="260">
        <v>0</v>
      </c>
      <c r="AZ97" s="264"/>
      <c r="BA97" s="264"/>
      <c r="BB97" s="256">
        <v>350</v>
      </c>
      <c r="BC97" s="256">
        <v>172</v>
      </c>
      <c r="BD97" s="256">
        <f t="shared" si="1"/>
        <v>522</v>
      </c>
    </row>
    <row r="98" spans="1:56" ht="45" customHeight="1">
      <c r="A98" s="248">
        <v>91</v>
      </c>
      <c r="B98" s="248" t="s">
        <v>348</v>
      </c>
      <c r="C98" s="248" t="s">
        <v>349</v>
      </c>
      <c r="D98" s="248" t="s">
        <v>196</v>
      </c>
      <c r="E98" s="248" t="s">
        <v>146</v>
      </c>
      <c r="F98" s="248" t="s">
        <v>361</v>
      </c>
      <c r="G98" s="248" t="s">
        <v>500</v>
      </c>
      <c r="H98" s="255">
        <v>101222360100</v>
      </c>
      <c r="I98" s="248">
        <v>4301489293</v>
      </c>
      <c r="J98" s="249">
        <v>350</v>
      </c>
      <c r="K98" s="249">
        <v>176</v>
      </c>
      <c r="L98" s="249">
        <v>526</v>
      </c>
      <c r="M98" s="249">
        <v>0</v>
      </c>
      <c r="N98" s="249">
        <v>12</v>
      </c>
      <c r="O98" s="249">
        <v>0</v>
      </c>
      <c r="P98" s="249">
        <v>13</v>
      </c>
      <c r="Q98" s="249">
        <v>0</v>
      </c>
      <c r="R98" s="249">
        <v>25</v>
      </c>
      <c r="S98" s="249">
        <v>0</v>
      </c>
      <c r="T98" s="249">
        <v>8750</v>
      </c>
      <c r="U98" s="249">
        <v>4400</v>
      </c>
      <c r="V98" s="249">
        <v>0</v>
      </c>
      <c r="W98" s="249">
        <v>13150</v>
      </c>
      <c r="X98" s="249">
        <v>0</v>
      </c>
      <c r="Y98" s="249">
        <v>0</v>
      </c>
      <c r="Z98" s="249">
        <v>0</v>
      </c>
      <c r="AA98" s="249">
        <v>658</v>
      </c>
      <c r="AB98" s="249">
        <v>1095</v>
      </c>
      <c r="AC98" s="249">
        <v>480</v>
      </c>
      <c r="AD98" s="249">
        <v>4383</v>
      </c>
      <c r="AE98" s="249">
        <v>2104</v>
      </c>
      <c r="AF98" s="249">
        <v>0</v>
      </c>
      <c r="AG98" s="249">
        <v>500</v>
      </c>
      <c r="AH98" s="249">
        <v>22370</v>
      </c>
      <c r="AI98" s="249">
        <v>0</v>
      </c>
      <c r="AJ98" s="249">
        <v>1578</v>
      </c>
      <c r="AK98" s="249">
        <v>151</v>
      </c>
      <c r="AL98" s="249">
        <v>0</v>
      </c>
      <c r="AM98" s="249">
        <v>20641</v>
      </c>
      <c r="AN98" s="259">
        <v>1710</v>
      </c>
      <c r="AO98" s="259">
        <v>654</v>
      </c>
      <c r="AP98" s="257"/>
      <c r="AQ98" s="258"/>
      <c r="AR98" s="258" t="s">
        <v>501</v>
      </c>
      <c r="AS98" s="259" t="s">
        <v>349</v>
      </c>
      <c r="AT98" s="260">
        <v>0</v>
      </c>
      <c r="AU98" s="260">
        <v>13</v>
      </c>
      <c r="AV98" s="260">
        <v>0</v>
      </c>
      <c r="AW98" s="260">
        <v>12</v>
      </c>
      <c r="AX98" s="260">
        <v>0</v>
      </c>
      <c r="AY98" s="260">
        <v>0</v>
      </c>
      <c r="AZ98" s="264"/>
      <c r="BA98" s="264"/>
      <c r="BB98" s="256">
        <v>350</v>
      </c>
      <c r="BC98" s="256">
        <v>172</v>
      </c>
      <c r="BD98" s="256">
        <f t="shared" si="1"/>
        <v>522</v>
      </c>
    </row>
    <row r="99" spans="1:56" ht="45" customHeight="1">
      <c r="A99" s="248">
        <v>92</v>
      </c>
      <c r="B99" s="248" t="s">
        <v>350</v>
      </c>
      <c r="C99" s="248" t="s">
        <v>351</v>
      </c>
      <c r="D99" s="248" t="s">
        <v>182</v>
      </c>
      <c r="E99" s="248" t="s">
        <v>359</v>
      </c>
      <c r="F99" s="248" t="s">
        <v>362</v>
      </c>
      <c r="G99" s="248" t="s">
        <v>500</v>
      </c>
      <c r="H99" s="255">
        <v>101222359548</v>
      </c>
      <c r="I99" s="248">
        <v>4301489518</v>
      </c>
      <c r="J99" s="249">
        <v>410</v>
      </c>
      <c r="K99" s="249">
        <v>204</v>
      </c>
      <c r="L99" s="249">
        <v>614</v>
      </c>
      <c r="M99" s="249">
        <v>0</v>
      </c>
      <c r="N99" s="249">
        <v>0</v>
      </c>
      <c r="O99" s="249">
        <v>0</v>
      </c>
      <c r="P99" s="249">
        <v>19</v>
      </c>
      <c r="Q99" s="249">
        <v>0</v>
      </c>
      <c r="R99" s="249">
        <v>19</v>
      </c>
      <c r="S99" s="249">
        <v>0</v>
      </c>
      <c r="T99" s="249">
        <v>7790</v>
      </c>
      <c r="U99" s="249">
        <v>3876</v>
      </c>
      <c r="V99" s="249">
        <v>3</v>
      </c>
      <c r="W99" s="249">
        <v>11666</v>
      </c>
      <c r="X99" s="249">
        <v>0</v>
      </c>
      <c r="Y99" s="249">
        <v>0</v>
      </c>
      <c r="Z99" s="249">
        <v>0</v>
      </c>
      <c r="AA99" s="249">
        <v>0</v>
      </c>
      <c r="AB99" s="249">
        <v>972</v>
      </c>
      <c r="AC99" s="249">
        <v>0</v>
      </c>
      <c r="AD99" s="249">
        <v>3888</v>
      </c>
      <c r="AE99" s="249">
        <v>1867</v>
      </c>
      <c r="AF99" s="249">
        <v>1842</v>
      </c>
      <c r="AG99" s="249">
        <v>380</v>
      </c>
      <c r="AH99" s="249">
        <v>20615</v>
      </c>
      <c r="AI99" s="249">
        <v>0</v>
      </c>
      <c r="AJ99" s="249">
        <v>1400</v>
      </c>
      <c r="AK99" s="249">
        <v>0</v>
      </c>
      <c r="AL99" s="249">
        <v>0</v>
      </c>
      <c r="AM99" s="249">
        <v>19215</v>
      </c>
      <c r="AN99" s="259">
        <v>1517</v>
      </c>
      <c r="AO99" s="259">
        <v>0</v>
      </c>
      <c r="AP99" s="257"/>
      <c r="AQ99" s="258"/>
      <c r="AR99" s="258" t="s">
        <v>501</v>
      </c>
      <c r="AS99" s="259" t="s">
        <v>351</v>
      </c>
      <c r="AT99" s="260">
        <v>0</v>
      </c>
      <c r="AU99" s="260">
        <v>0</v>
      </c>
      <c r="AV99" s="260">
        <v>0</v>
      </c>
      <c r="AW99" s="260">
        <v>26</v>
      </c>
      <c r="AX99" s="260">
        <v>29</v>
      </c>
      <c r="AY99" s="260">
        <v>0</v>
      </c>
      <c r="AZ99" s="264"/>
      <c r="BA99" s="264"/>
      <c r="BB99" s="256">
        <v>410</v>
      </c>
      <c r="BC99" s="256">
        <v>200</v>
      </c>
      <c r="BD99" s="256">
        <f t="shared" si="1"/>
        <v>610</v>
      </c>
    </row>
    <row r="100" spans="1:56" ht="45" customHeight="1">
      <c r="A100" s="248">
        <v>93</v>
      </c>
      <c r="B100" s="248" t="s">
        <v>352</v>
      </c>
      <c r="C100" s="248" t="s">
        <v>353</v>
      </c>
      <c r="D100" s="248" t="s">
        <v>182</v>
      </c>
      <c r="E100" s="248" t="s">
        <v>357</v>
      </c>
      <c r="F100" s="248" t="s">
        <v>143</v>
      </c>
      <c r="G100" s="248" t="s">
        <v>500</v>
      </c>
      <c r="H100" s="255">
        <v>101222359390</v>
      </c>
      <c r="I100" s="248">
        <v>4301489774</v>
      </c>
      <c r="J100" s="249">
        <v>579</v>
      </c>
      <c r="K100" s="249">
        <v>289</v>
      </c>
      <c r="L100" s="249">
        <v>868</v>
      </c>
      <c r="M100" s="249">
        <v>9</v>
      </c>
      <c r="N100" s="249">
        <v>17</v>
      </c>
      <c r="O100" s="249">
        <v>2</v>
      </c>
      <c r="P100" s="249">
        <v>0</v>
      </c>
      <c r="Q100" s="249">
        <v>0</v>
      </c>
      <c r="R100" s="249">
        <v>28</v>
      </c>
      <c r="S100" s="249">
        <v>0</v>
      </c>
      <c r="T100" s="249">
        <v>16212</v>
      </c>
      <c r="U100" s="249">
        <v>8092</v>
      </c>
      <c r="V100" s="249">
        <v>0</v>
      </c>
      <c r="W100" s="249">
        <v>24304</v>
      </c>
      <c r="X100" s="249">
        <v>0</v>
      </c>
      <c r="Y100" s="249">
        <v>0</v>
      </c>
      <c r="Z100" s="249">
        <v>0</v>
      </c>
      <c r="AA100" s="249">
        <v>1092</v>
      </c>
      <c r="AB100" s="249">
        <v>2025</v>
      </c>
      <c r="AC100" s="249">
        <v>1140</v>
      </c>
      <c r="AD100" s="249">
        <v>8101</v>
      </c>
      <c r="AE100" s="249">
        <v>3889</v>
      </c>
      <c r="AF100" s="249">
        <v>0</v>
      </c>
      <c r="AG100" s="249">
        <v>560</v>
      </c>
      <c r="AH100" s="249">
        <v>41111</v>
      </c>
      <c r="AI100" s="249">
        <v>0</v>
      </c>
      <c r="AJ100" s="249">
        <v>1800</v>
      </c>
      <c r="AK100" s="249">
        <v>0</v>
      </c>
      <c r="AL100" s="249">
        <v>0</v>
      </c>
      <c r="AM100" s="249">
        <v>39311</v>
      </c>
      <c r="AN100" s="259">
        <v>1950</v>
      </c>
      <c r="AO100" s="259">
        <v>0</v>
      </c>
      <c r="AP100" s="257"/>
      <c r="AQ100" s="258"/>
      <c r="AR100" s="258" t="s">
        <v>501</v>
      </c>
      <c r="AS100" s="259" t="s">
        <v>353</v>
      </c>
      <c r="AT100" s="260">
        <v>12</v>
      </c>
      <c r="AU100" s="260">
        <v>13</v>
      </c>
      <c r="AV100" s="260">
        <v>0</v>
      </c>
      <c r="AW100" s="260">
        <v>0</v>
      </c>
      <c r="AX100" s="260">
        <v>9</v>
      </c>
      <c r="AY100" s="260">
        <v>0</v>
      </c>
      <c r="AZ100" s="264"/>
      <c r="BA100" s="264"/>
      <c r="BB100" s="256">
        <v>579</v>
      </c>
      <c r="BC100" s="256">
        <v>283</v>
      </c>
      <c r="BD100" s="256">
        <f t="shared" si="1"/>
        <v>862</v>
      </c>
    </row>
    <row r="101" spans="1:48" ht="45" customHeight="1">
      <c r="A101" s="272"/>
      <c r="B101" s="272"/>
      <c r="C101" s="272"/>
      <c r="D101" s="272"/>
      <c r="E101" s="272"/>
      <c r="F101" s="272" t="s">
        <v>132</v>
      </c>
      <c r="G101" s="272"/>
      <c r="H101" s="272"/>
      <c r="I101" s="272"/>
      <c r="J101" s="273"/>
      <c r="K101" s="273"/>
      <c r="L101" s="273"/>
      <c r="M101" s="273">
        <f>SUM(M8:M100)</f>
        <v>529</v>
      </c>
      <c r="N101" s="273">
        <f t="shared" si="2" ref="N101:AO101">SUM(N8:N100)</f>
        <v>618</v>
      </c>
      <c r="O101" s="273">
        <f t="shared" si="2"/>
        <v>465</v>
      </c>
      <c r="P101" s="273">
        <f t="shared" si="2"/>
        <v>629</v>
      </c>
      <c r="Q101" s="273">
        <f t="shared" si="2"/>
        <v>0</v>
      </c>
      <c r="R101" s="273">
        <f t="shared" si="2"/>
        <v>2241</v>
      </c>
      <c r="S101" s="273">
        <f t="shared" si="2"/>
        <v>242</v>
      </c>
      <c r="T101" s="273">
        <f t="shared" si="2"/>
        <v>924804</v>
      </c>
      <c r="U101" s="273">
        <f t="shared" si="2"/>
        <v>461759</v>
      </c>
      <c r="V101" s="273">
        <f t="shared" si="2"/>
        <v>37</v>
      </c>
      <c r="W101" s="273">
        <f t="shared" si="2"/>
        <v>1386563</v>
      </c>
      <c r="X101" s="273">
        <f t="shared" si="2"/>
        <v>41008</v>
      </c>
      <c r="Y101" s="273">
        <f t="shared" si="2"/>
        <v>0</v>
      </c>
      <c r="Z101" s="273">
        <f t="shared" si="2"/>
        <v>0</v>
      </c>
      <c r="AA101" s="273">
        <f t="shared" si="2"/>
        <v>61951</v>
      </c>
      <c r="AB101" s="273">
        <f t="shared" si="2"/>
        <v>115504</v>
      </c>
      <c r="AC101" s="273">
        <f t="shared" si="2"/>
        <v>69130</v>
      </c>
      <c r="AD101" s="273">
        <f t="shared" si="2"/>
        <v>462145</v>
      </c>
      <c r="AE101" s="273">
        <f t="shared" si="2"/>
        <v>221842</v>
      </c>
      <c r="AF101" s="273">
        <f t="shared" si="2"/>
        <v>25269</v>
      </c>
      <c r="AG101" s="273">
        <f t="shared" si="2"/>
        <v>44820</v>
      </c>
      <c r="AH101" s="273">
        <f t="shared" si="2"/>
        <v>2428232</v>
      </c>
      <c r="AI101" s="273">
        <f t="shared" si="2"/>
        <v>0</v>
      </c>
      <c r="AJ101" s="273">
        <f t="shared" si="2"/>
        <v>151146</v>
      </c>
      <c r="AK101" s="273">
        <f t="shared" si="2"/>
        <v>5784</v>
      </c>
      <c r="AL101" s="273">
        <f t="shared" si="2"/>
        <v>0</v>
      </c>
      <c r="AM101" s="273">
        <f t="shared" si="2"/>
        <v>2271302</v>
      </c>
      <c r="AN101" s="310">
        <f t="shared" si="2"/>
        <v>163751</v>
      </c>
      <c r="AO101" s="310">
        <f t="shared" si="2"/>
        <v>25016</v>
      </c>
      <c r="AP101" s="274"/>
      <c r="AQ101" s="274"/>
      <c r="AR101" s="274"/>
      <c r="AS101" s="275"/>
      <c r="AV101" s="276"/>
    </row>
    <row r="102" spans="1:57" ht="26.25">
      <c r="A102" s="277"/>
      <c r="B102" s="278"/>
      <c r="C102" s="278"/>
      <c r="D102" s="278"/>
      <c r="E102" s="278"/>
      <c r="F102" s="278"/>
      <c r="G102" s="278"/>
      <c r="H102" s="278"/>
      <c r="I102" s="278"/>
      <c r="J102" s="278"/>
      <c r="K102" s="278"/>
      <c r="L102" s="278"/>
      <c r="M102" s="278"/>
      <c r="N102" s="278"/>
      <c r="O102" s="278"/>
      <c r="P102" s="278"/>
      <c r="Q102" s="278"/>
      <c r="R102" s="278"/>
      <c r="S102" s="278"/>
      <c r="T102" s="278"/>
      <c r="U102" s="278"/>
      <c r="V102" s="278"/>
      <c r="W102" s="278"/>
      <c r="X102" s="278"/>
      <c r="Y102" s="278"/>
      <c r="Z102" s="278"/>
      <c r="AA102" s="278"/>
      <c r="AB102" s="278"/>
      <c r="AC102" s="278"/>
      <c r="AD102" s="278"/>
      <c r="AE102" s="278"/>
      <c r="AF102" s="278"/>
      <c r="AG102" s="278"/>
      <c r="AH102" s="278"/>
      <c r="AI102" s="278"/>
      <c r="AJ102" s="278"/>
      <c r="AK102" s="278"/>
      <c r="AL102" s="278"/>
      <c r="AM102" s="278"/>
      <c r="AP102" s="240"/>
      <c r="AQ102" s="240"/>
      <c r="AR102" s="258"/>
      <c r="BE102" t="s">
        <v>502</v>
      </c>
    </row>
    <row r="103" spans="1:44" ht="31.5">
      <c r="A103" s="5"/>
      <c r="B103" s="279" t="s">
        <v>505</v>
      </c>
      <c r="C103" s="240">
        <v>15000</v>
      </c>
      <c r="J103" s="280"/>
      <c r="K103" s="280"/>
      <c r="L103" s="280"/>
      <c r="T103" s="281"/>
      <c r="U103" s="281"/>
      <c r="V103" s="281"/>
      <c r="AA103" s="281"/>
      <c r="AC103" s="281"/>
      <c r="AK103" s="281"/>
      <c r="AM103" s="282">
        <f>AM101+15000</f>
        <v>2286302</v>
      </c>
      <c r="AP103" s="240"/>
      <c r="AQ103" s="240"/>
      <c r="AR103" s="240"/>
    </row>
    <row r="107" spans="34:34" ht="25.5">
      <c r="AH107" s="298">
        <f>AH101</f>
        <v>2428232</v>
      </c>
    </row>
    <row r="108" spans="34:34" ht="25.5">
      <c r="AH108" s="298">
        <f>AN101</f>
        <v>163751</v>
      </c>
    </row>
    <row r="109" spans="34:34" ht="25.5">
      <c r="AH109" s="298">
        <f>AO101</f>
        <v>25016</v>
      </c>
    </row>
    <row r="110" spans="34:34" ht="25.5">
      <c r="AH110" s="298">
        <v>60000</v>
      </c>
    </row>
    <row r="111" spans="34:34" ht="25.5">
      <c r="AH111" s="298">
        <f>SUM(AH107:AH110)</f>
        <v>2676999</v>
      </c>
    </row>
  </sheetData>
  <sheetProtection/>
  <mergeCells count="2">
    <mergeCell ref="A1:AM1"/>
    <mergeCell ref="A2:AM2"/>
  </mergeCells>
  <pageMargins left="0.7" right="0.7" top="0.75" bottom="0.75" header="0.3" footer="0.3"/>
  <pageSetup orientation="portrait" paperSize="1" scale="11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A49CE827-A2D8-4F2E-AE0F-5FB19B8CB9AB}">
  <sheetPr codeName="Sheet11"/>
  <dimension ref="B2:G18"/>
  <sheetViews>
    <sheetView workbookViewId="0" topLeftCell="A2">
      <selection pane="topLeft" activeCell="C8" sqref="C8"/>
    </sheetView>
  </sheetViews>
  <sheetFormatPr defaultRowHeight="12.75"/>
  <cols>
    <col min="1" max="1" width="1.85714285714286" customWidth="1"/>
    <col min="2" max="2" width="17.4285714285714" bestFit="1" customWidth="1"/>
    <col min="3" max="3" width="25.5714285714286" bestFit="1" customWidth="1"/>
    <col min="7" max="7" width="10.1428571428571" bestFit="1" customWidth="1"/>
  </cols>
  <sheetData>
    <row r="1" ht="5.25" customHeight="1"/>
    <row r="2" spans="2:3" ht="15">
      <c r="B2" s="287"/>
      <c r="C2" s="288"/>
    </row>
    <row r="3" spans="2:3" ht="15">
      <c r="B3" s="287"/>
      <c r="C3" s="288"/>
    </row>
    <row r="4" spans="2:3" ht="15">
      <c r="B4" s="287"/>
      <c r="C4" s="288"/>
    </row>
    <row r="5" spans="2:3" ht="12.75">
      <c r="B5" s="30" t="s">
        <v>506</v>
      </c>
      <c r="C5" s="30" t="s">
        <v>532</v>
      </c>
    </row>
    <row r="6" spans="2:3" ht="12.75">
      <c r="B6" s="30" t="s">
        <v>21</v>
      </c>
      <c r="C6" s="30" t="s">
        <v>534</v>
      </c>
    </row>
    <row r="7" spans="2:7" ht="12.75">
      <c r="B7" s="30" t="s">
        <v>507</v>
      </c>
      <c r="C7" s="284" t="s">
        <v>533</v>
      </c>
      <c r="G7" s="286"/>
    </row>
    <row r="8" spans="2:3" ht="12.75">
      <c r="B8" s="30" t="s">
        <v>89</v>
      </c>
      <c r="C8" s="289">
        <v>45964</v>
      </c>
    </row>
    <row r="9" spans="2:4" ht="12.75">
      <c r="B9" s="30" t="s">
        <v>508</v>
      </c>
      <c r="C9">
        <v>20</v>
      </c>
      <c r="D9" t="str">
        <f>B9&amp;C9</f>
        <v>RA BILL NO-20</v>
      </c>
    </row>
    <row r="10" spans="2:3" ht="12.75">
      <c r="B10" s="30" t="s">
        <v>22</v>
      </c>
      <c r="C10" s="285">
        <v>45727</v>
      </c>
    </row>
    <row r="11" spans="2:3" ht="12.75">
      <c r="B11" s="30" t="s">
        <v>509</v>
      </c>
      <c r="C11">
        <v>10</v>
      </c>
    </row>
    <row r="12" spans="2:3" ht="12.75">
      <c r="B12" s="30" t="s">
        <v>510</v>
      </c>
      <c r="C12">
        <v>2025</v>
      </c>
    </row>
    <row r="14" spans="2:4" ht="12.75">
      <c r="B14" t="s">
        <v>512</v>
      </c>
      <c r="D14" t="s">
        <v>513</v>
      </c>
    </row>
    <row r="15" spans="2:5" ht="12.75">
      <c r="B15" t="s">
        <v>514</v>
      </c>
      <c r="C15">
        <v>0</v>
      </c>
      <c r="D15" t="s">
        <v>514</v>
      </c>
      <c r="E15">
        <v>0</v>
      </c>
    </row>
    <row r="16" spans="2:5" ht="12.75">
      <c r="B16" t="s">
        <v>511</v>
      </c>
      <c r="C16" s="285"/>
      <c r="E16" s="285"/>
    </row>
    <row r="18" spans="2:5" ht="12.75">
      <c r="B18" s="30" t="s">
        <v>515</v>
      </c>
      <c r="C18" s="297">
        <f t="array" ref="C18:E18">'Tax Invoice'!J45:L45</f>
        <v>3307264.2369500003</v>
      </c>
      <c r="D18">
        <v>0</v>
      </c>
      <c r="E18">
        <v>0</v>
      </c>
    </row>
  </sheetData>
  <sheetProtection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1" name="">
              <controlPr defaultSize="0" print="0" autoLine="0" autoPict="0" macro="[0]!MOPAOC">
                <anchor moveWithCells="1" sizeWithCells="1">
                  <from>
                    <xdr:col>11</xdr:col>
                    <xdr:colOff>104775</xdr:colOff>
                    <xdr:row>13</xdr:row>
                    <xdr:rowOff>66415</xdr:rowOff>
                  </from>
                  <to>
                    <xdr:col>13</xdr:col>
                    <xdr:colOff>600075</xdr:colOff>
                    <xdr:row>17</xdr:row>
                    <xdr:rowOff>18976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BDEF1A26-9F0B-453E-AC3C-9F232FF2B9AB}">
  <sheetPr codeName="Sheet5"/>
  <dimension ref="A1:J26"/>
  <sheetViews>
    <sheetView workbookViewId="0" topLeftCell="A1">
      <selection pane="topLeft" activeCell="E8" sqref="E8"/>
    </sheetView>
  </sheetViews>
  <sheetFormatPr defaultRowHeight="12.75"/>
  <cols>
    <col min="2" max="2" width="15" customWidth="1"/>
    <col min="3" max="3" width="17.4285714285714" customWidth="1"/>
    <col min="4" max="4" width="12.8571428571429" customWidth="1"/>
    <col min="5" max="5" width="15.4285714285714" customWidth="1"/>
    <col min="6" max="6" width="17.8571428571429" customWidth="1"/>
    <col min="7" max="7" width="31.5714285714286" customWidth="1"/>
    <col min="8" max="10" width="13.4285714285714" bestFit="1" customWidth="1"/>
  </cols>
  <sheetData>
    <row r="1" spans="1:7" ht="15">
      <c r="A1" s="613" t="s">
        <v>4</v>
      </c>
      <c r="B1" s="613"/>
      <c r="C1" s="1" t="s">
        <v>3</v>
      </c>
      <c r="D1" s="3"/>
      <c r="E1" s="4"/>
      <c r="G1" s="5"/>
    </row>
    <row r="2" spans="1:7" ht="15">
      <c r="A2" s="613" t="s">
        <v>5</v>
      </c>
      <c r="B2" s="613"/>
      <c r="C2" s="6" t="s">
        <v>16</v>
      </c>
      <c r="D2" s="3"/>
      <c r="E2" s="4"/>
      <c r="G2" s="5"/>
    </row>
    <row r="3" spans="1:7" ht="15">
      <c r="A3" s="613" t="s">
        <v>6</v>
      </c>
      <c r="B3" s="613"/>
      <c r="C3" s="7"/>
      <c r="D3" s="8"/>
      <c r="G3" s="5"/>
    </row>
    <row r="4" spans="1:7" ht="15">
      <c r="A4" s="9"/>
      <c r="D4" s="4"/>
      <c r="E4" s="4"/>
      <c r="G4" s="5"/>
    </row>
    <row r="5" spans="1:7" ht="15.75">
      <c r="A5" s="614" t="s">
        <v>7</v>
      </c>
      <c r="B5" s="614"/>
      <c r="C5" s="614"/>
      <c r="D5" s="614"/>
      <c r="E5" s="614"/>
      <c r="F5" s="614"/>
      <c r="G5" s="614"/>
    </row>
    <row r="6" spans="1:7" ht="12.75">
      <c r="A6" s="10" t="s">
        <v>8</v>
      </c>
      <c r="B6" s="10" t="s">
        <v>9</v>
      </c>
      <c r="C6" s="10" t="s">
        <v>10</v>
      </c>
      <c r="D6" s="615" t="s">
        <v>11</v>
      </c>
      <c r="E6" s="615"/>
      <c r="F6" s="10" t="s">
        <v>12</v>
      </c>
      <c r="G6" s="10" t="s">
        <v>13</v>
      </c>
    </row>
    <row r="7" spans="1:7" ht="12.75">
      <c r="A7" s="11"/>
      <c r="B7" s="11"/>
      <c r="C7" s="11"/>
      <c r="D7" s="12" t="s">
        <v>1</v>
      </c>
      <c r="E7" s="12" t="s">
        <v>14</v>
      </c>
      <c r="F7" s="11"/>
      <c r="G7" s="11"/>
    </row>
    <row r="8" spans="1:9" ht="12.75">
      <c r="A8" s="2">
        <v>1</v>
      </c>
      <c r="B8" s="13" t="s">
        <v>17</v>
      </c>
      <c r="C8" s="14">
        <v>3278428</v>
      </c>
      <c r="D8" s="15"/>
      <c r="E8" s="16"/>
      <c r="F8" s="17"/>
      <c r="G8" s="18"/>
      <c r="I8" s="19"/>
    </row>
    <row r="9" spans="1:7" ht="12.75">
      <c r="A9" s="2">
        <v>2</v>
      </c>
      <c r="B9" s="13"/>
      <c r="C9" s="20"/>
      <c r="D9" s="15"/>
      <c r="E9" s="16"/>
      <c r="F9" s="17"/>
      <c r="G9" s="18"/>
    </row>
    <row r="10" spans="1:7" ht="12.75">
      <c r="A10" s="2">
        <v>3</v>
      </c>
      <c r="B10" s="13"/>
      <c r="C10" s="20"/>
      <c r="D10" s="15"/>
      <c r="E10" s="16"/>
      <c r="F10" s="17"/>
      <c r="G10" s="18"/>
    </row>
    <row r="11" spans="1:9" ht="12.75">
      <c r="A11" s="2">
        <v>4</v>
      </c>
      <c r="B11" s="13"/>
      <c r="C11" s="20"/>
      <c r="D11" s="15"/>
      <c r="E11" s="16"/>
      <c r="F11" s="17"/>
      <c r="G11" s="18"/>
      <c r="H11" s="19"/>
      <c r="I11" s="19"/>
    </row>
    <row r="12" spans="1:7" ht="12.75">
      <c r="A12" s="2">
        <v>5</v>
      </c>
      <c r="B12" s="13"/>
      <c r="C12" s="20"/>
      <c r="D12" s="15"/>
      <c r="E12" s="16"/>
      <c r="F12" s="17"/>
      <c r="G12" s="18"/>
    </row>
    <row r="13" spans="1:7" ht="12.75">
      <c r="A13" s="2">
        <v>6</v>
      </c>
      <c r="B13" s="13"/>
      <c r="C13" s="20"/>
      <c r="D13" s="15"/>
      <c r="E13" s="16"/>
      <c r="F13" s="17"/>
      <c r="G13" s="18"/>
    </row>
    <row r="14" spans="1:7" ht="12.75">
      <c r="A14" s="2">
        <v>7</v>
      </c>
      <c r="B14" s="13"/>
      <c r="C14" s="20"/>
      <c r="D14" s="15"/>
      <c r="E14" s="16"/>
      <c r="F14" s="17"/>
      <c r="G14" s="18"/>
    </row>
    <row r="15" spans="1:7" ht="12.75">
      <c r="A15" s="2">
        <v>8</v>
      </c>
      <c r="B15" s="13"/>
      <c r="C15" s="20"/>
      <c r="D15" s="15"/>
      <c r="E15" s="16"/>
      <c r="F15" s="17"/>
      <c r="G15" s="18"/>
    </row>
    <row r="16" spans="1:7" ht="12.75">
      <c r="A16" s="2">
        <v>9</v>
      </c>
      <c r="B16" s="13"/>
      <c r="C16" s="20"/>
      <c r="D16" s="15"/>
      <c r="E16" s="16"/>
      <c r="F16" s="17"/>
      <c r="G16" s="18"/>
    </row>
    <row r="17" spans="1:7" ht="12.75">
      <c r="A17" s="2">
        <v>10</v>
      </c>
      <c r="B17" s="13"/>
      <c r="C17" s="20"/>
      <c r="D17" s="15"/>
      <c r="E17" s="16"/>
      <c r="F17" s="17">
        <f>C17-E17</f>
        <v>0</v>
      </c>
      <c r="G17" s="21"/>
    </row>
    <row r="18" spans="1:7" ht="12.75">
      <c r="A18" s="2">
        <v>11</v>
      </c>
      <c r="B18" s="13"/>
      <c r="C18" s="20"/>
      <c r="D18" s="15"/>
      <c r="E18" s="16"/>
      <c r="F18" s="17">
        <f>C18-E18</f>
        <v>0</v>
      </c>
      <c r="G18" s="21"/>
    </row>
    <row r="19" spans="1:10" ht="12.75">
      <c r="A19" s="2">
        <v>12</v>
      </c>
      <c r="B19" s="13"/>
      <c r="C19" s="20"/>
      <c r="D19" s="15"/>
      <c r="E19" s="16"/>
      <c r="F19" s="17">
        <f>C19-E19</f>
        <v>0</v>
      </c>
      <c r="G19" s="21"/>
      <c r="J19" s="19"/>
    </row>
    <row r="20" spans="1:7" ht="12.75">
      <c r="A20" s="22"/>
      <c r="B20" s="23"/>
      <c r="C20" s="24"/>
      <c r="D20" s="25"/>
      <c r="E20" s="26"/>
      <c r="F20" s="27"/>
      <c r="G20" s="28"/>
    </row>
    <row r="21" spans="1:1" ht="12.75">
      <c r="A21" t="s">
        <v>15</v>
      </c>
    </row>
    <row r="22" spans="1:1" ht="15">
      <c r="A22" s="29" t="s">
        <v>3</v>
      </c>
    </row>
    <row r="26" spans="1:1" ht="12.75">
      <c r="A26" s="30" t="s">
        <v>0</v>
      </c>
    </row>
  </sheetData>
  <sheetProtection/>
  <mergeCells count="5">
    <mergeCell ref="A1:B1"/>
    <mergeCell ref="A2:B2"/>
    <mergeCell ref="A3:B3"/>
    <mergeCell ref="A5:G5"/>
    <mergeCell ref="D6:E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16.0000</AppVers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Tax Invoice</vt:lpstr>
      <vt:lpstr>MOP</vt:lpstr>
      <vt:lpstr>AOC</vt:lpstr>
      <vt:lpstr>REIMB.</vt:lpstr>
      <vt:lpstr>MB_COMBINED</vt:lpstr>
      <vt:lpstr>MB_PPU</vt:lpstr>
      <vt:lpstr>MB_PTD</vt:lpstr>
      <vt:lpstr>MB_LLDPE</vt:lpstr>
      <vt:lpstr>Form B</vt:lpstr>
      <vt:lpstr>Working Sheet</vt:lpstr>
      <vt:lpstr>Sheet1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P-III</dc:creator>
  <cp:keywords/>
  <dc:description/>
  <cp:lastModifiedBy>dell</cp:lastModifiedBy>
  <cp:lastPrinted>2025-11-18T12:13:23Z</cp:lastPrinted>
  <dcterms:created xsi:type="dcterms:W3CDTF">2006-12-28T04:05:10Z</dcterms:created>
  <dcterms:modified xsi:type="dcterms:W3CDTF">2025-11-18T12:21:57Z</dcterms:modified>
  <cp:category/>
</cp:coreProperties>
</file>