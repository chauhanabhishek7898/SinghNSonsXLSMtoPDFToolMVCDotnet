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vmlDrawing" PartName="/xl/drawings/vmlDrawing9.vml"/>
  <Override ContentType="application/vnd.openxmlformats-officedocument.drawing+xml" PartName="/xl/drawings/drawing9.xml"/>
  <Override ContentType="application/vnd.ms-excel.controlproperties+xml" PartName="/xl/ctrlProps/ctrlProp1.xml"/>
  <Override ContentType="application/vnd.openxmlformats-officedocument.spreadsheetml.worksheet+xml" PartName="/xl/worksheets/sheet10.xml"/>
  <Override ContentType="application/vnd.openxmlformats-officedocument.drawing+xml" PartName="/xl/drawings/drawing10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Sheet1" sheetId="4" r:id="rId5"/>
    <sheet name="AOC" sheetId="5" r:id="rId6"/>
    <sheet name="DIFF" sheetId="6" r:id="rId7"/>
    <sheet name="Sheet2" sheetId="7" r:id="rId8"/>
    <sheet name="FORM B-(Wage Reg.)" sheetId="8" r:id="rId9"/>
    <sheet name="working sheet" sheetId="9" r:id="rId10"/>
    <sheet name="PERFORMA PFD" sheetId="10" r:id="rId11"/>
  </sheets>
  <definedNames>
    <definedName name="_xlnm._FilterDatabase" localSheetId="7" hidden="1">'FORM B-(Wage Reg.)'!$A$24:$AI$25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<sst xmlns="http://schemas.openxmlformats.org/spreadsheetml/2006/main" count="336" uniqueCount="336">
  <si>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</si>
  <si>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</si>
  <si>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</si>
  <si>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</si>
  <si>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</si>
  <si>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</si>
  <si>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</si>
  <si>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</si>
  <si>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</si>
  <si>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</si>
  <si>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</si>
  <si>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</si>
  <si>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</si>
  <si>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</si>
  <si>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</si>
  <si>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</si>
  <si>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</si>
  <si>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</si>
  <si>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</si>
  <si>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</si>
  <si>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</si>
  <si>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</si>
  <si>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</si>
  <si>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</si>
  <si>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</si>
  <si>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</si>
  <si>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</si>
  <si>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</si>
  <si>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</si>
  <si>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</si>
  <si>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</si>
  <si>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</si>
  <si>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</si>
  <si>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</si>
  <si>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</si>
  <si>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</si>
  <si>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</si>
  <si>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</si>
  <si>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</si>
  <si>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</si>
  <si>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</si>
  <si>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</si>
  <si>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</si>
  <si>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</si>
  <si>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</si>
  <si>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</si>
  <si>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</si>
  <si>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</si>
  <si>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</si>
  <si>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</si>
  <si>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</si>
  <si>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</si>
  <si>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</si>
  <si>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</si>
  <si>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</si>
  <si>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</si>
  <si>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</si>
  <si>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</si>
  <si>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</si>
  <si>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</si>
  <si>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</si>
  <si>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</si>
  <si>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</si>
  <si>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</si>
  <si>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</si>
  <si>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</si>
  <si>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</si>
  <si>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</si>
  <si>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</si>
  <si>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</si>
  <si>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</si>
  <si>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</si>
  <si>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</si>
  <si>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</si>
  <si>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</si>
  <si>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</si>
  <si>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</si>
  <si>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</si>
  <si>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</si>
  <si>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</si>
  <si>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</si>
  <si>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</si>
  <si>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</si>
  <si>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</si>
  <si>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</si>
  <si>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</si>
  <si>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</si>
  <si>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</si>
  <si>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</si>
  <si>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</si>
  <si>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</si>
  <si>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</si>
  <si>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</si>
  <si>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</si>
  <si>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</si>
  <si>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</si>
  <si>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</si>
  <si>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</si>
  <si>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</si>
  <si>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</si>
  <si>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</si>
  <si>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</si>
  <si>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</si>
  <si>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</si>
  <si>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</si>
  <si>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</si>
  <si>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</si>
  <si>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</si>
  <si>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</si>
  <si>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</si>
  <si>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</si>
  <si>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</si>
  <si>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</si>
  <si>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</si>
  <si>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</si>
  <si>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</si>
  <si>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</si>
  <si>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</si>
  <si>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</si>
  <si>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</si>
  <si>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</si>
  <si>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</si>
  <si>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</si>
  <si>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</si>
  <si>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01.08.2017</t>
  </si>
  <si>
    <t>For,</t>
  </si>
  <si>
    <t>S. Roy.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</si>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</sst>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3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[$-409]d\-mmm\-yy;@"/>
    <numFmt numFmtId="169" formatCode="#,##0.00;[Red]#,##0.00"/>
    <numFmt numFmtId="170" formatCode="[$-409]d\-mmm;@"/>
    <numFmt numFmtId="171" formatCode="d\ mmm\ yyyy;@"/>
    <numFmt numFmtId="172" formatCode="[$-14009]dd\-mm\-yyyy;@"/>
    <numFmt numFmtId="173" formatCode="0.0"/>
    <numFmt numFmtId="174" formatCode="[$-F800]dddd\,\ mmmm\ dd\,\ yyyy"/>
    <numFmt numFmtId="175" formatCode="dd/mm/yyyy"/>
    <numFmt numFmtId="176" formatCode="00"/>
  </numFmts>
  <fonts count="72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50" applyFont="1" fillId="11" applyFill="1" borderId="0" applyAlignment="1">
      <alignment vertical="center" wrapText="1"/>
    </xf>
    <xf numFmtId="0" fontId="50" applyFont="1" fillId="11" applyFill="1" borderId="0" applyAlignment="1">
      <alignment vertical="center" wrapText="1"/>
    </xf>
    <xf numFmtId="0" applyNumberFormat="0" fontId="68" applyFont="1" fillId="0" applyFill="0" borderId="0" applyBorder="0" applyProtection="0" applyAlignment="0"/>
  </cellStyleXfs>
  <cellXfs count="579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0" xfId="0" applyAlignment="1">
      <alignment horizontal="left"/>
    </xf>
    <xf numFmtId="0" fontId="36" applyFont="1" fillId="0" borderId="0" xfId="0" applyAlignment="1">
      <alignment horizontal="left"/>
    </xf>
    <xf numFmtId="165" applyNumberFormat="1" fontId="33" applyFont="1" fillId="0" borderId="0" applyBorder="1" xfId="1"/>
    <xf numFmtId="0" fontId="1" applyFont="1" fillId="0" borderId="0" xfId="0" applyAlignment="1">
      <alignment horizontal="left"/>
    </xf>
    <xf numFmtId="0" fontId="34" applyFont="1" fillId="0" borderId="0" xfId="0" applyAlignment="1">
      <alignment vertical="center"/>
    </xf>
    <xf numFmtId="165" applyNumberFormat="1" fontId="33" applyFont="1" fillId="0" borderId="0" applyBorder="1" xfId="1" applyAlignment="1">
      <alignment horizontal="left"/>
    </xf>
    <xf numFmtId="0" fontId="35" applyFont="1" fillId="0" borderId="0" xfId="0"/>
    <xf numFmtId="0" fontId="37" applyFont="1" fillId="0" borderId="9" applyBorder="1" xfId="0" applyAlignment="1">
      <alignment horizontal="center"/>
    </xf>
    <xf numFmtId="0" fontId="36" applyFont="1" fillId="3" applyFill="1" borderId="9" applyBorder="1" xfId="0" applyAlignment="1">
      <alignment horizontal="center" vertical="center" wrapText="1"/>
    </xf>
    <xf numFmtId="165" applyNumberFormat="1" fontId="36" applyFont="1" fillId="3" applyFill="1" borderId="9" applyBorder="1" xfId="1" applyAlignment="1">
      <alignment horizontal="center" vertical="center" wrapText="1"/>
    </xf>
    <xf numFmtId="0" fontId="36" applyFont="1" fillId="4" applyFill="1" borderId="9" applyBorder="1" xfId="0"/>
    <xf numFmtId="0" fontId="36" applyFont="1" fillId="4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/>
    <xf numFmtId="4" applyNumberFormat="1" fontId="1" applyFont="1" fillId="0" borderId="9" applyBorder="1" xfId="0"/>
    <xf numFmtId="168" applyNumberFormat="1" fontId="34" applyFont="1" fillId="0" borderId="9" applyBorder="1" xfId="1" applyAlignment="1"/>
    <xf numFmtId="165" applyNumberFormat="1" fontId="34" applyFont="1" fillId="0" borderId="9" applyBorder="1" xfId="1" applyAlignment="1"/>
    <xf numFmtId="39" applyNumberFormat="1" fontId="36" applyFont="1" fillId="0" borderId="9" applyBorder="1" xfId="1"/>
    <xf numFmtId="17" applyNumberFormat="1" fontId="34" applyFont="1" fillId="0" borderId="9" applyBorder="1" xfId="1" applyAlignment="1">
      <alignment horizontal="left" wrapText="1"/>
    </xf>
    <xf numFmtId="165" applyNumberFormat="1" fontId="1" applyFont="1" fillId="0" borderId="0" xfId="0"/>
    <xf numFmtId="169" applyNumberFormat="1" fontId="1" applyFont="1" fillId="0" borderId="9" applyBorder="1" xfId="0"/>
    <xf numFmtId="170" applyNumberFormat="1" fontId="34" applyFont="1" fillId="0" borderId="9" applyBorder="1" xfId="1" applyAlignment="1">
      <alignment horizontal="left" wrapText="1"/>
    </xf>
    <xf numFmtId="0" fontId="1" applyFont="1" fillId="0" borderId="0" xfId="0" applyAlignment="1">
      <alignment horizontal="center"/>
    </xf>
    <xf numFmtId="168" applyNumberFormat="1" fontId="1" applyFont="1" fillId="0" borderId="0" xfId="0"/>
    <xf numFmtId="169" applyNumberFormat="1" fontId="1" applyFont="1" fillId="0" borderId="0" xfId="0"/>
    <xf numFmtId="168" applyNumberFormat="1" fontId="34" applyFont="1" fillId="0" borderId="0" applyBorder="1" xfId="1" applyAlignment="1"/>
    <xf numFmtId="165" applyNumberFormat="1" fontId="34" applyFont="1" fillId="0" borderId="0" applyBorder="1" xfId="1" applyAlignment="1"/>
    <xf numFmtId="39" applyNumberFormat="1" fontId="36" applyFont="1" fillId="0" borderId="0" applyBorder="1" xfId="1"/>
    <xf numFmtId="165" applyNumberFormat="1" fontId="34" applyFont="1" fillId="0" borderId="0" applyBorder="1" xfId="1" applyAlignment="1">
      <alignment horizontal="left" wrapText="1"/>
    </xf>
    <xf numFmtId="0" fontId="20" applyFont="1" fillId="0" borderId="0" xfId="0"/>
    <xf numFmtId="0" fontId="34" applyFont="1" fillId="0" borderId="0" xfId="0"/>
    <xf numFmtId="0" fontId="38" applyFont="1" fillId="0" borderId="1" applyBorder="1" xfId="0" applyAlignment="1">
      <alignment horizontal="center" vertical="top" wrapText="1"/>
    </xf>
    <xf numFmtId="0" fontId="38" applyFont="1" fillId="0" borderId="2" applyBorder="1" xfId="0" applyAlignment="1">
      <alignment horizontal="center" vertical="top" wrapText="1"/>
    </xf>
    <xf numFmtId="0" fontId="38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9" applyFont="1" fillId="0" borderId="16" applyBorder="1" xfId="0" applyAlignment="1">
      <alignment horizontal="left" vertical="center" shrinkToFit="1"/>
    </xf>
    <xf numFmtId="164" applyNumberFormat="1" fontId="39" applyFont="1" fillId="0" borderId="17" applyBorder="1" xfId="0" applyAlignment="1">
      <alignment horizontal="left" vertical="center" shrinkToFit="1"/>
    </xf>
    <xf numFmtId="164" applyNumberFormat="1" fontId="39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71" applyNumberFormat="1" fontId="39" applyFont="1" fillId="0" borderId="20" applyBorder="1" xfId="0" applyAlignment="1">
      <alignment horizontal="left" vertical="center" shrinkToFit="1"/>
    </xf>
    <xf numFmtId="171" applyNumberFormat="1" fontId="39" applyFont="1" fillId="0" borderId="21" applyBorder="1" xfId="0" applyAlignment="1">
      <alignment horizontal="left" vertical="center" shrinkToFit="1"/>
    </xf>
    <xf numFmtId="171" applyNumberFormat="1" fontId="39" applyFont="1" fillId="0" borderId="22" applyBorder="1" xfId="0" applyAlignment="1">
      <alignment horizontal="left" vertical="center" shrinkToFit="1"/>
    </xf>
    <xf numFmtId="1" applyNumberFormat="1" fontId="39" applyFont="1" fillId="0" borderId="20" applyBorder="1" xfId="0" applyAlignment="1">
      <alignment horizontal="left" vertical="center" shrinkToFit="1"/>
    </xf>
    <xf numFmtId="1" applyNumberFormat="1" fontId="39" applyFont="1" fillId="0" borderId="21" applyBorder="1" xfId="0" applyAlignment="1">
      <alignment horizontal="left" vertical="center" shrinkToFit="1"/>
    </xf>
    <xf numFmtId="1" applyNumberFormat="1" fontId="39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40" applyFont="1" fillId="5" applyFill="1" borderId="14" applyBorder="1" xfId="0" applyAlignment="1">
      <alignment horizontal="center" vertical="center"/>
    </xf>
    <xf numFmtId="0" fontId="40" applyFont="1" fillId="5" applyFill="1" borderId="23" applyBorder="1" xfId="0" applyAlignment="1">
      <alignment horizontal="left" vertical="center" wrapText="1"/>
    </xf>
    <xf numFmtId="0" fontId="40" applyFont="1" fillId="5" applyFill="1" borderId="24" applyBorder="1" xfId="0" applyAlignment="1">
      <alignment horizontal="center" vertical="center" wrapText="1"/>
    </xf>
    <xf numFmtId="0" fontId="40" applyFont="1" fillId="5" applyFill="1" borderId="16" applyBorder="1" xfId="0" applyAlignment="1">
      <alignment horizontal="center" vertical="center" wrapText="1"/>
    </xf>
    <xf numFmtId="0" fontId="40" applyFont="1" fillId="5" applyFill="1" borderId="17" applyBorder="1" xfId="0" applyAlignment="1">
      <alignment horizontal="center" vertical="center" wrapText="1"/>
    </xf>
    <xf numFmtId="0" fontId="40" applyFont="1" fillId="5" applyFill="1" borderId="15" applyBorder="1" xfId="0" applyAlignment="1">
      <alignment horizontal="center" vertical="center" wrapText="1"/>
    </xf>
    <xf numFmtId="0" fontId="40" applyFont="1" fillId="5" applyFill="1" borderId="25" applyBorder="1" xfId="0" applyAlignment="1">
      <alignment horizontal="center" vertical="center"/>
    </xf>
    <xf numFmtId="0" fontId="40" applyFont="1" fillId="5" applyFill="1" borderId="15" applyBorder="1" xfId="0" applyAlignment="1">
      <alignment horizontal="left" vertical="center" wrapText="1"/>
    </xf>
    <xf numFmtId="0" fontId="40" applyFont="1" fillId="5" applyFill="1" borderId="26" applyBorder="1" xfId="0" applyAlignment="1">
      <alignment horizontal="center" vertical="center" wrapText="1"/>
    </xf>
    <xf numFmtId="0" fontId="40" applyFont="1" fillId="5" applyFill="1" borderId="27" applyBorder="1" xfId="0" applyAlignment="1">
      <alignment horizontal="center" vertical="center" wrapText="1"/>
    </xf>
    <xf numFmtId="0" fontId="40" applyFont="1" fillId="5" applyFill="1" borderId="10" applyBorder="1" xfId="0" applyAlignment="1">
      <alignment horizontal="center" vertical="center"/>
    </xf>
    <xf numFmtId="0" fontId="40" applyFont="1" fillId="5" applyFill="1" borderId="24" applyBorder="1" xfId="0" applyAlignment="1">
      <alignment horizontal="left" vertical="center" wrapText="1"/>
    </xf>
    <xf numFmtId="0" fontId="40" applyFont="1" fillId="5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41" applyFont="1" fillId="0" borderId="9" applyBorder="1" xfId="0" applyAlignment="1">
      <alignment horizontal="center" vertical="center" shrinkToFit="1"/>
    </xf>
    <xf numFmtId="0" fontId="40" applyFont="1" fillId="0" borderId="9" applyBorder="1" xfId="0" applyAlignment="1">
      <alignment horizontal="center" vertical="center" wrapText="1"/>
    </xf>
    <xf numFmtId="3" applyNumberFormat="1" fontId="41" applyFont="1" fillId="0" borderId="9" applyBorder="1" xfId="0" applyAlignment="1">
      <alignment horizontal="center" vertical="center" shrinkToFit="1"/>
    </xf>
    <xf numFmtId="4" applyNumberFormat="1" fontId="39" applyFont="1" fillId="0" borderId="9" applyBorder="1" xfId="0" applyAlignment="1">
      <alignment horizontal="center" vertical="center" shrinkToFit="1"/>
    </xf>
    <xf numFmtId="3" applyNumberFormat="1" fontId="41" applyFont="1" fillId="6" applyFill="1" borderId="9" applyBorder="1" xfId="0" applyAlignment="1">
      <alignment horizontal="center" vertical="center" shrinkToFit="1"/>
    </xf>
    <xf numFmtId="4" applyNumberFormat="1" fontId="41" applyFont="1" fillId="6" applyFill="1" borderId="9" applyBorder="1" xfId="0" applyAlignment="1">
      <alignment horizontal="center" vertical="center" shrinkToFit="1"/>
    </xf>
    <xf numFmtId="0" fontId="41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40" applyFont="1" fillId="0" borderId="23" applyBorder="1" xfId="0" applyAlignment="1">
      <alignment horizontal="center" vertical="center" wrapText="1"/>
    </xf>
    <xf numFmtId="0" fontId="40" applyFont="1" fillId="0" borderId="16" applyBorder="1" xfId="0" applyAlignment="1">
      <alignment horizontal="center" vertical="center" wrapText="1"/>
    </xf>
    <xf numFmtId="0" fontId="40" applyFont="1" fillId="0" borderId="17" applyBorder="1" xfId="0" applyAlignment="1">
      <alignment horizontal="center" vertical="center" wrapText="1"/>
    </xf>
    <xf numFmtId="0" fontId="40" applyFont="1" fillId="0" borderId="15" applyBorder="1" xfId="0" applyAlignment="1">
      <alignment horizontal="center" vertical="center" wrapText="1"/>
    </xf>
    <xf numFmtId="4" applyNumberFormat="1" fontId="41" applyFont="1" fillId="0" borderId="26" applyBorder="1" xfId="0" applyAlignment="1">
      <alignment horizontal="center" vertical="center" shrinkToFit="1"/>
    </xf>
    <xf numFmtId="0" fontId="40" applyFont="1" fillId="7" applyFill="1" borderId="29" applyBorder="1" xfId="0" applyAlignment="1">
      <alignment horizontal="center" vertical="center" wrapText="1"/>
    </xf>
    <xf numFmtId="0" fontId="40" applyFont="1" fillId="7" applyFill="1" borderId="0" xfId="0" applyAlignment="1">
      <alignment horizontal="center" vertical="center" wrapText="1"/>
    </xf>
    <xf numFmtId="0" fontId="40" applyFont="1" fillId="7" applyFill="1" borderId="23" applyBorder="1" xfId="0" applyAlignment="1">
      <alignment horizontal="center" vertical="center" wrapText="1"/>
    </xf>
    <xf numFmtId="4" applyNumberFormat="1" fontId="41" applyFont="1" fillId="7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40" applyFont="1" fillId="0" borderId="20" applyBorder="1" xfId="0" applyAlignment="1">
      <alignment horizontal="center" vertical="center" wrapText="1"/>
    </xf>
    <xf numFmtId="0" fontId="40" applyFont="1" fillId="0" borderId="21" applyBorder="1" xfId="0" applyAlignment="1">
      <alignment horizontal="center" vertical="center" wrapText="1"/>
    </xf>
    <xf numFmtId="0" fontId="40" applyFont="1" fillId="0" borderId="19" applyBorder="1" xfId="0" applyAlignment="1">
      <alignment horizontal="center" vertical="center" wrapText="1"/>
    </xf>
    <xf numFmtId="4" applyNumberFormat="1" fontId="41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40" applyFont="1" fillId="7" applyFill="1" borderId="16" applyBorder="1" xfId="0" applyAlignment="1">
      <alignment horizontal="center" vertical="center" wrapText="1"/>
    </xf>
    <xf numFmtId="0" fontId="40" applyFont="1" fillId="7" applyFill="1" borderId="17" applyBorder="1" xfId="0" applyAlignment="1">
      <alignment horizontal="center" vertical="center" wrapText="1"/>
    </xf>
    <xf numFmtId="0" fontId="40" applyFont="1" fillId="7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40" applyFont="1" fillId="3" applyFill="1" borderId="11" applyBorder="1" xfId="0" quotePrefix="1" applyAlignment="1">
      <alignment horizontal="center" wrapText="1"/>
    </xf>
    <xf numFmtId="0" fontId="40" applyFont="1" fillId="3" applyFill="1" borderId="12" applyBorder="1" xfId="0" applyAlignment="1">
      <alignment horizontal="center"/>
    </xf>
    <xf numFmtId="0" fontId="40" applyFont="1" fillId="3" applyFill="1" borderId="13" applyBorder="1" xfId="0" applyAlignment="1">
      <alignment horizontal="center"/>
    </xf>
    <xf numFmtId="0" fontId="42" applyFont="1" fillId="0" borderId="0" xfId="0" applyAlignment="1">
      <alignment horizontal="center"/>
    </xf>
    <xf numFmtId="0" fontId="42" applyFont="1" fillId="0" borderId="0" xfId="0"/>
    <xf numFmtId="0" fontId="43" applyFont="1" fillId="0" borderId="0" xfId="0" applyAlignment="1">
      <alignment horizontal="center" vertical="center"/>
    </xf>
    <xf numFmtId="0" fontId="44" applyFont="1" fillId="0" borderId="0" xfId="0" applyAlignment="1">
      <alignment horizontal="center"/>
    </xf>
    <xf numFmtId="0" fontId="44" applyFont="1" fillId="0" borderId="0" xfId="0" applyAlignment="1">
      <alignment horizontal="center" vertical="center"/>
    </xf>
    <xf numFmtId="0" fontId="45" applyFont="1" fillId="5" applyFill="1" borderId="9" applyBorder="1" xfId="0" applyAlignment="1">
      <alignment horizontal="left" vertical="top"/>
    </xf>
    <xf numFmtId="0" fontId="45" applyFont="1" fillId="5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5" applyFont="1" fillId="0" borderId="11" applyBorder="1" xfId="0" applyAlignment="1">
      <alignment horizontal="center" vertical="center"/>
    </xf>
    <xf numFmtId="0" fontId="45" applyFont="1" fillId="0" borderId="12" applyBorder="1" xfId="0" applyAlignment="1">
      <alignment horizontal="center" vertical="center"/>
    </xf>
    <xf numFmtId="0" fontId="45" applyFont="1" fillId="0" borderId="13" applyBorder="1" xfId="0" applyAlignment="1">
      <alignment horizontal="center" vertical="center"/>
    </xf>
    <xf numFmtId="2" applyNumberFormat="1" fontId="45" applyFont="1" fillId="0" borderId="9" applyBorder="1" xfId="0" applyAlignment="1">
      <alignment horizontal="center" vertical="center"/>
    </xf>
    <xf numFmtId="0" fontId="46" applyFont="1" fillId="0" borderId="9" applyBorder="1" xfId="0"/>
    <xf numFmtId="4" applyNumberFormat="1" fontId="46" applyFont="1" fillId="0" borderId="9" applyBorder="1" xfId="0"/>
    <xf numFmtId="4" applyNumberFormat="1" fontId="46" applyFont="1" fillId="0" borderId="9" applyBorder="1" xfId="0" applyAlignment="1">
      <alignment vertical="center"/>
    </xf>
    <xf numFmtId="0" fontId="46" applyFont="1" fillId="8" applyFill="1" borderId="9" applyBorder="1" xfId="0"/>
    <xf numFmtId="4" applyNumberFormat="1" fontId="46" applyFont="1" fillId="8" applyFill="1" borderId="9" applyBorder="1" xfId="0"/>
    <xf numFmtId="0" fontId="45" applyFont="1" fillId="0" borderId="0" xfId="0" applyAlignment="1">
      <alignment horizontal="center"/>
    </xf>
    <xf numFmtId="0" fontId="45" applyFont="1" fillId="0" borderId="0" xfId="0"/>
    <xf numFmtId="0" fontId="1" applyFont="1" fillId="0" borderId="0" xfId="0" applyAlignment="1">
      <alignment horizontal="right"/>
    </xf>
    <xf numFmtId="0" fontId="1" applyFont="1" fillId="6" applyFill="1" borderId="0" xfId="0"/>
    <xf numFmtId="2" applyNumberFormat="1" fontId="1" applyFont="1" fillId="6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7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72" applyNumberFormat="1" fontId="30" applyFont="1" fillId="0" borderId="0" xfId="0"/>
    <xf numFmtId="172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9" applyFill="1" borderId="10" applyBorder="1" xfId="0" applyAlignment="1">
      <alignment horizontal="center" vertical="center" wrapText="1"/>
    </xf>
    <xf numFmtId="0" fontId="19" applyFont="1" fillId="9" applyFill="1" borderId="9" applyBorder="1" xfId="0" applyAlignment="1">
      <alignment horizontal="center" vertical="center" wrapText="1"/>
    </xf>
    <xf numFmtId="0" fontId="19" applyFont="1" fillId="9" applyFill="1" borderId="10" applyBorder="1" xfId="0" applyAlignment="1">
      <alignment horizontal="center" vertical="center" wrapText="1" textRotation="90"/>
    </xf>
    <xf numFmtId="0" fontId="19" applyFont="1" fillId="9" applyFill="1" borderId="9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/>
    </xf>
    <xf numFmtId="0" fontId="19" applyFont="1" fillId="9" applyFill="1" borderId="25" applyBorder="1" xfId="0" applyAlignment="1">
      <alignment horizontal="center" vertical="center" wrapText="1"/>
    </xf>
    <xf numFmtId="0" fontId="19" applyFont="1" fillId="9" applyFill="1" borderId="25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 vertical="center" wrapText="1"/>
    </xf>
    <xf numFmtId="0" fontId="30" applyFont="1" fillId="9" applyFill="1" borderId="9" applyBorder="1" xfId="0" applyAlignment="1">
      <alignment horizontal="center" vertical="center"/>
    </xf>
    <xf numFmtId="0" fontId="30" applyFont="1" fillId="9" applyFill="1" borderId="13" applyBorder="1" xfId="0" applyAlignment="1">
      <alignment horizontal="center" vertical="center"/>
    </xf>
    <xf numFmtId="0" fontId="30" applyFont="1" fillId="9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8" applyFont="1" fillId="0" borderId="9" applyBorder="1" xfId="0" applyAlignment="1">
      <alignment horizontal="center" vertical="center"/>
    </xf>
    <xf numFmtId="49" applyNumberFormat="1" fontId="49" applyFont="1" fillId="10" applyFill="1" borderId="9" applyBorder="1" xfId="2" applyProtection="1" applyAlignment="1">
      <alignment vertical="center" wrapText="1"/>
      <protection locked="0"/>
    </xf>
    <xf numFmtId="2" applyNumberFormat="1" fontId="51" applyFont="1" fillId="10" applyFill="1" borderId="9" applyBorder="1" xfId="3" applyAlignment="1">
      <alignment vertical="center" wrapText="1"/>
    </xf>
    <xf numFmtId="1" applyNumberFormat="1" fontId="48" applyFont="1" fillId="0" borderId="9" applyBorder="1" xfId="0" applyAlignment="1">
      <alignment horizontal="center" vertical="center"/>
    </xf>
    <xf numFmtId="0" fontId="52" applyFont="1" fillId="0" borderId="9" applyBorder="1" xfId="0" applyAlignment="1">
      <alignment horizontal="center" vertical="center"/>
    </xf>
    <xf numFmtId="173" applyNumberFormat="1" fontId="48" applyFont="1" fillId="0" borderId="9" applyBorder="1" xfId="0" applyAlignment="1">
      <alignment horizontal="center" vertical="center"/>
    </xf>
    <xf numFmtId="1" applyNumberFormat="1" fontId="53" applyFont="1" fillId="0" borderId="9" applyBorder="1" xfId="0" applyAlignment="1">
      <alignment horizontal="center" vertical="center"/>
    </xf>
    <xf numFmtId="1" applyNumberFormat="1" fontId="54" applyFont="1" fillId="0" borderId="9" applyBorder="1" xfId="0" applyAlignment="1">
      <alignment horizontal="center" vertical="center"/>
    </xf>
    <xf numFmtId="49" applyNumberFormat="1" fontId="48" applyFont="1" fillId="0" borderId="9" applyBorder="1" xfId="0" applyAlignment="1">
      <alignment horizontal="center" vertical="center" wrapText="1"/>
    </xf>
    <xf numFmtId="49" applyNumberFormat="1" fontId="48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9" applyFill="1" borderId="30" applyBorder="1" xfId="0" applyAlignment="1">
      <alignment horizontal="center" vertical="center"/>
    </xf>
    <xf numFmtId="0" fontId="24" applyFont="1" fillId="9" applyFill="1" borderId="31" applyBorder="1" xfId="0" applyAlignment="1">
      <alignment horizontal="center" vertical="center"/>
    </xf>
    <xf numFmtId="2" applyNumberFormat="1" fontId="24" applyFont="1" fillId="9" applyFill="1" borderId="32" applyBorder="1" xfId="0" applyAlignment="1">
      <alignment horizontal="center" vertical="center"/>
    </xf>
    <xf numFmtId="0" fontId="24" applyFont="1" fillId="9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172" applyNumberFormat="1" fontId="1" applyFont="1" fillId="0" borderId="0" xfId="0"/>
    <xf numFmtId="174" applyNumberFormat="1" fontId="36" applyFont="1" fillId="0" borderId="0" xfId="0"/>
    <xf numFmtId="49" applyNumberFormat="1" fontId="36" applyFont="1" fillId="0" borderId="0" xfId="0"/>
    <xf numFmtId="0" fontId="34" applyFont="1" fillId="0" borderId="0" xfId="0" quotePrefix="1"/>
    <xf numFmtId="14" applyNumberFormat="1" fontId="34" applyFont="1" fillId="0" borderId="0" xfId="0"/>
    <xf numFmtId="175" applyNumberFormat="1" fontId="1" applyFont="1" fillId="0" borderId="0" xfId="0"/>
    <xf numFmtId="4" applyNumberFormat="1" fontId="1" applyFont="1" fillId="0" borderId="0" xfId="0"/>
    <xf numFmtId="0" fontId="55" applyFont="1" fillId="0" borderId="0" xfId="0"/>
    <xf numFmtId="0" fontId="56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 vertical="top" wrapText="1"/>
    </xf>
    <xf numFmtId="0" fontId="57" applyFont="1" fillId="12" applyFill="1" borderId="0" xfId="0" applyAlignment="1">
      <alignment horizontal="center" vertical="top" wrapText="1"/>
    </xf>
    <xf numFmtId="0" fontId="58" applyFont="1" fillId="0" borderId="0" xfId="0" applyAlignment="1">
      <alignment vertical="top"/>
    </xf>
    <xf numFmtId="0" fontId="59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60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36" applyFont="1" fillId="0" borderId="0" xfId="0" applyAlignment="1">
      <alignment horizontal="left"/>
    </xf>
    <xf numFmtId="0" fontId="60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61" applyFont="1" fillId="12" applyFill="1" borderId="11" applyBorder="1" xfId="0" applyAlignment="1">
      <alignment horizontal="center" vertical="top"/>
    </xf>
    <xf numFmtId="0" fontId="61" applyFont="1" fillId="12" applyFill="1" borderId="12" applyBorder="1" xfId="0" applyAlignment="1">
      <alignment horizontal="center" vertical="top"/>
    </xf>
    <xf numFmtId="0" fontId="61" applyFont="1" fillId="12" applyFill="1" borderId="13" applyBorder="1" xfId="0" applyAlignment="1">
      <alignment horizontal="center" vertical="top"/>
    </xf>
    <xf numFmtId="0" fontId="61" applyFont="1" fillId="12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6" applyNumberFormat="1" fontId="62" applyFont="1" fillId="0" borderId="11" applyBorder="1" xfId="0" applyAlignment="1">
      <alignment horizontal="center" vertical="top" shrinkToFit="1"/>
    </xf>
    <xf numFmtId="176" applyNumberFormat="1" fontId="62" applyFont="1" fillId="0" borderId="12" applyBorder="1" xfId="0" applyAlignment="1">
      <alignment horizontal="center" vertical="top" shrinkToFit="1"/>
    </xf>
    <xf numFmtId="176" applyNumberFormat="1" fontId="62" applyFont="1" fillId="0" borderId="13" applyBorder="1" xfId="0" applyAlignment="1">
      <alignment horizontal="center" vertical="top" shrinkToFit="1"/>
    </xf>
    <xf numFmtId="0" fontId="63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6" applyNumberFormat="1" fontId="62" applyFont="1" fillId="13" applyFill="1" borderId="1" applyBorder="1" xfId="0" applyAlignment="1">
      <alignment horizontal="center" vertical="top" shrinkToFit="1"/>
    </xf>
    <xf numFmtId="176" applyNumberFormat="1" fontId="62" applyFont="1" fillId="13" applyFill="1" borderId="2" applyBorder="1" xfId="0" applyAlignment="1">
      <alignment horizontal="center" vertical="top" shrinkToFit="1"/>
    </xf>
    <xf numFmtId="176" applyNumberFormat="1" fontId="62" applyFont="1" fillId="13" applyFill="1" borderId="3" applyBorder="1" xfId="0" applyAlignment="1">
      <alignment horizontal="center" vertical="top" shrinkToFit="1"/>
    </xf>
    <xf numFmtId="0" fontId="59" applyFont="1" fillId="0" borderId="1" applyBorder="1" xfId="0" applyAlignment="1">
      <alignment horizontal="center" vertical="top" wrapText="1"/>
    </xf>
    <xf numFmtId="0" fontId="59" applyFont="1" fillId="0" borderId="2" applyBorder="1" xfId="0" applyAlignment="1">
      <alignment horizontal="center" vertical="top" wrapText="1"/>
    </xf>
    <xf numFmtId="0" fontId="59" applyFont="1" fillId="0" borderId="3" applyBorder="1" xfId="0" applyAlignment="1">
      <alignment horizontal="center" vertical="top" wrapText="1"/>
    </xf>
    <xf numFmtId="0" fontId="64" applyFont="1" fillId="12" applyFill="1" borderId="9" applyBorder="1" xfId="0" applyAlignment="1">
      <alignment horizontal="center" vertical="top" wrapText="1"/>
    </xf>
    <xf numFmtId="176" applyNumberFormat="1" fontId="65" applyFont="1" fillId="12" applyFill="1" borderId="11" applyBorder="1" xfId="0" applyAlignment="1">
      <alignment horizontal="center" vertical="top" shrinkToFit="1"/>
    </xf>
    <xf numFmtId="176" applyNumberFormat="1" fontId="65" applyFont="1" fillId="12" applyFill="1" borderId="12" applyBorder="1" xfId="0" applyAlignment="1">
      <alignment horizontal="center" vertical="top" shrinkToFit="1"/>
    </xf>
    <xf numFmtId="176" applyNumberFormat="1" fontId="65" applyFont="1" fillId="12" applyFill="1" borderId="13" applyBorder="1" xfId="0" applyAlignment="1">
      <alignment horizontal="center" vertical="top" shrinkToFit="1"/>
    </xf>
    <xf numFmtId="176" applyNumberFormat="1" fontId="65" applyFont="1" fillId="12" applyFill="1" borderId="9" applyBorder="1" xfId="0" applyAlignment="1">
      <alignment horizontal="center" vertical="top" shrinkToFit="1"/>
    </xf>
    <xf numFmtId="0" fontId="66" applyFont="1" fillId="0" borderId="0" xfId="0" applyAlignment="1">
      <alignment wrapText="1"/>
    </xf>
    <xf numFmtId="0" fontId="59" applyFont="1" fillId="0" borderId="0" xfId="0" applyAlignment="1">
      <alignment vertical="top" wrapText="1"/>
    </xf>
    <xf numFmtId="0" fontId="36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72" applyNumberFormat="1" fontId="1" applyFont="1" fillId="0" borderId="0" xfId="0" applyAlignment="1">
      <alignment horizontal="left" vertical="top" wrapText="1"/>
    </xf>
    <xf numFmtId="0" fontId="60" applyFont="1" fillId="0" borderId="0" xfId="0"/>
    <xf numFmtId="0" fontId="67" applyFont="1" fillId="0" borderId="0" xfId="0"/>
    <xf numFmtId="174" applyNumberFormat="1" fontId="67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8" applyFont="1" fillId="0" borderId="0" xfId="4"/>
    <xf numFmtId="0" fontId="69" applyFont="1" fillId="0" borderId="0" xfId="0" applyAlignment="1">
      <alignment horizontal="center" vertical="center"/>
    </xf>
    <xf numFmtId="0" fontId="70" applyFont="1" fillId="0" borderId="0" xfId="0"/>
    <xf numFmtId="0" fontId="71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eetMetadata" Target="/xl/metadata.xml"/><Relationship Id="rId13" Type="http://schemas.microsoft.com/office/2017/06/relationships/rdRichValueTypes" Target="/xl/richData/rdRichValueTypes.xml"/><Relationship Id="rId14" Type="http://schemas.microsoft.com/office/2017/06/relationships/rdRichValueStructure" Target="/xl/richData/rdrichvaluestructure.xml"/><Relationship Id="rId15" Type="http://schemas.microsoft.com/office/2017/06/relationships/rdRichValue" Target="/xl/richData/rdrichvalue.xml"/><Relationship Id="rId16" Type="http://schemas.microsoft.com/office/2017/06/relationships/rdArray" Target="/xl/richData/rdarray.xml"/><Relationship Id="rId1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10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3" Type="http://schemas.openxmlformats.org/officeDocument/2006/relationships/ctrlProp" Target="../ctrlProps/ctrlProp1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9746A-6158-4377-84BF-83E3169C3EF3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65E5D-DA28-444A-8D99-E70999D6ABCE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E33DF-B3CA-42DA-9383-4320E089F08A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65D-1183-4937-9529-59AB0869EC36}"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bestFit="1" width="13.140625" customWidth="1"/>
  </cols>
  <sheetData>
    <row r="1" ht="15">
      <c r="A1" s="330" t="s">
        <v>111</v>
      </c>
      <c r="B1" s="330"/>
      <c r="C1" s="331" t="s">
        <v>112</v>
      </c>
      <c r="D1" s="332"/>
      <c r="E1" s="332"/>
      <c r="G1" s="333"/>
    </row>
    <row r="2" ht="15">
      <c r="A2" s="330" t="s">
        <v>113</v>
      </c>
      <c r="B2" s="330"/>
      <c r="C2" s="334" t="s">
        <v>114</v>
      </c>
      <c r="D2" s="332"/>
      <c r="E2" s="332"/>
      <c r="G2" s="333"/>
    </row>
    <row r="3" ht="15">
      <c r="A3" s="330" t="s">
        <v>115</v>
      </c>
      <c r="B3" s="330"/>
      <c r="C3" s="335"/>
      <c r="D3" s="336"/>
      <c r="G3" s="333"/>
    </row>
    <row r="4" ht="15">
      <c r="A4" s="336"/>
      <c r="D4" s="332"/>
      <c r="E4" s="332"/>
      <c r="G4" s="333"/>
    </row>
    <row r="5" ht="15.75">
      <c r="A5" s="337" t="s">
        <v>116</v>
      </c>
      <c r="B5" s="337"/>
      <c r="C5" s="337"/>
      <c r="D5" s="337"/>
      <c r="E5" s="337"/>
      <c r="F5" s="337"/>
      <c r="G5" s="337"/>
    </row>
    <row r="6">
      <c r="A6" s="338" t="s">
        <v>117</v>
      </c>
      <c r="B6" s="338" t="s">
        <v>118</v>
      </c>
      <c r="C6" s="338" t="s">
        <v>119</v>
      </c>
      <c r="D6" s="339" t="s">
        <v>120</v>
      </c>
      <c r="E6" s="339"/>
      <c r="F6" s="338" t="s">
        <v>121</v>
      </c>
      <c r="G6" s="338" t="s">
        <v>122</v>
      </c>
    </row>
    <row r="7">
      <c r="A7" s="340"/>
      <c r="B7" s="340"/>
      <c r="C7" s="340"/>
      <c r="D7" s="341" t="s">
        <v>109</v>
      </c>
      <c r="E7" s="341" t="s">
        <v>123</v>
      </c>
      <c r="F7" s="340"/>
      <c r="G7" s="340"/>
    </row>
    <row r="8">
      <c r="A8" s="342">
        <v>1</v>
      </c>
      <c r="B8" s="343" t="s">
        <v>124</v>
      </c>
      <c r="C8" s="344">
        <v>3278428</v>
      </c>
      <c r="D8" s="345"/>
      <c r="E8" s="346"/>
      <c r="F8" s="347"/>
      <c r="G8" s="348"/>
      <c r="I8" s="349"/>
    </row>
    <row r="9">
      <c r="A9" s="342">
        <v>2</v>
      </c>
      <c r="B9" s="343"/>
      <c r="C9" s="350"/>
      <c r="D9" s="345"/>
      <c r="E9" s="346"/>
      <c r="F9" s="347"/>
      <c r="G9" s="348"/>
    </row>
    <row r="10">
      <c r="A10" s="342">
        <v>3</v>
      </c>
      <c r="B10" s="343"/>
      <c r="C10" s="350"/>
      <c r="D10" s="345"/>
      <c r="E10" s="346"/>
      <c r="F10" s="347"/>
      <c r="G10" s="348"/>
    </row>
    <row r="11">
      <c r="A11" s="342">
        <v>4</v>
      </c>
      <c r="B11" s="343"/>
      <c r="C11" s="350"/>
      <c r="D11" s="345"/>
      <c r="E11" s="346"/>
      <c r="F11" s="347"/>
      <c r="G11" s="348"/>
      <c r="H11" s="349"/>
      <c r="I11" s="349"/>
    </row>
    <row r="12">
      <c r="A12" s="342">
        <v>5</v>
      </c>
      <c r="B12" s="343"/>
      <c r="C12" s="350"/>
      <c r="D12" s="345"/>
      <c r="E12" s="346"/>
      <c r="F12" s="347"/>
      <c r="G12" s="348"/>
    </row>
    <row r="13">
      <c r="A13" s="342">
        <v>6</v>
      </c>
      <c r="B13" s="343"/>
      <c r="C13" s="350"/>
      <c r="D13" s="345"/>
      <c r="E13" s="346"/>
      <c r="F13" s="347"/>
      <c r="G13" s="348"/>
    </row>
    <row r="14">
      <c r="A14" s="342">
        <v>7</v>
      </c>
      <c r="B14" s="343"/>
      <c r="C14" s="350"/>
      <c r="D14" s="345"/>
      <c r="E14" s="346"/>
      <c r="F14" s="347"/>
      <c r="G14" s="348"/>
    </row>
    <row r="15">
      <c r="A15" s="342">
        <v>8</v>
      </c>
      <c r="B15" s="343"/>
      <c r="C15" s="350"/>
      <c r="D15" s="345"/>
      <c r="E15" s="346"/>
      <c r="F15" s="347"/>
      <c r="G15" s="348"/>
    </row>
    <row r="16">
      <c r="A16" s="342">
        <v>9</v>
      </c>
      <c r="B16" s="343"/>
      <c r="C16" s="350"/>
      <c r="D16" s="345"/>
      <c r="E16" s="346"/>
      <c r="F16" s="347"/>
      <c r="G16" s="348"/>
    </row>
    <row r="17">
      <c r="A17" s="342">
        <v>10</v>
      </c>
      <c r="B17" s="343"/>
      <c r="C17" s="350"/>
      <c r="D17" s="345"/>
      <c r="E17" s="346"/>
      <c r="F17" s="347">
        <f>C17-E17</f>
        <v>0</v>
      </c>
      <c r="G17" s="351"/>
    </row>
    <row r="18">
      <c r="A18" s="342">
        <v>11</v>
      </c>
      <c r="B18" s="343"/>
      <c r="C18" s="350"/>
      <c r="D18" s="345"/>
      <c r="E18" s="346"/>
      <c r="F18" s="347">
        <f>C18-E18</f>
        <v>0</v>
      </c>
      <c r="G18" s="351"/>
    </row>
    <row r="19">
      <c r="A19" s="342">
        <v>12</v>
      </c>
      <c r="B19" s="343"/>
      <c r="C19" s="350"/>
      <c r="D19" s="345"/>
      <c r="E19" s="346"/>
      <c r="F19" s="347">
        <f>C19-E19</f>
        <v>0</v>
      </c>
      <c r="G19" s="351"/>
      <c r="J19" s="349"/>
    </row>
    <row r="20">
      <c r="A20" s="352"/>
      <c r="B20" s="353"/>
      <c r="C20" s="354"/>
      <c r="D20" s="355"/>
      <c r="E20" s="356"/>
      <c r="F20" s="357"/>
      <c r="G20" s="358"/>
    </row>
    <row r="21">
      <c r="A21" s="0" t="s">
        <v>125</v>
      </c>
    </row>
    <row r="22" ht="15">
      <c r="A22" s="359" t="s">
        <v>112</v>
      </c>
    </row>
    <row r="26">
      <c r="A26" s="360" t="s">
        <v>126</v>
      </c>
    </row>
  </sheetData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0A640-85A3-49BC-AC54-FC07F7FAA510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61" t="s">
        <v>127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3"/>
    </row>
    <row r="2">
      <c r="A2" s="364" t="s">
        <v>128</v>
      </c>
      <c r="B2" s="364"/>
      <c r="C2" s="364"/>
      <c r="D2" s="365" t="s">
        <v>129</v>
      </c>
      <c r="E2" s="364" t="str">
        <f>'working sheet'!B6</f>
        <v>SSI/1181</v>
      </c>
      <c r="F2" s="364"/>
      <c r="G2" s="364"/>
      <c r="H2" s="364"/>
      <c r="I2" s="364"/>
      <c r="J2" s="364"/>
      <c r="K2" s="364"/>
      <c r="L2" s="364"/>
      <c r="M2" s="364"/>
    </row>
    <row r="3">
      <c r="A3" s="364" t="s">
        <v>130</v>
      </c>
      <c r="B3" s="364"/>
      <c r="C3" s="364"/>
      <c r="D3" s="366" t="s">
        <v>129</v>
      </c>
      <c r="E3" s="367">
        <f>'working sheet'!B8</f>
        <v>45964</v>
      </c>
      <c r="F3" s="368"/>
      <c r="G3" s="368"/>
      <c r="H3" s="368"/>
      <c r="I3" s="368"/>
      <c r="J3" s="368"/>
      <c r="K3" s="368"/>
      <c r="L3" s="368"/>
      <c r="M3" s="369"/>
    </row>
    <row r="4">
      <c r="A4" s="364" t="s">
        <v>131</v>
      </c>
      <c r="B4" s="364"/>
      <c r="C4" s="364"/>
      <c r="D4" s="370" t="s">
        <v>129</v>
      </c>
      <c r="E4" s="371" t="str">
        <f>'working sheet'!B5</f>
        <v>01 Oct 2025 To 31 Oct 2025</v>
      </c>
      <c r="F4" s="372"/>
      <c r="G4" s="372"/>
      <c r="H4" s="372"/>
      <c r="I4" s="372"/>
      <c r="J4" s="372"/>
      <c r="K4" s="372"/>
      <c r="L4" s="372"/>
      <c r="M4" s="373"/>
    </row>
    <row r="5">
      <c r="A5" s="364" t="s">
        <v>132</v>
      </c>
      <c r="B5" s="364"/>
      <c r="C5" s="364"/>
      <c r="D5" s="370" t="s">
        <v>129</v>
      </c>
      <c r="E5" s="371" t="s">
        <v>133</v>
      </c>
      <c r="F5" s="372"/>
      <c r="G5" s="372"/>
      <c r="H5" s="372"/>
      <c r="I5" s="372"/>
      <c r="J5" s="372"/>
      <c r="K5" s="372"/>
      <c r="L5" s="372"/>
      <c r="M5" s="373"/>
    </row>
    <row r="6">
      <c r="A6" s="364" t="s">
        <v>134</v>
      </c>
      <c r="B6" s="364"/>
      <c r="C6" s="364"/>
      <c r="D6" s="370" t="s">
        <v>129</v>
      </c>
      <c r="E6" s="374">
        <v>45286</v>
      </c>
      <c r="F6" s="375"/>
      <c r="G6" s="375"/>
      <c r="H6" s="375"/>
      <c r="I6" s="375"/>
      <c r="J6" s="375"/>
      <c r="K6" s="375"/>
      <c r="L6" s="375"/>
      <c r="M6" s="376"/>
    </row>
    <row r="7">
      <c r="A7" s="364" t="s">
        <v>135</v>
      </c>
      <c r="B7" s="364"/>
      <c r="C7" s="364"/>
      <c r="D7" s="370" t="s">
        <v>129</v>
      </c>
      <c r="E7" s="371" t="s">
        <v>136</v>
      </c>
      <c r="F7" s="372"/>
      <c r="G7" s="372"/>
      <c r="H7" s="372"/>
      <c r="I7" s="372"/>
      <c r="J7" s="372"/>
      <c r="K7" s="372"/>
      <c r="L7" s="372"/>
      <c r="M7" s="373"/>
    </row>
    <row r="8">
      <c r="A8" s="364" t="s">
        <v>13</v>
      </c>
      <c r="B8" s="364"/>
      <c r="C8" s="364"/>
      <c r="D8" s="370" t="s">
        <v>129</v>
      </c>
      <c r="E8" s="377">
        <v>101065975</v>
      </c>
      <c r="F8" s="378"/>
      <c r="G8" s="378"/>
      <c r="H8" s="378"/>
      <c r="I8" s="378"/>
      <c r="J8" s="378"/>
      <c r="K8" s="378"/>
      <c r="L8" s="378"/>
      <c r="M8" s="379"/>
    </row>
    <row r="9" ht="17.45" customHeight="1">
      <c r="A9" s="380" t="s">
        <v>137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2"/>
    </row>
    <row r="10" ht="30" customHeight="1">
      <c r="A10" s="383" t="s">
        <v>138</v>
      </c>
      <c r="B10" s="384" t="s">
        <v>139</v>
      </c>
      <c r="C10" s="385" t="s">
        <v>140</v>
      </c>
      <c r="D10" s="386" t="s">
        <v>141</v>
      </c>
      <c r="E10" s="387"/>
      <c r="F10" s="387"/>
      <c r="G10" s="388"/>
      <c r="H10" s="386" t="s">
        <v>142</v>
      </c>
      <c r="I10" s="388"/>
      <c r="J10" s="386" t="s">
        <v>143</v>
      </c>
      <c r="K10" s="388"/>
      <c r="L10" s="386" t="s">
        <v>144</v>
      </c>
      <c r="M10" s="388"/>
    </row>
    <row r="11" ht="30" customHeight="1">
      <c r="A11" s="389"/>
      <c r="B11" s="390"/>
      <c r="C11" s="391"/>
      <c r="D11" s="392" t="s">
        <v>145</v>
      </c>
      <c r="E11" s="392" t="s">
        <v>146</v>
      </c>
      <c r="F11" s="392" t="s">
        <v>42</v>
      </c>
      <c r="G11" s="392" t="s">
        <v>147</v>
      </c>
      <c r="H11" s="392" t="s">
        <v>146</v>
      </c>
      <c r="I11" s="392" t="s">
        <v>43</v>
      </c>
      <c r="J11" s="392" t="s">
        <v>146</v>
      </c>
      <c r="K11" s="392" t="s">
        <v>43</v>
      </c>
      <c r="L11" s="392" t="s">
        <v>146</v>
      </c>
      <c r="M11" s="392" t="s">
        <v>43</v>
      </c>
    </row>
    <row r="12">
      <c r="A12" s="393">
        <v>1</v>
      </c>
      <c r="B12" s="384"/>
      <c r="C12" s="394" t="s">
        <v>148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</row>
    <row r="13" ht="20.1" customHeight="1">
      <c r="A13" s="396"/>
      <c r="B13" s="397">
        <v>10</v>
      </c>
      <c r="C13" s="364" t="s">
        <v>149</v>
      </c>
      <c r="D13" s="398" t="s">
        <v>48</v>
      </c>
      <c r="E13" s="399">
        <v>24</v>
      </c>
      <c r="F13" s="400">
        <v>44891.63</v>
      </c>
      <c r="G13" s="400">
        <f>E13*F13</f>
        <v>1077399.1199999999</v>
      </c>
      <c r="H13" s="400">
        <v>20.810000000000002</v>
      </c>
      <c r="I13" s="400">
        <f>H13*F13</f>
        <v>934194.8203</v>
      </c>
      <c r="J13" s="401">
        <f>'FORM B-(Wage Reg.)'!F25/52</f>
        <v>1</v>
      </c>
      <c r="K13" s="402">
        <f>J13*F13</f>
        <v>44891.63</v>
      </c>
      <c r="L13" s="400">
        <f>H13+J13</f>
        <v>21.810000000000002</v>
      </c>
      <c r="M13" s="400">
        <f>I13+K13</f>
        <v>979086.4503</v>
      </c>
    </row>
    <row r="14" ht="20.1" customHeight="1">
      <c r="A14" s="396"/>
      <c r="B14" s="397">
        <v>10010</v>
      </c>
      <c r="C14" s="364" t="s">
        <v>150</v>
      </c>
      <c r="D14" s="398" t="s">
        <v>151</v>
      </c>
      <c r="E14" s="399">
        <v>1</v>
      </c>
      <c r="F14" s="400">
        <v>1</v>
      </c>
      <c r="G14" s="400">
        <f>E14*F14</f>
        <v>1</v>
      </c>
      <c r="H14" s="400">
        <v>58791.5</v>
      </c>
      <c r="I14" s="400">
        <f ref="I14:I16" t="shared" si="0">H14*F14</f>
        <v>58791.5</v>
      </c>
      <c r="J14" s="402">
        <f>DIFF!E14</f>
        <v>3929.25</v>
      </c>
      <c r="K14" s="402">
        <f>J14*F14</f>
        <v>3929.25</v>
      </c>
      <c r="L14" s="400">
        <f>H14+J14</f>
        <v>62720.75</v>
      </c>
      <c r="M14" s="400">
        <f ref="M14:M15" t="shared" si="1">I14+K14</f>
        <v>62720.75</v>
      </c>
    </row>
    <row r="15" ht="20.1" customHeight="1">
      <c r="A15" s="396"/>
      <c r="B15" s="397">
        <v>10011</v>
      </c>
      <c r="C15" s="364" t="s">
        <v>152</v>
      </c>
      <c r="D15" s="398" t="s">
        <v>151</v>
      </c>
      <c r="E15" s="403">
        <v>1</v>
      </c>
      <c r="F15" s="400">
        <v>1</v>
      </c>
      <c r="G15" s="400">
        <f>E15*F15</f>
        <v>1</v>
      </c>
      <c r="H15" s="400">
        <v>32000</v>
      </c>
      <c r="I15" s="400">
        <f t="shared" si="0"/>
        <v>32000</v>
      </c>
      <c r="J15" s="402">
        <v>0</v>
      </c>
      <c r="K15" s="402">
        <f>J15*F15</f>
        <v>0</v>
      </c>
      <c r="L15" s="400">
        <f>H15+J15</f>
        <v>32000</v>
      </c>
      <c r="M15" s="400">
        <f t="shared" si="1"/>
        <v>32000</v>
      </c>
    </row>
    <row r="16" ht="20.1" customHeight="1">
      <c r="A16" s="396"/>
      <c r="B16" s="397">
        <v>10012</v>
      </c>
      <c r="C16" s="364" t="s">
        <v>153</v>
      </c>
      <c r="D16" s="398" t="s">
        <v>154</v>
      </c>
      <c r="E16" s="403">
        <v>500000</v>
      </c>
      <c r="F16" s="400">
        <v>1</v>
      </c>
      <c r="G16" s="400">
        <f>E16*F16</f>
        <v>500000</v>
      </c>
      <c r="H16" s="400">
        <v>66657</v>
      </c>
      <c r="I16" s="400">
        <f t="shared" si="0"/>
        <v>66657</v>
      </c>
      <c r="J16" s="402">
        <v>0</v>
      </c>
      <c r="K16" s="402">
        <f>J16*F16</f>
        <v>0</v>
      </c>
      <c r="L16" s="400">
        <f>H16+J16</f>
        <v>66657</v>
      </c>
      <c r="M16" s="400">
        <f>I16+K16</f>
        <v>66657</v>
      </c>
    </row>
    <row r="17" ht="20.1" customHeight="1">
      <c r="A17" s="404"/>
      <c r="B17" s="405" t="s">
        <v>155</v>
      </c>
      <c r="C17" s="406" t="s">
        <v>156</v>
      </c>
      <c r="D17" s="407"/>
      <c r="E17" s="407"/>
      <c r="F17" s="408"/>
      <c r="G17" s="409">
        <f>SUM(G13:G16)</f>
        <v>1577401.1199999999</v>
      </c>
      <c r="H17" s="410" t="str">
        <f>"Claimed for"&amp;" "&amp;'working sheet'!B10&amp;" Month"</f>
        <v>Claimed for OCTOBER-2025 Month</v>
      </c>
      <c r="I17" s="411"/>
      <c r="J17" s="412"/>
      <c r="K17" s="413">
        <f>ROUND(SUM(K13:K16),0)</f>
        <v>48821</v>
      </c>
      <c r="L17" s="414" t="s">
        <v>157</v>
      </c>
      <c r="M17" s="366"/>
    </row>
    <row r="18" ht="20.1" customHeight="1">
      <c r="A18" s="404"/>
      <c r="B18" s="405"/>
      <c r="C18" s="415" t="s">
        <v>158</v>
      </c>
      <c r="D18" s="416"/>
      <c r="E18" s="416"/>
      <c r="F18" s="417"/>
      <c r="G18" s="418">
        <f>G17*18%</f>
        <v>283932.2016</v>
      </c>
      <c r="H18" s="410"/>
      <c r="I18" s="411"/>
      <c r="J18" s="412"/>
      <c r="K18" s="413">
        <f>ROUND(K17*18%,0)</f>
        <v>8788</v>
      </c>
      <c r="L18" s="419" t="s">
        <v>157</v>
      </c>
      <c r="M18" s="370"/>
    </row>
    <row r="19" ht="20.1" customHeight="1">
      <c r="A19" s="420"/>
      <c r="B19" s="408"/>
      <c r="C19" s="415" t="s">
        <v>159</v>
      </c>
      <c r="D19" s="416"/>
      <c r="E19" s="416"/>
      <c r="F19" s="417"/>
      <c r="G19" s="418">
        <f>SUM(G17:G18)</f>
        <v>1861333.3216</v>
      </c>
      <c r="H19" s="421"/>
      <c r="I19" s="422"/>
      <c r="J19" s="423"/>
      <c r="K19" s="413">
        <f>SUM(K17:K18)</f>
        <v>57609</v>
      </c>
      <c r="L19" s="419" t="s">
        <v>157</v>
      </c>
      <c r="M19" s="370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424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425" t="str">
        <f>"Total Bill Amount in words : "&amp;" "&amp;[1]!SpellNumber(K19)</f>
        <v>Total Bill Amount in words :  Rupees FiftySeven Thousand Six Hundred Nine Only 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7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428" t="s">
        <v>160</v>
      </c>
      <c r="B30" s="428"/>
      <c r="C30" s="428"/>
      <c r="D30" s="249"/>
      <c r="E30" s="249"/>
      <c r="F30" s="249"/>
      <c r="G30" s="249"/>
      <c r="H30" s="429"/>
      <c r="I30" s="249"/>
      <c r="J30" s="428" t="s">
        <v>161</v>
      </c>
      <c r="K30" s="428"/>
      <c r="L30" s="428"/>
      <c r="M30" s="428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67793-D7EC-41B3-A0F7-7BB4455EE875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430" t="s">
        <v>162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ht="21">
      <c r="A2" s="430" t="s">
        <v>163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ht="18.75">
      <c r="A3" s="431" t="str">
        <f>('working sheet'!B5)</f>
        <v>01 Oct 2025 To 31 Oct 2025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ht="18.75">
      <c r="A4" s="432" t="s">
        <v>164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ht="18.75">
      <c r="A5" s="432"/>
      <c r="B5" s="432"/>
      <c r="C5" s="432"/>
      <c r="D5" s="432"/>
      <c r="E5" s="432"/>
      <c r="F5" s="432"/>
      <c r="G5" s="432"/>
      <c r="H5" s="432"/>
      <c r="I5" s="432"/>
      <c r="J5" s="432"/>
      <c r="K5" s="432"/>
      <c r="L5" s="432"/>
    </row>
    <row r="6" ht="64.5" customHeight="1">
      <c r="A6" s="433" t="s">
        <v>165</v>
      </c>
      <c r="B6" s="433" t="s">
        <v>166</v>
      </c>
      <c r="C6" s="434" t="s">
        <v>167</v>
      </c>
      <c r="D6" s="434" t="s">
        <v>168</v>
      </c>
      <c r="E6" s="434" t="str">
        <f>'working sheet'!E2</f>
        <v>OLD WAGES AS ON 01.04.2025</v>
      </c>
      <c r="F6" s="434" t="str">
        <f>'working sheet'!F2</f>
        <v>NEW WAGES AS ON 01.10.2025</v>
      </c>
      <c r="G6" s="434" t="s">
        <v>169</v>
      </c>
      <c r="H6" s="434" t="s">
        <v>170</v>
      </c>
      <c r="I6" s="434" t="s">
        <v>171</v>
      </c>
      <c r="J6" s="434" t="s">
        <v>172</v>
      </c>
      <c r="K6" s="434" t="s">
        <v>173</v>
      </c>
      <c r="L6" s="434" t="s">
        <v>174</v>
      </c>
    </row>
    <row r="7" ht="39.95" customHeight="1">
      <c r="A7" s="274">
        <v>1</v>
      </c>
      <c r="B7" s="435" t="s">
        <v>175</v>
      </c>
      <c r="C7" s="274" t="s">
        <v>176</v>
      </c>
      <c r="D7" s="436">
        <v>2</v>
      </c>
      <c r="E7" s="436">
        <f>'working sheet'!E3</f>
        <v>695</v>
      </c>
      <c r="F7" s="436">
        <f>'working sheet'!F3</f>
        <v>760</v>
      </c>
      <c r="G7" s="436">
        <f>F7-E7</f>
        <v>65</v>
      </c>
      <c r="H7" s="436">
        <f>'FORM B-(Wage Reg.)'!F25</f>
        <v>52</v>
      </c>
      <c r="I7" s="436">
        <f>G7*H7</f>
        <v>3380</v>
      </c>
      <c r="J7" s="436">
        <f>I7*13%</f>
        <v>439.40000000000003</v>
      </c>
      <c r="K7" s="436">
        <f>I7*3.25%</f>
        <v>109.85000000000001</v>
      </c>
      <c r="L7" s="437">
        <f>+I7+J7+K7</f>
        <v>3929.25</v>
      </c>
    </row>
    <row r="8" ht="39.95" customHeight="1">
      <c r="A8" s="438" t="s">
        <v>177</v>
      </c>
      <c r="B8" s="439"/>
      <c r="C8" s="439"/>
      <c r="D8" s="439"/>
      <c r="E8" s="439"/>
      <c r="F8" s="439"/>
      <c r="G8" s="439"/>
      <c r="H8" s="439"/>
      <c r="I8" s="439"/>
      <c r="J8" s="439"/>
      <c r="K8" s="440"/>
      <c r="L8" s="441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42" t="s">
        <v>178</v>
      </c>
      <c r="C11" s="442"/>
      <c r="D11" s="442"/>
      <c r="E11" s="443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42" t="s">
        <v>179</v>
      </c>
      <c r="C12" s="442"/>
      <c r="D12" s="442"/>
      <c r="E12" s="444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42" t="s">
        <v>180</v>
      </c>
      <c r="C13" s="442"/>
      <c r="D13" s="442"/>
      <c r="E13" s="444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45" t="s">
        <v>181</v>
      </c>
      <c r="C14" s="445"/>
      <c r="D14" s="445"/>
      <c r="E14" s="446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47" t="s">
        <v>160</v>
      </c>
      <c r="B16" s="447"/>
      <c r="C16" s="447"/>
      <c r="D16" s="448"/>
      <c r="E16" s="448"/>
      <c r="F16" s="448"/>
      <c r="G16" s="448"/>
      <c r="H16" s="448"/>
      <c r="I16" s="447" t="s">
        <v>182</v>
      </c>
      <c r="J16" s="447"/>
      <c r="K16" s="447"/>
      <c r="L16" s="447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E3E27-12DB-415A-B4AD-7A69DA197C25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49" t="s">
        <v>183</v>
      </c>
      <c r="K9" s="449" t="s">
        <v>184</v>
      </c>
      <c r="L9" s="449"/>
      <c r="M9" s="449" t="s">
        <v>185</v>
      </c>
    </row>
    <row r="10">
      <c r="E10" s="450">
        <v>26</v>
      </c>
      <c r="F10" s="450">
        <v>695</v>
      </c>
      <c r="G10" s="450">
        <f>F10*E10</f>
        <v>18070</v>
      </c>
      <c r="H10" s="450">
        <v>1950</v>
      </c>
      <c r="I10" s="451">
        <f>G10*3.25%</f>
        <v>587.275</v>
      </c>
      <c r="J10" s="452">
        <f>G10*8.33%</f>
        <v>1505.231</v>
      </c>
      <c r="K10" s="452">
        <f>G10*4.81%</f>
        <v>869.1669999999999</v>
      </c>
      <c r="L10" s="452">
        <f>SUM(G10:K10)</f>
        <v>22981.673000000003</v>
      </c>
      <c r="M10" s="0">
        <f>L10*8%</f>
        <v>1838.5338400000003</v>
      </c>
    </row>
    <row r="13">
      <c r="K13" s="452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FB78B-3895-4150-929C-E2D626FD56EE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53" t="s">
        <v>186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I1" s="454" t="s">
        <v>187</v>
      </c>
      <c r="AJ1" s="454"/>
    </row>
    <row r="2" ht="21.75" customHeight="1">
      <c r="A2" s="453" t="s">
        <v>188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I2" s="454"/>
      <c r="AJ2" s="454"/>
    </row>
    <row r="3" ht="10.5" customHeight="1">
      <c r="A3" s="455"/>
      <c r="B3" s="455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I3" s="454"/>
      <c r="AJ3" s="454"/>
    </row>
    <row r="4" ht="30.75" customHeight="1" s="456" customFormat="1">
      <c r="A4" s="457" t="s">
        <v>189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  <c r="AC4" s="457"/>
      <c r="AD4" s="457"/>
      <c r="AE4" s="457"/>
      <c r="AF4" s="457"/>
      <c r="AI4" s="453">
        <v>1</v>
      </c>
      <c r="AJ4" s="333" t="s">
        <v>190</v>
      </c>
    </row>
    <row r="5" ht="22.5" customHeight="1" s="458" customFormat="1">
      <c r="A5" s="457"/>
      <c r="B5" s="457"/>
      <c r="C5" s="457"/>
      <c r="D5" s="457"/>
      <c r="E5" s="457"/>
      <c r="F5" s="457"/>
      <c r="G5" s="457"/>
      <c r="H5" s="459" t="s">
        <v>191</v>
      </c>
      <c r="I5" s="460"/>
      <c r="J5" s="460"/>
      <c r="K5" s="460"/>
      <c r="L5" s="460"/>
      <c r="M5" s="459" t="s">
        <v>192</v>
      </c>
      <c r="N5" s="460"/>
      <c r="O5" s="460"/>
      <c r="P5" s="460"/>
      <c r="Q5" s="460"/>
      <c r="R5" s="460"/>
      <c r="S5" s="460"/>
      <c r="T5" s="460"/>
      <c r="U5" s="461"/>
      <c r="V5" s="457" t="s">
        <v>193</v>
      </c>
      <c r="W5" s="457"/>
      <c r="X5" s="457"/>
      <c r="Y5" s="457"/>
      <c r="Z5" s="457"/>
      <c r="AA5" s="457" t="s">
        <v>194</v>
      </c>
      <c r="AB5" s="457"/>
      <c r="AC5" s="457"/>
      <c r="AD5" s="457"/>
      <c r="AE5" s="457"/>
      <c r="AF5" s="457"/>
      <c r="AI5" s="453">
        <v>2</v>
      </c>
      <c r="AJ5" s="333" t="s">
        <v>195</v>
      </c>
    </row>
    <row r="6" ht="22.5" customHeight="1" s="458" customFormat="1">
      <c r="A6" s="225" t="s">
        <v>196</v>
      </c>
      <c r="B6" s="225"/>
      <c r="C6" s="225"/>
      <c r="D6" s="225"/>
      <c r="E6" s="225"/>
      <c r="F6" s="225"/>
      <c r="G6" s="225"/>
      <c r="H6" s="462"/>
      <c r="I6" s="463"/>
      <c r="J6" s="463"/>
      <c r="K6" s="463"/>
      <c r="L6" s="463"/>
      <c r="M6" s="462" t="s">
        <v>197</v>
      </c>
      <c r="N6" s="463"/>
      <c r="O6" s="463"/>
      <c r="P6" s="463"/>
      <c r="Q6" s="463"/>
      <c r="R6" s="463"/>
      <c r="S6" s="463"/>
      <c r="T6" s="463"/>
      <c r="U6" s="464"/>
      <c r="V6" s="465"/>
      <c r="W6" s="465"/>
      <c r="X6" s="465"/>
      <c r="Y6" s="465"/>
      <c r="Z6" s="465"/>
      <c r="AA6" s="465"/>
      <c r="AB6" s="465"/>
      <c r="AC6" s="465"/>
      <c r="AD6" s="465"/>
      <c r="AE6" s="465"/>
      <c r="AF6" s="465"/>
      <c r="AI6" s="453">
        <v>3</v>
      </c>
      <c r="AJ6" s="333" t="s">
        <v>198</v>
      </c>
    </row>
    <row r="7" ht="22.5" customHeight="1" s="458" customFormat="1">
      <c r="A7" s="225" t="s">
        <v>199</v>
      </c>
      <c r="B7" s="225"/>
      <c r="C7" s="225"/>
      <c r="D7" s="225"/>
      <c r="E7" s="225"/>
      <c r="F7" s="225"/>
      <c r="G7" s="225"/>
      <c r="H7" s="466"/>
      <c r="I7" s="467"/>
      <c r="J7" s="467"/>
      <c r="K7" s="467"/>
      <c r="L7" s="467"/>
      <c r="M7" s="466"/>
      <c r="N7" s="467"/>
      <c r="O7" s="467"/>
      <c r="P7" s="467"/>
      <c r="Q7" s="467"/>
      <c r="R7" s="467"/>
      <c r="S7" s="467"/>
      <c r="T7" s="467"/>
      <c r="U7" s="468"/>
      <c r="V7" s="465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I7" s="453">
        <v>4</v>
      </c>
      <c r="AJ7" s="333" t="s">
        <v>200</v>
      </c>
    </row>
    <row r="8" ht="22.5" customHeight="1" s="458" customFormat="1">
      <c r="A8" s="225" t="s">
        <v>201</v>
      </c>
      <c r="B8" s="225"/>
      <c r="C8" s="225"/>
      <c r="D8" s="225"/>
      <c r="E8" s="225"/>
      <c r="F8" s="225"/>
      <c r="G8" s="225"/>
      <c r="H8" s="469"/>
      <c r="I8" s="470"/>
      <c r="J8" s="470"/>
      <c r="K8" s="470"/>
      <c r="L8" s="470"/>
      <c r="M8" s="469"/>
      <c r="N8" s="470"/>
      <c r="O8" s="470"/>
      <c r="P8" s="470"/>
      <c r="Q8" s="470"/>
      <c r="R8" s="470"/>
      <c r="S8" s="470"/>
      <c r="T8" s="470"/>
      <c r="U8" s="471"/>
      <c r="V8" s="472"/>
      <c r="W8" s="457"/>
      <c r="X8" s="457"/>
      <c r="Y8" s="457"/>
      <c r="Z8" s="457"/>
      <c r="AA8" s="472"/>
      <c r="AB8" s="472"/>
      <c r="AC8" s="472"/>
      <c r="AD8" s="472"/>
      <c r="AE8" s="472"/>
      <c r="AF8" s="472"/>
      <c r="AI8" s="453">
        <v>5</v>
      </c>
      <c r="AJ8" s="333" t="s">
        <v>202</v>
      </c>
    </row>
    <row r="9" ht="13.5" customHeight="1" s="458" customFormat="1">
      <c r="A9" s="473"/>
      <c r="B9" s="473"/>
      <c r="C9" s="473"/>
      <c r="D9" s="473"/>
      <c r="E9" s="473"/>
      <c r="F9" s="473"/>
      <c r="G9" s="473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53"/>
      <c r="S9" s="453"/>
      <c r="T9" s="453"/>
      <c r="U9" s="453"/>
      <c r="V9" s="474"/>
      <c r="W9" s="453"/>
      <c r="X9" s="453"/>
      <c r="Y9" s="453"/>
      <c r="Z9" s="453"/>
      <c r="AA9" s="474"/>
      <c r="AB9" s="474"/>
      <c r="AC9" s="474"/>
      <c r="AD9" s="474"/>
      <c r="AE9" s="474"/>
      <c r="AF9" s="474"/>
      <c r="AI9" s="453"/>
      <c r="AJ9" s="333"/>
    </row>
    <row r="10" ht="30" customHeight="1" s="458" customFormat="1">
      <c r="A10" s="475" t="s">
        <v>203</v>
      </c>
      <c r="B10" s="475"/>
      <c r="C10" s="475"/>
      <c r="D10" s="475"/>
      <c r="E10" s="475"/>
      <c r="F10" s="475"/>
      <c r="G10" s="475"/>
      <c r="H10" s="475"/>
      <c r="I10" s="476" t="s">
        <v>204</v>
      </c>
      <c r="J10" s="475" t="s">
        <v>22</v>
      </c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475"/>
      <c r="V10" s="475"/>
      <c r="W10" s="475"/>
      <c r="X10" s="475"/>
      <c r="Y10" s="475"/>
      <c r="Z10" s="475"/>
      <c r="AA10" s="475"/>
      <c r="AB10" s="475"/>
      <c r="AC10" s="475"/>
      <c r="AD10" s="475"/>
      <c r="AE10" s="475"/>
      <c r="AF10" s="475"/>
      <c r="AI10" s="453">
        <v>6</v>
      </c>
      <c r="AJ10" s="333" t="s">
        <v>205</v>
      </c>
    </row>
    <row r="11" ht="11.25" customHeight="1" s="458" customFormat="1">
      <c r="A11" s="475"/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7"/>
      <c r="T11" s="478"/>
      <c r="U11" s="478"/>
      <c r="V11" s="478"/>
      <c r="W11" s="478"/>
      <c r="X11" s="478"/>
      <c r="Y11" s="228"/>
      <c r="Z11" s="479"/>
      <c r="AA11" s="480"/>
      <c r="AB11" s="481"/>
      <c r="AC11" s="481"/>
      <c r="AD11" s="481"/>
      <c r="AE11" s="481"/>
      <c r="AF11" s="479"/>
      <c r="AI11" s="453"/>
      <c r="AJ11" s="333"/>
    </row>
    <row r="12" ht="30" customHeight="1" s="458" customFormat="1">
      <c r="A12" s="478" t="s">
        <v>206</v>
      </c>
      <c r="B12" s="478"/>
      <c r="C12" s="478"/>
      <c r="D12" s="478"/>
      <c r="E12" s="478"/>
      <c r="F12" s="478"/>
      <c r="G12" s="478"/>
      <c r="H12" s="478"/>
      <c r="I12" s="476" t="s">
        <v>204</v>
      </c>
      <c r="J12" s="475" t="s">
        <v>107</v>
      </c>
      <c r="K12" s="475"/>
      <c r="L12" s="475"/>
      <c r="M12" s="475"/>
      <c r="N12" s="475"/>
      <c r="O12" s="475"/>
      <c r="P12" s="475"/>
      <c r="Q12" s="475"/>
      <c r="R12" s="475"/>
      <c r="S12" s="475"/>
      <c r="T12" s="475"/>
      <c r="U12" s="475"/>
      <c r="V12" s="475"/>
      <c r="W12" s="475"/>
      <c r="X12" s="475"/>
      <c r="Y12" s="475"/>
      <c r="Z12" s="475"/>
      <c r="AA12" s="475"/>
      <c r="AB12" s="475"/>
      <c r="AC12" s="475"/>
      <c r="AD12" s="475"/>
      <c r="AE12" s="475"/>
      <c r="AF12" s="475"/>
      <c r="AI12" s="453">
        <v>7</v>
      </c>
      <c r="AJ12" s="333" t="s">
        <v>207</v>
      </c>
    </row>
    <row r="13" ht="8.25" customHeight="1" s="458" customFormat="1">
      <c r="A13" s="482"/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I13" s="453"/>
      <c r="AJ13" s="333"/>
    </row>
    <row r="14" ht="30" customHeight="1" s="458" customFormat="1">
      <c r="A14" s="475" t="s">
        <v>208</v>
      </c>
      <c r="B14" s="475"/>
      <c r="C14" s="475"/>
      <c r="D14" s="475"/>
      <c r="E14" s="475"/>
      <c r="F14" s="475"/>
      <c r="G14" s="475"/>
      <c r="H14" s="475"/>
      <c r="I14" s="476" t="s">
        <v>204</v>
      </c>
      <c r="J14" s="475" t="s">
        <v>209</v>
      </c>
      <c r="K14" s="475"/>
      <c r="L14" s="475"/>
      <c r="M14" s="475"/>
      <c r="N14" s="475"/>
      <c r="O14" s="475"/>
      <c r="P14" s="475"/>
      <c r="Q14" s="475"/>
      <c r="R14" s="475"/>
      <c r="S14" s="475"/>
      <c r="T14" s="475"/>
      <c r="U14" s="475"/>
      <c r="V14" s="475"/>
      <c r="W14" s="475"/>
      <c r="X14" s="475"/>
      <c r="Y14" s="475"/>
      <c r="Z14" s="475"/>
      <c r="AA14" s="475"/>
      <c r="AB14" s="475"/>
      <c r="AC14" s="475"/>
      <c r="AD14" s="475"/>
      <c r="AE14" s="475"/>
      <c r="AF14" s="475"/>
      <c r="AI14" s="453"/>
      <c r="AJ14" s="333"/>
    </row>
    <row r="15" ht="6" customHeight="1" s="458" customFormat="1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3"/>
      <c r="T15" s="483"/>
      <c r="U15" s="483"/>
      <c r="V15" s="483"/>
      <c r="W15" s="483"/>
      <c r="X15" s="483"/>
      <c r="Y15" s="483"/>
      <c r="Z15" s="483"/>
      <c r="AA15" s="483"/>
      <c r="AB15" s="483"/>
      <c r="AC15" s="483"/>
      <c r="AD15" s="483"/>
      <c r="AE15" s="483"/>
      <c r="AF15" s="483"/>
      <c r="AI15" s="453"/>
      <c r="AJ15" s="333"/>
    </row>
    <row r="16" ht="30" customHeight="1" s="458" customFormat="1">
      <c r="A16" s="475" t="s">
        <v>210</v>
      </c>
      <c r="B16" s="475"/>
      <c r="C16" s="475"/>
      <c r="D16" s="475"/>
      <c r="E16" s="475"/>
      <c r="F16" s="475"/>
      <c r="G16" s="475"/>
      <c r="H16" s="475"/>
      <c r="I16" s="476" t="s">
        <v>204</v>
      </c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5"/>
      <c r="V16" s="475"/>
      <c r="W16" s="475"/>
      <c r="X16" s="475"/>
      <c r="Y16" s="484" t="s">
        <v>211</v>
      </c>
      <c r="Z16" s="484"/>
      <c r="AA16" s="484"/>
      <c r="AB16" s="485" t="s">
        <v>212</v>
      </c>
      <c r="AC16" s="485"/>
      <c r="AD16" s="485"/>
      <c r="AE16" s="485"/>
      <c r="AF16" s="484"/>
      <c r="AI16" s="453"/>
      <c r="AJ16" s="333"/>
    </row>
    <row r="17" ht="8.25" customHeight="1" s="458" customFormat="1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478"/>
      <c r="L17" s="478"/>
      <c r="M17" s="478"/>
      <c r="N17" s="478"/>
      <c r="O17" s="478"/>
      <c r="P17" s="478"/>
      <c r="Q17" s="478"/>
      <c r="R17" s="478"/>
      <c r="S17" s="473"/>
      <c r="T17" s="473"/>
      <c r="U17" s="473"/>
      <c r="V17" s="473"/>
      <c r="W17" s="473"/>
      <c r="X17" s="483"/>
      <c r="Y17" s="479"/>
      <c r="Z17" s="483"/>
      <c r="AA17" s="483"/>
      <c r="AB17" s="483"/>
      <c r="AC17" s="483"/>
      <c r="AD17" s="483"/>
      <c r="AE17" s="483"/>
      <c r="AF17" s="483"/>
      <c r="AI17" s="453"/>
      <c r="AJ17" s="333"/>
    </row>
    <row r="18" ht="40.5" customHeight="1" s="458" customFormat="1">
      <c r="A18" s="475" t="s">
        <v>213</v>
      </c>
      <c r="B18" s="475"/>
      <c r="C18" s="475"/>
      <c r="D18" s="475"/>
      <c r="E18" s="475"/>
      <c r="F18" s="475"/>
      <c r="G18" s="475"/>
      <c r="H18" s="475"/>
      <c r="I18" s="476" t="s">
        <v>204</v>
      </c>
      <c r="J18" s="475" t="s">
        <v>214</v>
      </c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83" t="s">
        <v>215</v>
      </c>
      <c r="Z18" s="476"/>
      <c r="AA18" s="476"/>
      <c r="AB18" s="476"/>
      <c r="AC18" s="476"/>
      <c r="AD18" s="476"/>
      <c r="AE18" s="476"/>
      <c r="AF18" s="476"/>
      <c r="AI18" s="453"/>
      <c r="AJ18" s="333"/>
    </row>
    <row r="19" ht="8.25" customHeight="1" s="458" customFormat="1">
      <c r="A19" s="482"/>
      <c r="B19" s="482"/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3"/>
      <c r="AD19" s="483"/>
      <c r="AE19" s="483"/>
      <c r="AF19" s="483"/>
      <c r="AI19" s="453"/>
      <c r="AJ19" s="333"/>
    </row>
    <row r="20" ht="21" customHeight="1">
      <c r="A20" s="486" t="s">
        <v>139</v>
      </c>
      <c r="B20" s="486" t="s">
        <v>216</v>
      </c>
      <c r="C20" s="487" t="s">
        <v>217</v>
      </c>
      <c r="D20" s="486" t="s">
        <v>218</v>
      </c>
      <c r="E20" s="486" t="s">
        <v>219</v>
      </c>
      <c r="F20" s="487" t="s">
        <v>220</v>
      </c>
      <c r="G20" s="488" t="s">
        <v>221</v>
      </c>
      <c r="H20" s="486" t="s">
        <v>222</v>
      </c>
      <c r="I20" s="486" t="s">
        <v>199</v>
      </c>
      <c r="J20" s="488" t="s">
        <v>223</v>
      </c>
      <c r="K20" s="488" t="s">
        <v>224</v>
      </c>
      <c r="L20" s="489" t="s">
        <v>225</v>
      </c>
      <c r="M20" s="489" t="s">
        <v>226</v>
      </c>
      <c r="N20" s="488" t="s">
        <v>227</v>
      </c>
      <c r="O20" s="488" t="s">
        <v>228</v>
      </c>
      <c r="P20" s="488" t="s">
        <v>229</v>
      </c>
      <c r="Q20" s="488" t="s">
        <v>230</v>
      </c>
      <c r="R20" s="487" t="s">
        <v>231</v>
      </c>
      <c r="S20" s="490" t="s">
        <v>232</v>
      </c>
      <c r="T20" s="490"/>
      <c r="U20" s="490"/>
      <c r="V20" s="490"/>
      <c r="W20" s="490"/>
      <c r="X20" s="490"/>
      <c r="Y20" s="490"/>
      <c r="Z20" s="490"/>
      <c r="AA20" s="487" t="s">
        <v>233</v>
      </c>
      <c r="AB20" s="487" t="s">
        <v>234</v>
      </c>
      <c r="AC20" s="487" t="s">
        <v>235</v>
      </c>
      <c r="AD20" s="487" t="s">
        <v>236</v>
      </c>
      <c r="AE20" s="487" t="s">
        <v>237</v>
      </c>
      <c r="AF20" s="487" t="s">
        <v>238</v>
      </c>
      <c r="AI20" s="453"/>
      <c r="AJ20" s="333"/>
    </row>
    <row r="21" ht="114" customHeight="1">
      <c r="A21" s="491"/>
      <c r="B21" s="491"/>
      <c r="C21" s="487"/>
      <c r="D21" s="491"/>
      <c r="E21" s="491"/>
      <c r="F21" s="487"/>
      <c r="G21" s="492"/>
      <c r="H21" s="491"/>
      <c r="I21" s="491"/>
      <c r="J21" s="492"/>
      <c r="K21" s="492"/>
      <c r="L21" s="489"/>
      <c r="M21" s="489"/>
      <c r="N21" s="492"/>
      <c r="O21" s="492"/>
      <c r="P21" s="492"/>
      <c r="Q21" s="492"/>
      <c r="R21" s="487"/>
      <c r="S21" s="489" t="s">
        <v>239</v>
      </c>
      <c r="T21" s="489" t="s">
        <v>240</v>
      </c>
      <c r="U21" s="489" t="s">
        <v>241</v>
      </c>
      <c r="V21" s="489" t="s">
        <v>242</v>
      </c>
      <c r="W21" s="489" t="s">
        <v>243</v>
      </c>
      <c r="X21" s="487" t="s">
        <v>244</v>
      </c>
      <c r="Y21" s="489" t="s">
        <v>245</v>
      </c>
      <c r="Z21" s="487" t="s">
        <v>246</v>
      </c>
      <c r="AA21" s="487"/>
      <c r="AB21" s="487"/>
      <c r="AC21" s="487"/>
      <c r="AD21" s="487"/>
      <c r="AE21" s="487"/>
      <c r="AF21" s="487"/>
    </row>
    <row r="22" ht="22.5" customHeight="1" s="456" customFormat="1">
      <c r="A22" s="493">
        <v>1</v>
      </c>
      <c r="B22" s="493" t="s">
        <v>247</v>
      </c>
      <c r="C22" s="494">
        <v>2</v>
      </c>
      <c r="D22" s="495">
        <v>3</v>
      </c>
      <c r="E22" s="495" t="s">
        <v>248</v>
      </c>
      <c r="F22" s="494">
        <v>4</v>
      </c>
      <c r="G22" s="494">
        <v>5</v>
      </c>
      <c r="H22" s="494">
        <v>6</v>
      </c>
      <c r="I22" s="494">
        <v>7</v>
      </c>
      <c r="J22" s="494">
        <v>8</v>
      </c>
      <c r="K22" s="494">
        <v>9</v>
      </c>
      <c r="L22" s="494">
        <v>10</v>
      </c>
      <c r="M22" s="494" t="s">
        <v>249</v>
      </c>
      <c r="N22" s="494" t="s">
        <v>250</v>
      </c>
      <c r="O22" s="494" t="s">
        <v>251</v>
      </c>
      <c r="P22" s="494" t="s">
        <v>252</v>
      </c>
      <c r="Q22" s="494" t="s">
        <v>253</v>
      </c>
      <c r="R22" s="494">
        <v>11</v>
      </c>
      <c r="S22" s="494">
        <v>12</v>
      </c>
      <c r="T22" s="494">
        <v>13</v>
      </c>
      <c r="U22" s="494">
        <v>14</v>
      </c>
      <c r="V22" s="494">
        <v>15</v>
      </c>
      <c r="W22" s="494">
        <v>16</v>
      </c>
      <c r="X22" s="496">
        <v>17</v>
      </c>
      <c r="Y22" s="494">
        <v>18</v>
      </c>
      <c r="Z22" s="494">
        <v>19</v>
      </c>
      <c r="AA22" s="494">
        <v>20</v>
      </c>
      <c r="AB22" s="494">
        <v>21</v>
      </c>
      <c r="AC22" s="494">
        <v>22</v>
      </c>
      <c r="AD22" s="494">
        <v>23</v>
      </c>
      <c r="AE22" s="494">
        <v>24</v>
      </c>
      <c r="AF22" s="494">
        <v>25</v>
      </c>
    </row>
    <row r="23" ht="84" s="497" customFormat="1">
      <c r="A23" s="498">
        <v>1</v>
      </c>
      <c r="B23" s="498" t="s">
        <v>254</v>
      </c>
      <c r="C23" s="499" t="s">
        <v>255</v>
      </c>
      <c r="D23" s="500">
        <v>760</v>
      </c>
      <c r="E23" s="501">
        <v>19760</v>
      </c>
      <c r="F23" s="502">
        <v>26</v>
      </c>
      <c r="G23" s="503"/>
      <c r="H23" s="501">
        <v>19760</v>
      </c>
      <c r="I23" s="501"/>
      <c r="J23" s="498"/>
      <c r="K23" s="498"/>
      <c r="L23" s="498"/>
      <c r="M23" s="498"/>
      <c r="N23" s="498"/>
      <c r="O23" s="498"/>
      <c r="P23" s="498"/>
      <c r="Q23" s="498"/>
      <c r="R23" s="504">
        <v>19760</v>
      </c>
      <c r="S23" s="501">
        <v>1800</v>
      </c>
      <c r="T23" s="498">
        <v>149</v>
      </c>
      <c r="U23" s="498"/>
      <c r="V23" s="498"/>
      <c r="W23" s="498"/>
      <c r="X23" s="498"/>
      <c r="Y23" s="501"/>
      <c r="Z23" s="504">
        <v>1949</v>
      </c>
      <c r="AA23" s="505">
        <v>17811</v>
      </c>
      <c r="AB23" s="501">
        <f>IF(H23&gt;15000,15000*13%,H23*13%)</f>
        <v>1950</v>
      </c>
      <c r="AC23" s="501">
        <f>IF(H23&gt;21000,21000*3.25%,H23*3.25%)</f>
        <v>642.2</v>
      </c>
      <c r="AD23" s="506" t="s">
        <v>256</v>
      </c>
      <c r="AE23" s="506" t="s">
        <v>257</v>
      </c>
      <c r="AF23" s="507" t="s">
        <v>258</v>
      </c>
      <c r="AG23" s="508"/>
      <c r="AH23" s="508"/>
      <c r="AI23" s="508"/>
      <c r="AJ23" s="508"/>
    </row>
    <row r="24" ht="84.75" s="497" customFormat="1">
      <c r="A24" s="498">
        <v>2</v>
      </c>
      <c r="B24" s="498" t="s">
        <v>259</v>
      </c>
      <c r="C24" s="499" t="s">
        <v>260</v>
      </c>
      <c r="D24" s="500">
        <v>760</v>
      </c>
      <c r="E24" s="501">
        <v>19760</v>
      </c>
      <c r="F24" s="502">
        <v>26</v>
      </c>
      <c r="G24" s="503"/>
      <c r="H24" s="501">
        <v>19760</v>
      </c>
      <c r="I24" s="501"/>
      <c r="J24" s="498"/>
      <c r="K24" s="498"/>
      <c r="L24" s="498"/>
      <c r="M24" s="498"/>
      <c r="N24" s="498"/>
      <c r="O24" s="498"/>
      <c r="P24" s="498"/>
      <c r="Q24" s="498"/>
      <c r="R24" s="504">
        <v>19760</v>
      </c>
      <c r="S24" s="501">
        <v>1800</v>
      </c>
      <c r="T24" s="498">
        <v>149</v>
      </c>
      <c r="U24" s="498"/>
      <c r="V24" s="498"/>
      <c r="W24" s="498"/>
      <c r="X24" s="498"/>
      <c r="Y24" s="501"/>
      <c r="Z24" s="504">
        <v>1949</v>
      </c>
      <c r="AA24" s="505">
        <v>17811</v>
      </c>
      <c r="AB24" s="501">
        <f>IF(H24&gt;15000,15000*13%,H24*13%)</f>
        <v>1950</v>
      </c>
      <c r="AC24" s="501">
        <f>IF(H24&gt;21000,21000*3.25%,H24*3.25%)</f>
        <v>642.2</v>
      </c>
      <c r="AD24" s="506" t="s">
        <v>256</v>
      </c>
      <c r="AE24" s="506" t="s">
        <v>257</v>
      </c>
      <c r="AF24" s="507" t="s">
        <v>258</v>
      </c>
      <c r="AG24" s="508"/>
      <c r="AH24" s="508"/>
      <c r="AI24" s="508"/>
      <c r="AJ24" s="508"/>
    </row>
    <row r="25" ht="30" customHeight="1" s="509" customFormat="1">
      <c r="A25" s="510"/>
      <c r="B25" s="511"/>
      <c r="C25" s="512" t="s">
        <v>174</v>
      </c>
      <c r="D25" s="513">
        <f ref="D25:AC25" t="shared" si="0">SUM(D23:D24)</f>
        <v>1520</v>
      </c>
      <c r="E25" s="513">
        <f t="shared" si="0"/>
        <v>39520</v>
      </c>
      <c r="F25" s="513">
        <f t="shared" si="0"/>
        <v>52</v>
      </c>
      <c r="G25" s="513">
        <f t="shared" si="0"/>
        <v>0</v>
      </c>
      <c r="H25" s="513">
        <f t="shared" si="0"/>
        <v>39520</v>
      </c>
      <c r="I25" s="513">
        <f t="shared" si="0"/>
        <v>0</v>
      </c>
      <c r="J25" s="513">
        <f t="shared" si="0"/>
        <v>0</v>
      </c>
      <c r="K25" s="513">
        <f t="shared" si="0"/>
        <v>0</v>
      </c>
      <c r="L25" s="513">
        <f t="shared" si="0"/>
        <v>0</v>
      </c>
      <c r="M25" s="513">
        <f t="shared" si="0"/>
        <v>0</v>
      </c>
      <c r="N25" s="513">
        <f t="shared" si="0"/>
        <v>0</v>
      </c>
      <c r="O25" s="513">
        <f t="shared" si="0"/>
        <v>0</v>
      </c>
      <c r="P25" s="513">
        <f t="shared" si="0"/>
        <v>0</v>
      </c>
      <c r="Q25" s="513">
        <f t="shared" si="0"/>
        <v>0</v>
      </c>
      <c r="R25" s="513">
        <f t="shared" si="0"/>
        <v>39520</v>
      </c>
      <c r="S25" s="513">
        <f t="shared" si="0"/>
        <v>3600</v>
      </c>
      <c r="T25" s="513">
        <f t="shared" si="0"/>
        <v>298</v>
      </c>
      <c r="U25" s="513">
        <f t="shared" si="0"/>
        <v>0</v>
      </c>
      <c r="V25" s="513">
        <f t="shared" si="0"/>
        <v>0</v>
      </c>
      <c r="W25" s="513">
        <f t="shared" si="0"/>
        <v>0</v>
      </c>
      <c r="X25" s="513">
        <f t="shared" si="0"/>
        <v>0</v>
      </c>
      <c r="Y25" s="513">
        <f t="shared" si="0"/>
        <v>0</v>
      </c>
      <c r="Z25" s="513">
        <f t="shared" si="0"/>
        <v>3898</v>
      </c>
      <c r="AA25" s="513">
        <f t="shared" si="0"/>
        <v>35622</v>
      </c>
      <c r="AB25" s="513">
        <f t="shared" si="0"/>
        <v>3900</v>
      </c>
      <c r="AC25" s="513">
        <f t="shared" si="0"/>
        <v>1284.4</v>
      </c>
      <c r="AD25" s="513"/>
      <c r="AE25" s="513"/>
      <c r="AF25" s="513"/>
    </row>
    <row r="26" ht="30" customHeight="1" s="509" customFormat="1">
      <c r="C26" s="514"/>
      <c r="D26" s="515"/>
      <c r="E26" s="515"/>
      <c r="F26" s="516"/>
      <c r="G26" s="516"/>
      <c r="H26" s="516"/>
      <c r="I26" s="516"/>
      <c r="J26" s="516"/>
      <c r="K26" s="516"/>
      <c r="L26" s="516"/>
      <c r="M26" s="516"/>
      <c r="N26" s="516"/>
      <c r="O26" s="516"/>
      <c r="P26" s="516"/>
      <c r="Q26" s="516"/>
      <c r="R26" s="516"/>
      <c r="S26" s="516"/>
      <c r="T26" s="516"/>
      <c r="U26" s="516"/>
      <c r="V26" s="516"/>
      <c r="W26" s="516"/>
      <c r="X26" s="516"/>
      <c r="Y26" s="516"/>
      <c r="Z26" s="516"/>
      <c r="AA26" s="516"/>
      <c r="AB26" s="516"/>
      <c r="AC26" s="516"/>
      <c r="AD26" s="516"/>
      <c r="AE26" s="516"/>
    </row>
    <row r="27">
      <c r="R27" s="517"/>
    </row>
    <row r="28" ht="18.75" s="51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33006-559B-4AB9-8E94-E6D1775BBFAF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360"/>
      <c r="E2" s="360" t="s">
        <v>261</v>
      </c>
      <c r="F2" s="360" t="s">
        <v>262</v>
      </c>
    </row>
    <row r="3">
      <c r="A3" s="360"/>
      <c r="B3" s="452"/>
      <c r="E3" s="0">
        <v>695</v>
      </c>
      <c r="F3" s="0">
        <v>760</v>
      </c>
    </row>
    <row r="4">
      <c r="A4" s="360" t="s">
        <v>109</v>
      </c>
      <c r="B4" s="519">
        <v>45964</v>
      </c>
    </row>
    <row r="5">
      <c r="A5" s="360" t="s">
        <v>263</v>
      </c>
      <c r="B5" s="0" t="str">
        <f>WgPrd</f>
        <v>01 Oct 2025 To 31 Oct 2025</v>
      </c>
    </row>
    <row r="6">
      <c r="A6" s="360" t="s">
        <v>128</v>
      </c>
      <c r="B6" s="360" t="s">
        <v>264</v>
      </c>
    </row>
    <row r="7">
      <c r="A7" s="360" t="s">
        <v>265</v>
      </c>
      <c r="B7" s="0">
        <f>B2/52</f>
        <v>0</v>
      </c>
    </row>
    <row r="8">
      <c r="A8" s="0" t="s">
        <v>130</v>
      </c>
      <c r="B8" s="520">
        <v>45964</v>
      </c>
    </row>
    <row r="9">
      <c r="A9" s="360" t="s">
        <v>266</v>
      </c>
      <c r="B9" s="0">
        <v>22</v>
      </c>
      <c r="C9" s="0" t="str">
        <f>A9&amp;B9</f>
        <v>RA BILL NO-22</v>
      </c>
    </row>
    <row r="10">
      <c r="A10" s="360" t="s">
        <v>267</v>
      </c>
      <c r="B10" s="521" t="s">
        <v>268</v>
      </c>
    </row>
    <row r="12">
      <c r="A12" s="0" t="s">
        <v>269</v>
      </c>
      <c r="B12" s="0">
        <v>2511430013888</v>
      </c>
      <c r="C12" s="0" t="s">
        <v>270</v>
      </c>
      <c r="D12" s="522" t="s">
        <v>271</v>
      </c>
    </row>
    <row r="13">
      <c r="A13" s="0" t="s">
        <v>272</v>
      </c>
      <c r="B13" s="360" t="s">
        <v>273</v>
      </c>
      <c r="C13" s="0" t="s">
        <v>272</v>
      </c>
      <c r="D13" s="0">
        <v>43210</v>
      </c>
    </row>
    <row r="14">
      <c r="A14" s="0" t="s">
        <v>274</v>
      </c>
      <c r="B14" s="523" t="s">
        <v>275</v>
      </c>
      <c r="C14" s="0" t="s">
        <v>274</v>
      </c>
      <c r="D14" s="523">
        <v>45972</v>
      </c>
    </row>
    <row r="15">
      <c r="D15" s="524"/>
    </row>
    <row r="16">
      <c r="A16" s="360" t="s">
        <v>276</v>
      </c>
      <c r="B16" s="525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24A56-5D17-42C3-9AE6-F95E4F850410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526"/>
      <c r="I1" s="526" t="s">
        <v>277</v>
      </c>
    </row>
    <row r="2" ht="15">
      <c r="G2" s="526"/>
      <c r="I2" s="526" t="s">
        <v>278</v>
      </c>
    </row>
    <row r="3" ht="15">
      <c r="G3" s="526"/>
      <c r="I3" s="526" t="s">
        <v>279</v>
      </c>
    </row>
    <row r="4" ht="15">
      <c r="G4" s="526"/>
      <c r="I4" s="526" t="s">
        <v>280</v>
      </c>
    </row>
    <row r="5" ht="15">
      <c r="G5" s="526"/>
      <c r="I5" s="526" t="s">
        <v>281</v>
      </c>
    </row>
    <row r="6" ht="15">
      <c r="G6" s="526"/>
      <c r="I6" s="526" t="s">
        <v>282</v>
      </c>
    </row>
    <row r="8" ht="15.75" customHeight="1">
      <c r="A8" s="527" t="s">
        <v>283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</row>
    <row r="9">
      <c r="B9" s="528"/>
      <c r="C9" s="528"/>
      <c r="D9" s="528"/>
      <c r="E9" s="528"/>
      <c r="F9" s="528"/>
      <c r="G9" s="352"/>
      <c r="J9" s="529" t="s">
        <v>284</v>
      </c>
      <c r="K9" s="529"/>
    </row>
    <row r="10" ht="21" customHeight="1">
      <c r="A10" s="530" t="str">
        <f>"Subject: Particulars of PF Contribution for the Month of "&amp;'working sheet'!B10</f>
        <v>Subject: Particulars of PF Contribution for the Month of OCTOBER-2025</v>
      </c>
      <c r="B10" s="530"/>
      <c r="C10" s="530"/>
      <c r="D10" s="530"/>
      <c r="E10" s="530"/>
      <c r="F10" s="530"/>
      <c r="G10" s="530"/>
      <c r="H10" s="530"/>
      <c r="I10" s="530"/>
      <c r="J10" s="530"/>
      <c r="K10" s="530"/>
    </row>
    <row r="11" ht="15">
      <c r="A11" s="531" t="s">
        <v>285</v>
      </c>
      <c r="B11" s="531"/>
      <c r="C11" s="531"/>
      <c r="D11" s="531"/>
      <c r="E11" s="531"/>
      <c r="F11" s="531"/>
    </row>
    <row r="12" ht="15.75">
      <c r="A12" s="532" t="s">
        <v>286</v>
      </c>
      <c r="B12" s="532"/>
      <c r="C12" s="532"/>
      <c r="D12" s="532"/>
      <c r="E12" s="532"/>
    </row>
    <row r="13" ht="15.75">
      <c r="A13" s="532" t="s">
        <v>287</v>
      </c>
      <c r="B13" s="533"/>
      <c r="C13" s="533"/>
      <c r="D13" s="533"/>
    </row>
    <row r="14" ht="15.75">
      <c r="A14" s="532" t="s">
        <v>288</v>
      </c>
      <c r="B14" s="533"/>
      <c r="C14" s="533"/>
      <c r="D14" s="533"/>
    </row>
    <row r="15" ht="15.75">
      <c r="A15" s="532" t="s">
        <v>289</v>
      </c>
      <c r="B15" s="533"/>
      <c r="C15" s="533"/>
      <c r="D15" s="533"/>
    </row>
    <row r="16" ht="15.75">
      <c r="A16" s="532" t="s">
        <v>290</v>
      </c>
      <c r="B16" s="533"/>
      <c r="C16" s="533"/>
      <c r="D16" s="533"/>
      <c r="L16" s="360"/>
    </row>
    <row r="17" ht="15.75">
      <c r="A17" s="532" t="s">
        <v>291</v>
      </c>
      <c r="B17" s="533"/>
      <c r="C17" s="533"/>
      <c r="D17" s="533"/>
      <c r="L17" s="360"/>
    </row>
    <row r="18" ht="15.75">
      <c r="A18" s="532" t="s">
        <v>292</v>
      </c>
      <c r="B18" s="532"/>
      <c r="C18" s="532"/>
      <c r="D18" s="532"/>
      <c r="E18" s="532"/>
    </row>
    <row r="19" ht="15.75">
      <c r="A19" s="532" t="s">
        <v>293</v>
      </c>
      <c r="B19" s="533"/>
      <c r="C19" s="533"/>
      <c r="D19" s="533"/>
    </row>
    <row r="20" ht="15.75">
      <c r="A20" s="534" t="s">
        <v>294</v>
      </c>
      <c r="B20" s="534"/>
      <c r="C20" s="534"/>
      <c r="D20" s="534"/>
    </row>
    <row r="21" ht="15.75">
      <c r="A21" s="228" t="s">
        <v>295</v>
      </c>
      <c r="B21" s="228"/>
      <c r="C21" s="228"/>
      <c r="D21" s="228"/>
    </row>
    <row r="22" ht="15.75">
      <c r="A22" s="228" t="s">
        <v>296</v>
      </c>
      <c r="B22" s="228"/>
      <c r="C22" s="228"/>
      <c r="D22" s="228"/>
      <c r="E22" s="228"/>
    </row>
    <row r="23" ht="15.75">
      <c r="A23" s="360" t="s">
        <v>297</v>
      </c>
    </row>
    <row r="24" ht="15.75">
      <c r="A24" s="535" t="s">
        <v>298</v>
      </c>
      <c r="B24" s="535"/>
      <c r="C24" s="535"/>
      <c r="D24" s="535"/>
    </row>
    <row r="25" ht="15.75">
      <c r="A25" s="535" t="s">
        <v>299</v>
      </c>
      <c r="B25" s="535"/>
      <c r="C25" s="535"/>
      <c r="D25" s="535"/>
      <c r="E25" s="535"/>
    </row>
    <row r="26" ht="15.75">
      <c r="A26" s="483" t="str">
        <f>"      (a)  EPF Challan No. "&amp;'working sheet'!B12</f>
        <v>      (a)  EPF Challan No. 2511430013888</v>
      </c>
      <c r="B26" s="483"/>
      <c r="C26" s="483"/>
      <c r="D26" s="483"/>
      <c r="E26" s="536"/>
      <c r="F26" s="483" t="s">
        <v>300</v>
      </c>
      <c r="G26" s="536" t="str">
        <f>'working sheet'!B13</f>
        <v>17,69,632</v>
      </c>
      <c r="H26" s="483" t="s">
        <v>274</v>
      </c>
      <c r="I26" s="537" t="str">
        <f>'working sheet'!B14</f>
        <v>14/11/2025</v>
      </c>
    </row>
    <row r="27" ht="15.75">
      <c r="A27" s="538" t="s">
        <v>301</v>
      </c>
      <c r="B27" s="538"/>
      <c r="C27" s="538"/>
      <c r="D27" s="538"/>
      <c r="E27" s="538"/>
      <c r="F27" s="538"/>
    </row>
    <row r="28" ht="15.75">
      <c r="A28" s="483" t="str">
        <f>"      (a)  ESI Challan No. "&amp;'working sheet'!D12</f>
        <v>      (a)  ESI Challan No. 08125144313365</v>
      </c>
      <c r="B28" s="483"/>
      <c r="C28" s="228"/>
      <c r="F28" s="483" t="s">
        <v>300</v>
      </c>
      <c r="G28" s="539">
        <f>'working sheet'!D13</f>
        <v>43210</v>
      </c>
      <c r="H28" s="483" t="s">
        <v>274</v>
      </c>
      <c r="I28" s="537">
        <f>'working sheet'!D14</f>
        <v>45972</v>
      </c>
    </row>
    <row r="29" ht="15.75">
      <c r="A29" s="538"/>
      <c r="B29" s="538"/>
      <c r="C29" s="538"/>
      <c r="D29" s="538"/>
      <c r="E29" s="538"/>
      <c r="F29" s="538"/>
    </row>
    <row r="31" ht="15">
      <c r="A31" s="540" t="s">
        <v>302</v>
      </c>
      <c r="B31" s="541"/>
      <c r="C31" s="542"/>
      <c r="D31" s="540" t="s">
        <v>303</v>
      </c>
      <c r="E31" s="541"/>
      <c r="F31" s="541"/>
      <c r="G31" s="542"/>
      <c r="H31" s="543" t="s">
        <v>304</v>
      </c>
      <c r="I31" s="543"/>
      <c r="J31" s="543"/>
      <c r="K31" s="543"/>
    </row>
    <row r="32" ht="15.75">
      <c r="A32" s="544" t="s">
        <v>305</v>
      </c>
      <c r="B32" s="544"/>
      <c r="C32" s="544"/>
      <c r="D32" s="545" t="s">
        <v>157</v>
      </c>
      <c r="E32" s="546"/>
      <c r="F32" s="546"/>
      <c r="G32" s="547"/>
      <c r="H32" s="548" t="s">
        <v>157</v>
      </c>
      <c r="I32" s="548"/>
      <c r="J32" s="548"/>
      <c r="K32" s="548"/>
    </row>
    <row r="33" ht="15.75" customHeight="1">
      <c r="A33" s="549" t="s">
        <v>306</v>
      </c>
      <c r="B33" s="550"/>
      <c r="C33" s="551"/>
      <c r="D33" s="552" t="s">
        <v>157</v>
      </c>
      <c r="E33" s="553"/>
      <c r="F33" s="553"/>
      <c r="G33" s="554"/>
      <c r="H33" s="548" t="s">
        <v>157</v>
      </c>
      <c r="I33" s="548"/>
      <c r="J33" s="548"/>
      <c r="K33" s="548"/>
    </row>
    <row r="34" ht="15.75">
      <c r="A34" s="555" t="s">
        <v>307</v>
      </c>
      <c r="B34" s="556"/>
      <c r="C34" s="557"/>
      <c r="D34" s="552">
        <v>2</v>
      </c>
      <c r="E34" s="553"/>
      <c r="F34" s="553"/>
      <c r="G34" s="554"/>
      <c r="H34" s="548">
        <v>739</v>
      </c>
      <c r="I34" s="548"/>
      <c r="J34" s="548"/>
      <c r="K34" s="548"/>
    </row>
    <row r="35" ht="15.75" customHeight="1">
      <c r="A35" s="555" t="s">
        <v>308</v>
      </c>
      <c r="B35" s="556"/>
      <c r="C35" s="557"/>
      <c r="D35" s="552" t="s">
        <v>157</v>
      </c>
      <c r="E35" s="553"/>
      <c r="F35" s="553"/>
      <c r="G35" s="554"/>
      <c r="H35" s="548" t="s">
        <v>157</v>
      </c>
      <c r="I35" s="548"/>
      <c r="J35" s="548"/>
      <c r="K35" s="548"/>
    </row>
    <row r="36" ht="15.75">
      <c r="A36" s="558" t="s">
        <v>309</v>
      </c>
      <c r="B36" s="558"/>
      <c r="C36" s="558"/>
      <c r="D36" s="559">
        <f>SUM(D32:E35)</f>
        <v>2</v>
      </c>
      <c r="E36" s="560"/>
      <c r="F36" s="560"/>
      <c r="G36" s="561"/>
      <c r="H36" s="562"/>
      <c r="I36" s="562"/>
      <c r="J36" s="562"/>
      <c r="K36" s="562"/>
    </row>
    <row r="38" ht="15.75">
      <c r="A38" s="563"/>
      <c r="B38" s="563"/>
      <c r="C38" s="563"/>
      <c r="D38" s="359" t="s">
        <v>310</v>
      </c>
    </row>
    <row r="41" ht="21" customHeight="1">
      <c r="A41" s="564" t="s">
        <v>311</v>
      </c>
      <c r="B41" s="565" t="s">
        <v>312</v>
      </c>
      <c r="C41" s="565"/>
      <c r="D41" s="528"/>
    </row>
    <row r="42" ht="15.75">
      <c r="A42" s="564" t="s">
        <v>313</v>
      </c>
      <c r="B42" s="566">
        <f>I28</f>
        <v>45972</v>
      </c>
      <c r="C42" s="528"/>
      <c r="D42" s="528"/>
    </row>
    <row r="43" ht="15.75">
      <c r="A43" s="564"/>
      <c r="B43" s="567"/>
      <c r="C43" s="528"/>
      <c r="D43" s="528"/>
    </row>
    <row r="44" ht="15.75">
      <c r="A44" s="564"/>
      <c r="B44" s="567"/>
      <c r="C44" s="528"/>
      <c r="D44" s="528"/>
    </row>
    <row r="45" ht="15.75">
      <c r="A45" s="564"/>
      <c r="B45" s="567"/>
      <c r="C45" s="528"/>
      <c r="D45" s="528"/>
    </row>
    <row r="46" ht="15.75">
      <c r="A46" s="564"/>
      <c r="B46" s="567"/>
      <c r="C46" s="528"/>
      <c r="D46" s="528"/>
    </row>
    <row r="47" ht="15.75">
      <c r="A47" s="564"/>
      <c r="B47" s="567"/>
      <c r="C47" s="528"/>
      <c r="D47" s="528"/>
    </row>
    <row r="48"/>
    <row r="49" ht="15">
      <c r="F49" s="526"/>
      <c r="I49" s="526" t="s">
        <v>277</v>
      </c>
    </row>
    <row r="50" ht="15">
      <c r="F50" s="526"/>
      <c r="I50" s="526" t="s">
        <v>278</v>
      </c>
    </row>
    <row r="51" ht="15">
      <c r="F51" s="526"/>
      <c r="I51" s="526" t="s">
        <v>279</v>
      </c>
    </row>
    <row r="52" ht="15">
      <c r="F52" s="526"/>
      <c r="I52" s="526" t="s">
        <v>280</v>
      </c>
    </row>
    <row r="53" ht="15">
      <c r="F53" s="526"/>
      <c r="I53" s="526" t="s">
        <v>281</v>
      </c>
    </row>
    <row r="54" ht="15">
      <c r="F54" s="526"/>
      <c r="I54" s="526" t="s">
        <v>282</v>
      </c>
    </row>
    <row r="55" ht="15.75">
      <c r="G55" s="568"/>
      <c r="I55" s="568"/>
    </row>
    <row r="56" ht="15">
      <c r="A56" s="569" t="str">
        <f>"Invoice No.: "&amp;'working sheet'!B6</f>
        <v>Invoice No.: SSI/1181</v>
      </c>
      <c r="G56" s="570"/>
      <c r="H56" s="571">
        <f>'working sheet'!B8</f>
        <v>45964</v>
      </c>
      <c r="I56" s="571"/>
      <c r="J56" s="571"/>
      <c r="K56" s="571"/>
    </row>
    <row r="57" ht="15.75">
      <c r="A57" s="572"/>
    </row>
    <row r="58" ht="15.75">
      <c r="A58" s="573" t="s">
        <v>314</v>
      </c>
    </row>
    <row r="59" ht="15.75">
      <c r="A59" s="573" t="s">
        <v>315</v>
      </c>
    </row>
    <row r="60" ht="15.75" customHeight="1">
      <c r="A60" s="573" t="s">
        <v>316</v>
      </c>
      <c r="B60" s="574"/>
      <c r="C60" s="574"/>
      <c r="D60" s="574"/>
      <c r="E60" s="574"/>
    </row>
    <row r="61">
      <c r="A61" s="575"/>
    </row>
    <row r="62" ht="15">
      <c r="A62" s="576" t="s">
        <v>317</v>
      </c>
      <c r="B62" s="576"/>
      <c r="C62" s="576"/>
      <c r="D62" s="576"/>
      <c r="E62" s="576"/>
      <c r="F62" s="576"/>
      <c r="G62" s="576"/>
      <c r="H62" s="576"/>
      <c r="I62" s="576"/>
      <c r="J62" s="576"/>
      <c r="K62" s="576"/>
    </row>
    <row r="63" ht="15.75">
      <c r="A63" s="572"/>
    </row>
    <row r="64" ht="14.25">
      <c r="A64" s="577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77" t="s">
        <v>318</v>
      </c>
    </row>
    <row r="67" ht="14.25">
      <c r="A67" s="577" t="s">
        <v>319</v>
      </c>
    </row>
    <row r="68" ht="15.75">
      <c r="A68" s="572"/>
      <c r="B68" s="526"/>
      <c r="C68" s="526"/>
      <c r="D68" s="526"/>
      <c r="E68" s="526"/>
      <c r="F68" s="526"/>
      <c r="G68" s="526"/>
      <c r="H68" s="526"/>
      <c r="I68" s="526"/>
    </row>
    <row r="69" ht="15">
      <c r="A69" s="577" t="s">
        <v>320</v>
      </c>
      <c r="B69" s="526"/>
      <c r="C69" s="526"/>
      <c r="D69" s="526"/>
      <c r="E69" s="526"/>
      <c r="F69" s="526"/>
      <c r="G69" s="526"/>
      <c r="H69" s="526"/>
      <c r="I69" s="526"/>
    </row>
    <row r="70" ht="15">
      <c r="A70" s="577"/>
      <c r="B70" s="526"/>
      <c r="C70" s="526"/>
      <c r="D70" s="526"/>
      <c r="E70" s="526"/>
      <c r="F70" s="526"/>
      <c r="G70" s="526"/>
      <c r="H70" s="526"/>
      <c r="I70" s="526"/>
    </row>
    <row r="71" ht="15">
      <c r="A71" s="577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526"/>
      <c r="C71" s="526"/>
      <c r="D71" s="526"/>
      <c r="E71" s="526"/>
      <c r="F71" s="526"/>
      <c r="G71" s="526"/>
      <c r="H71" s="526"/>
      <c r="I71" s="526"/>
    </row>
    <row r="72" ht="15">
      <c r="A72" s="577" t="s">
        <v>321</v>
      </c>
      <c r="B72" s="526"/>
      <c r="C72" s="526"/>
      <c r="D72" s="526"/>
      <c r="E72" s="526"/>
      <c r="F72" s="526"/>
      <c r="G72" s="526"/>
      <c r="H72" s="526"/>
      <c r="I72" s="526"/>
    </row>
    <row r="73" ht="15">
      <c r="A73" s="577"/>
      <c r="B73" s="526"/>
      <c r="C73" s="526"/>
      <c r="D73" s="526"/>
      <c r="E73" s="526"/>
      <c r="F73" s="526"/>
      <c r="G73" s="526"/>
      <c r="H73" s="526"/>
      <c r="I73" s="526"/>
    </row>
    <row r="74" ht="14.25">
      <c r="A74" s="577" t="str">
        <f>"The  total  bill  amount  is  INR  "&amp;'working sheet'!B16</f>
        <v>The  total  bill  amount  is  INR  57609</v>
      </c>
      <c r="E74" s="578" t="str">
        <f>[1]!SpellNumber('working sheet'!B16)</f>
        <v>Rupees FiftySeven Thousand Six Hundred Nine Only </v>
      </c>
    </row>
    <row r="75" ht="15.75">
      <c r="A75" s="572"/>
    </row>
    <row r="76" ht="14.25">
      <c r="A76" s="577" t="s">
        <v>322</v>
      </c>
    </row>
    <row r="77" ht="15">
      <c r="A77" s="577" t="s">
        <v>323</v>
      </c>
      <c r="B77" s="526"/>
    </row>
    <row r="78" ht="15">
      <c r="A78" s="577" t="s">
        <v>324</v>
      </c>
      <c r="B78" s="526"/>
    </row>
    <row r="79" ht="15">
      <c r="A79" s="577" t="s">
        <v>325</v>
      </c>
      <c r="B79" s="526"/>
    </row>
    <row r="80" ht="15">
      <c r="A80" s="577" t="s">
        <v>326</v>
      </c>
      <c r="B80" s="526"/>
    </row>
    <row r="81" ht="15">
      <c r="A81" s="577" t="s">
        <v>327</v>
      </c>
      <c r="B81" s="526"/>
    </row>
    <row r="83" ht="14.25">
      <c r="A83" s="577" t="s">
        <v>328</v>
      </c>
    </row>
    <row r="85" ht="15">
      <c r="A85" s="577" t="s">
        <v>329</v>
      </c>
      <c r="B85" s="526"/>
      <c r="C85" s="526"/>
    </row>
    <row r="86" ht="15">
      <c r="A86" s="577" t="s">
        <v>330</v>
      </c>
      <c r="B86" s="526"/>
      <c r="C86" s="526"/>
    </row>
    <row r="87" ht="15">
      <c r="A87" s="577" t="s">
        <v>277</v>
      </c>
      <c r="B87" s="526"/>
      <c r="C87" s="526"/>
    </row>
    <row r="88" ht="15">
      <c r="A88" s="577" t="s">
        <v>331</v>
      </c>
      <c r="B88" s="526"/>
      <c r="C88" s="526"/>
    </row>
    <row r="91" ht="14.25">
      <c r="A91" s="577"/>
    </row>
    <row r="92" ht="14.25">
      <c r="A92" s="577"/>
    </row>
    <row r="93" ht="14.25">
      <c r="A93" s="577"/>
    </row>
    <row r="94" ht="14.25">
      <c r="A94" s="577" t="s">
        <v>332</v>
      </c>
    </row>
    <row r="95" ht="14.25">
      <c r="A95" s="577" t="s">
        <v>333</v>
      </c>
    </row>
    <row r="96" ht="14.25">
      <c r="A96" s="577" t="s">
        <v>334</v>
      </c>
    </row>
    <row r="97" ht="14.25">
      <c r="A97" s="577" t="s">
        <v>335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