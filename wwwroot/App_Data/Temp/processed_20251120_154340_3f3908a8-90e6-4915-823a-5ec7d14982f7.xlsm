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sheet.main+xml" PartName="/xl/workbook.xml"/>
  <Override ContentType="application/vnd.openxmlformats-officedocument.spreadsheetml.worksheet+xml" PartName="/xl/worksheets/sheet1.xml"/>
  <Override ContentType="application/vnd.openxmlformats-officedocument.spreadsheetml.styles+xml" PartName="/xl/styles.xml"/>
  <Override ContentType="application/vnd.openxmlformats-officedocument.drawing+xml" PartName="/xl/drawings/drawing1.xml"/>
  <Default ContentType="image/jpeg" Extension="jpg"/>
  <Default ContentType="image/png" Extension="png"/>
  <Override ContentType="application/vnd.openxmlformats-officedocument.spreadsheetml.worksheet+xml" PartName="/xl/worksheets/sheet2.xml"/>
  <Override ContentType="application/vnd.openxmlformats-officedocument.drawing+xml" PartName="/xl/drawings/drawing2.xml"/>
  <Override ContentType="application/vnd.openxmlformats-officedocument.spreadsheetml.worksheet+xml" PartName="/xl/worksheets/sheet3.xml"/>
  <Override ContentType="application/vnd.openxmlformats-officedocument.drawing+xml" PartName="/xl/drawings/drawing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vmlDrawing" PartName="/xl/drawings/vmlDrawing9.vml"/>
  <Override ContentType="application/vnd.openxmlformats-officedocument.drawing+xml" PartName="/xl/drawings/drawing9.xml"/>
  <Override ContentType="application/vnd.ms-excel.controlproperties+xml" PartName="/xl/ctrlProps/ctrlProp1.xml"/>
  <Override ContentType="application/vnd.openxmlformats-officedocument.spreadsheetml.worksheet+xml" PartName="/xl/worksheets/sheet10.xml"/>
  <Override ContentType="application/vnd.openxmlformats-officedocument.drawing+xml" PartName="/xl/drawings/drawing10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text/plain" PartName="/EPPlusLicense.txt"/>
  <Override ContentType="application/vnd.openxmlformats-officedocument.spreadsheetml.sheetMetadata+xml" PartName="/xl/metadata.xml"/>
  <Override ContentType="application/vnd.ms-excel.rdrichvaluetypes+xml" PartName="/xl/richData/rdRichValueTypes.xml"/>
  <Override ContentType="application/vnd.ms-excel.rdrichvaluestructure+xml" PartName="/xl/richData/rdrichvaluestructure.xml"/>
  <Override ContentType="application/vnd.ms-excel.rdrichvalue+xml" PartName="/xl/richData/rdrichvalue.xml"/>
  <Override ContentType="application/vnd.ms-excel.rdarray+xml" PartName="/xl/richData/rdarray.xml"/>
  <Override ContentType="application/vnd.openxmlformats-officedocument.spreadsheetml.sharedStrings+xml" PartName="/xl/sharedStrings.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:r="http://schemas.openxmlformats.org/officeDocument/2006/relationships" xmlns="http://schemas.openxmlformats.org/spreadsheetml/2006/main">
  <bookViews>
    <workbookView/>
  </bookViews>
  <sheets>
    <sheet name="Credit Note" sheetId="1" r:id="rId1"/>
    <sheet name="Tax Invoice" sheetId="2" r:id="rId3"/>
    <sheet name="MOP" sheetId="3" r:id="rId4"/>
    <sheet name="Sheet1" sheetId="4" r:id="rId5"/>
    <sheet name="AOC" sheetId="5" r:id="rId6"/>
    <sheet name="DIFF" sheetId="6" r:id="rId7"/>
    <sheet name="Sheet2" sheetId="7" r:id="rId8"/>
    <sheet name="FORM B-(Wage Reg.)" sheetId="8" r:id="rId9"/>
    <sheet name="working sheet" sheetId="9" r:id="rId10"/>
    <sheet name="PERFORMA PFD" sheetId="10" r:id="rId11"/>
  </sheets>
  <definedNames>
    <definedName name="_xlnm._FilterDatabase" localSheetId="7" hidden="1">'FORM B-(Wage Reg.)'!$A$24:$AI$25</definedName>
    <definedName name="_xlnm.Print_Area" localSheetId="0">'Credit Note'!$A$1:$L$57</definedName>
    <definedName name="_xlnm.Print_Area" localSheetId="5">DIFF!$A$1:$L$16</definedName>
    <definedName name="_xlnm.Print_Area" localSheetId="7">'FORM B-(Wage Reg.)'!$A$1:$AF$25</definedName>
    <definedName name="_xlnm.Print_Area" localSheetId="2">MOP!$A$1:$K$37</definedName>
    <definedName name="_xlnm.Print_Area" localSheetId="9">'PERFORMA PFD'!$A$1:$M$97</definedName>
    <definedName name="_xlnm.Print_Area" localSheetId="1">'Tax Invoice'!$A$1:$L$55</definedName>
    <definedName name="_xlnm.Print_Titles" localSheetId="7">'FORM B-(Wage Reg.)'!$1:$22</definedName>
    <definedName name="CompName">'FORM B-(Wage Reg.)'!$J$10</definedName>
    <definedName name="CompPerson">'FORM B-(Wage Reg.)'!$J$12</definedName>
    <definedName name="CompPrincName">'FORM B-(Wage Reg.)'!$J$18</definedName>
    <definedName name="DetRw">'FORM B-(Wage Reg.)'!$A$24</definedName>
    <definedName name="HeadRw">'FORM B-(Wage Reg.)'!$A$20</definedName>
    <definedName name="LIN">'FORM B-(Wage Reg.)'!$J$14</definedName>
    <definedName name="PrincLIN">'FORM B-(Wage Reg.)'!$J$16</definedName>
    <definedName name="SNRw">'FORM B-(Wage Reg.)'!$A$22</definedName>
    <definedName name="WgPrd">'FORM B-(Wage Reg.)'!$AB$16</definedName>
  </definedNames>
  <calcPr fullCalcOnLoad="1" fullPrecision="1"/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<sst xmlns="http://schemas.openxmlformats.org/spreadsheetml/2006/main" count="336" uniqueCount="336">
  <si>
    <t xml:space="preserve">                    CREDIT NOTE</t>
  </si>
  <si>
    <t>Original for Buyer / Recipient</t>
  </si>
  <si>
    <t>Duplicate for Transporter</t>
  </si>
  <si>
    <t>Triplicate for Supplier</t>
  </si>
  <si>
    <t>INVOICE NUMBER</t>
  </si>
  <si>
    <t>Credit Note No-13 against Inv No-SSI/253</t>
  </si>
  <si>
    <t>INVOICE DATE</t>
  </si>
  <si>
    <t>STATE</t>
  </si>
  <si>
    <t>UTTAR PRADESH</t>
  </si>
  <si>
    <t xml:space="preserve">STATE CODE </t>
  </si>
  <si>
    <t>09</t>
  </si>
  <si>
    <t>DATE OF SUPPLY</t>
  </si>
  <si>
    <t>01-09-2022 TO 30-09-2022</t>
  </si>
  <si>
    <t>VENDOR CODE</t>
  </si>
  <si>
    <t>PLACE OF SUPPLY</t>
  </si>
  <si>
    <t>NOIDA-UTTAR PRADESH</t>
  </si>
  <si>
    <t>WORK ORDER NO</t>
  </si>
  <si>
    <t>GAIL/NOID/21132/5300036376/F&amp;S DATED: 22.03.2022</t>
  </si>
  <si>
    <t>Details of Buyer</t>
  </si>
  <si>
    <t>Shipped To</t>
  </si>
  <si>
    <t>Name</t>
  </si>
  <si>
    <t>GAIL (INDIA) LIMITED</t>
  </si>
  <si>
    <t>SINGH AND SONS INFOTECH PRIVATE LIMITED</t>
  </si>
  <si>
    <t>Address</t>
  </si>
  <si>
    <t>B-35-36, Sector-01</t>
  </si>
  <si>
    <t>21, Indra Nagar</t>
  </si>
  <si>
    <t>Jubilee Tower, Noida</t>
  </si>
  <si>
    <t>Near Pili Kothi, Dibiyapur</t>
  </si>
  <si>
    <t>Dist: Gautam Buddh Nagar -201301</t>
  </si>
  <si>
    <t>Auraiya (U.P) -206244</t>
  </si>
  <si>
    <t xml:space="preserve">STATE </t>
  </si>
  <si>
    <t>GSTIN NO.</t>
  </si>
  <si>
    <t>09ABDCS1757M1ZU</t>
  </si>
  <si>
    <t>09AAACG1209J1ZU</t>
  </si>
  <si>
    <t>STATE CODE</t>
  </si>
  <si>
    <r>
      <t xml:space="preserve">Hiring AMC Services for Fire Safety Services at GAIL (India) Limited, JB Tower &amp; Infohub, Noida (U.P)_x000A_M/s. GAIL (INDIA) LIMITED, JB TOWER for the Month of </t>
    </r>
    <r>
      <rPr>
        <rFont val="Times New Roman"/>
        <family val="1"/>
        <b/>
        <color indexed="8"/>
        <sz val="14"/>
      </rPr>
      <t>SEPTEMBER</t>
    </r>
    <r>
      <rPr>
        <rFont val="Times New Roman"/>
        <family val="1"/>
        <b/>
        <color indexed="8"/>
        <sz val="14"/>
      </rPr>
      <t>-2022</t>
    </r>
  </si>
  <si>
    <t>Sr. No</t>
  </si>
  <si>
    <t>Name of Product / Service</t>
  </si>
  <si>
    <t>No. of Pack</t>
  </si>
  <si>
    <t>HSN / SAC Code</t>
  </si>
  <si>
    <t>UOM</t>
  </si>
  <si>
    <t>Qty</t>
  </si>
  <si>
    <t>Rate</t>
  </si>
  <si>
    <t>Amount</t>
  </si>
  <si>
    <t>Less Discount</t>
  </si>
  <si>
    <t>Taxable Value</t>
  </si>
  <si>
    <t>GAIL, JBT-NOIDA</t>
  </si>
  <si>
    <t>Penalty for Later Payment of Wages</t>
  </si>
  <si>
    <t>MON</t>
  </si>
  <si>
    <t>TOTAL VALUE OF SERVICES</t>
  </si>
  <si>
    <t>Bank Account No : 39075399225, State Bank of India, Pata</t>
  </si>
  <si>
    <t>Total Amount Before Tax</t>
  </si>
  <si>
    <t xml:space="preserve">PAN  No : ABDCS1757M</t>
  </si>
  <si>
    <t>Add: CGST@09%</t>
  </si>
  <si>
    <t>ESI Code No : 21000624350000999</t>
  </si>
  <si>
    <t>Add: SGST@09%</t>
  </si>
  <si>
    <t>GST Payable on Reverse Charge or Not : N.A.</t>
  </si>
  <si>
    <t xml:space="preserve">TOTAL Amount (with GST) : </t>
  </si>
  <si>
    <t>Certified that the particulars given above are true and correct.</t>
  </si>
  <si>
    <t>For Singh and Sons InfoTech Pvt. Ltd.</t>
  </si>
  <si>
    <t>Authorised Signatory</t>
  </si>
  <si>
    <t xml:space="preserve">                    TAX INVOICE</t>
  </si>
  <si>
    <t>MADHYA PRADESH</t>
  </si>
  <si>
    <t>23</t>
  </si>
  <si>
    <t>GAIL-VIJAIPUR, GUNA (M.P)</t>
  </si>
  <si>
    <t>GAIL/VH/C23190/5300040279/MD/HR/2023 Dated : 26.12.2023</t>
  </si>
  <si>
    <t>M/s. GAIL (INDIA) LIMITED</t>
  </si>
  <si>
    <t>M/s. SINGH AND SONS INFOTECH PRIVATE LIMITED</t>
  </si>
  <si>
    <t>Gail Complex</t>
  </si>
  <si>
    <t>Vijaipur - 473112</t>
  </si>
  <si>
    <t>Dist: Guna</t>
  </si>
  <si>
    <t>23AAACG1209J1Z4</t>
  </si>
  <si>
    <t>GAIL, VIJAIPUR</t>
  </si>
  <si>
    <t>Add: IGST@18%</t>
  </si>
  <si>
    <t>Total Amount (with GST)</t>
  </si>
  <si>
    <t xml:space="preserve">                  MEMORANDUM OF PAYMENT (MOP)                    </t>
  </si>
  <si>
    <t>Name of Contractor</t>
  </si>
  <si>
    <t>Nature of Work</t>
  </si>
  <si>
    <t>ASSISTANCE FOR DIGITIZATION SERVICES IN DOCUMENTS CONTROL SERVICES DEPARTMENT AND UPKEEPING OF DCS RECORD ROOM AT GAIL VIAJIPUR.</t>
  </si>
  <si>
    <t>Work Order No.</t>
  </si>
  <si>
    <t>Contract Completion date</t>
  </si>
  <si>
    <t>24 Months from Date of LOA</t>
  </si>
  <si>
    <t>Contract Value Rs.</t>
  </si>
  <si>
    <t>Rs. 1,271,330.96 (Inclusive of GST@18%)</t>
  </si>
  <si>
    <t>Bank Guarantee No/ Amount/ Validity</t>
  </si>
  <si>
    <t>NEFT REF. NO.- CT00ASJFG7/- INR 53,905.00/- Validity as per GAIL Rules</t>
  </si>
  <si>
    <t>Bill No &amp; Date</t>
  </si>
  <si>
    <t>Period of Measurement :</t>
  </si>
  <si>
    <t>S. No.</t>
  </si>
  <si>
    <t>Description of Work/Job Done</t>
  </si>
  <si>
    <t>Up to Prev. Bill ( Rs.)</t>
  </si>
  <si>
    <t>Current Bill (Rs.)</t>
  </si>
  <si>
    <t>Cumm Till Date (Rs.)</t>
  </si>
  <si>
    <t>Net Value of work done</t>
  </si>
  <si>
    <t>ADD:- IGST @ 18%</t>
  </si>
  <si>
    <t xml:space="preserve">Total gross work done value
(Amount including GST)</t>
  </si>
  <si>
    <t xml:space="preserve">Deduction- TDS Against IGST@ 2% </t>
  </si>
  <si>
    <t>Deduction - Income Tax@ 2%</t>
  </si>
  <si>
    <t>Release of Retention/ PRS if any as per statement</t>
  </si>
  <si>
    <t xml:space="preserve">Net Amount Payable 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</si>
  <si>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</si>
  <si>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</si>
  <si>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</si>
  <si>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All the inspection reports including preceding activities, qualifying the stage payment have been verified.</t>
  </si>
  <si>
    <t>Sign</t>
  </si>
  <si>
    <t>For and on behalf of Contractor</t>
  </si>
  <si>
    <t>For GAIL (India) Limited-Vijaipur</t>
  </si>
  <si>
    <t>Sh. B.K Singh</t>
  </si>
  <si>
    <t>Mr. Manish Prasad</t>
  </si>
  <si>
    <t>Date</t>
  </si>
  <si>
    <t>DGM (O&amp;M NG P/L)</t>
  </si>
  <si>
    <t>Name of Agency:</t>
  </si>
  <si>
    <t>Sai Commercial Carrier</t>
  </si>
  <si>
    <t>Work Order Number:</t>
  </si>
  <si>
    <t>GAIL/3130/69236/5600002905/TS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</si>
  <si>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</si>
  <si>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</si>
  <si>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</si>
  <si>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</si>
  <si>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</si>
  <si>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</si>
  <si>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</si>
  <si>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Remarks</t>
  </si>
  <si>
    <t>Amount (Rs.)</t>
  </si>
  <si>
    <t>01.08.2017</t>
  </si>
  <si>
    <t>For,</t>
  </si>
  <si>
    <t>S. Roy.</t>
  </si>
  <si>
    <t>ABSTRACT OF COST</t>
  </si>
  <si>
    <t>Invoice No.</t>
  </si>
  <si>
    <t>:</t>
  </si>
  <si>
    <t>Invoice Date</t>
  </si>
  <si>
    <t>Invoice Duration</t>
  </si>
  <si>
    <t>LOA NO.</t>
  </si>
  <si>
    <t>GAIL/VH/C23190/5300040279/MD/HR/2023</t>
  </si>
  <si>
    <t>LOA Date</t>
  </si>
  <si>
    <t>Duration of Work</t>
  </si>
  <si>
    <t>From 02/01/2024 To 02/01/2026</t>
  </si>
  <si>
    <t>NAME OF WORK: ASSISTANCE FOR DIGITIZATION SERVICES IN DOCUMENTS CONTROL SERVICES DEPARTMENT AND UPKEEPING OF DCS RECORD ROOM AT GAIL VIAJIPUR.</t>
  </si>
  <si>
    <t>Item No.</t>
  </si>
  <si>
    <t>Sr. No.</t>
  </si>
  <si>
    <t>Job Description</t>
  </si>
  <si>
    <t>Total Qty./ Rate/ Amount as per SOR</t>
  </si>
  <si>
    <t>Qty. Consumed Upto Previous RA Bill</t>
  </si>
  <si>
    <t>Current Month RA Bill</t>
  </si>
  <si>
    <t>Total Qty. Consumed Till Closure of Current Month RA Bill</t>
  </si>
  <si>
    <t>UoM</t>
  </si>
  <si>
    <t>Qty.</t>
  </si>
  <si>
    <t xml:space="preserve">Total Amount
 (For 2 Years)</t>
  </si>
  <si>
    <t>PART-A : O&amp;M SERVICES (WAGE COMPONENTS)</t>
  </si>
  <si>
    <t>SERVICE CHARGE FOR ASSISTANCE</t>
  </si>
  <si>
    <t>PROVISION OF REVISION OF WAGES</t>
  </si>
  <si>
    <t>EA</t>
  </si>
  <si>
    <t>PROVISION FOR SAFETY KITS</t>
  </si>
  <si>
    <t>Ex-gratia in lieu of Bonus @ 8.33% Per Month</t>
  </si>
  <si>
    <t>LS</t>
  </si>
  <si>
    <t>As Per SOR/ QUOTED</t>
  </si>
  <si>
    <t>TOTAL (INR)</t>
  </si>
  <si>
    <t>-</t>
  </si>
  <si>
    <t>I-GST @ 18%</t>
  </si>
  <si>
    <t>GRAND TOTAL (INR)</t>
  </si>
  <si>
    <t>FOR SINGH AND SONS INFOTECH</t>
  </si>
  <si>
    <t>Sign of GAIL Representative /EIC</t>
  </si>
  <si>
    <t>M/s. Singh and Sons InfoTech Private Limited</t>
  </si>
  <si>
    <t>Wage Revision Reimbursement Sheet</t>
  </si>
  <si>
    <t>Wage Period: Monthly</t>
  </si>
  <si>
    <t>SL NO</t>
  </si>
  <si>
    <t>PARTICULARS</t>
  </si>
  <si>
    <t>CATEGORY</t>
  </si>
  <si>
    <t>NOS. OF EMPLOYEE</t>
  </si>
  <si>
    <t>WAGE DIFF. PER DAY</t>
  </si>
  <si>
    <t>WORKING DAYS</t>
  </si>
  <si>
    <t>DIFF. AMOUNT</t>
  </si>
  <si>
    <t>EPF ER @ 13%</t>
  </si>
  <si>
    <t>ESI ER @ 3.25%</t>
  </si>
  <si>
    <t>TOTAL</t>
  </si>
  <si>
    <t>SKILLED (DCS-HR)</t>
  </si>
  <si>
    <t>C AREA</t>
  </si>
  <si>
    <t>SUB TOTAL</t>
  </si>
  <si>
    <t>Skilled Wage Revision:</t>
  </si>
  <si>
    <t>Reimbursement Of Pmjjy</t>
  </si>
  <si>
    <t>Reimbursement Of GPA</t>
  </si>
  <si>
    <t xml:space="preserve">Total Wage Revision Amount : </t>
  </si>
  <si>
    <t>FOR GAIL (INDIA) LIMITED, VIJAIPUR</t>
  </si>
  <si>
    <t>BONUS</t>
  </si>
  <si>
    <t>LWW</t>
  </si>
  <si>
    <t>OHD</t>
  </si>
  <si>
    <t xml:space="preserve">FORM B
</t>
  </si>
  <si>
    <t>Instruction : Do not print following Instruction on Original Att. Sheet</t>
  </si>
  <si>
    <t>FORMAT OF WAGES REGISTER</t>
  </si>
  <si>
    <t>Rate of minimum Wage and since the date 01-10-2025 TO 31-03-2026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</si>
  <si>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</si>
  <si>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</si>
  <si>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</si>
  <si>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</si>
  <si>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</si>
  <si>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</si>
  <si>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Minimum Basic-C</t>
  </si>
  <si>
    <t xml:space="preserve">760/Man Day ( Rs. 19,760/ Month ) </t>
  </si>
  <si>
    <t xml:space="preserve">Mention Page Nos.  at bottom of the every page</t>
  </si>
  <si>
    <t>DA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</si>
  <si>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</si>
  <si>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</si>
  <si>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</si>
  <si>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</si>
  <si>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</si>
  <si>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</si>
  <si>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</si>
  <si>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</si>
  <si>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</si>
  <si>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</si>
  <si>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</si>
  <si>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</si>
  <si>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01 Oct 2025 To 31 Oct 2025</t>
  </si>
  <si>
    <t>Name And Address of Principal Employer</t>
  </si>
  <si>
    <t xml:space="preserve">M/s. GAIL (INDIA) LIMITED, VIJAIPUR
</t>
  </si>
  <si>
    <r>
      <t>(Monthly/</t>
    </r>
    <r>
      <rPr>
        <rFont val="Calibri"/>
        <family val="2"/>
        <b/>
        <strike/>
        <color indexed="8"/>
        <sz val="12"/>
      </rPr>
      <t>Fortnightly/Weekly/Daily/Piece Rated</t>
    </r>
    <r>
      <rPr>
        <rFont val="Calibri"/>
        <family val="2"/>
        <b/>
        <color indexed="8"/>
        <sz val="12"/>
      </rPr>
      <t>)</t>
    </r>
  </si>
  <si>
    <t>Sr. No. in Employee/ Workman/ Worker Register</t>
  </si>
  <si>
    <t xml:space="preserve">Name
UAN
PF No.
ESI No.</t>
  </si>
  <si>
    <t xml:space="preserve">Rate Of
Wage (Daily)</t>
  </si>
  <si>
    <t xml:space="preserve">Rate Of
Wage (Monthly)</t>
  </si>
  <si>
    <t>No. of Days Worked</t>
  </si>
  <si>
    <t xml:space="preserve">Overtime 
hours worked</t>
  </si>
  <si>
    <t>Basic</t>
  </si>
  <si>
    <t>Payments Overtime</t>
  </si>
  <si>
    <t xml:space="preserve">Special 
Basic</t>
  </si>
  <si>
    <t>HRA</t>
  </si>
  <si>
    <t>Convey All.</t>
  </si>
  <si>
    <t>ADVANCE AMOUNT PAID</t>
  </si>
  <si>
    <t>OTHER BENEFITS OR AMENITIES</t>
  </si>
  <si>
    <t>EX GRATIA BONUS</t>
  </si>
  <si>
    <t>EARNED LEAVE</t>
  </si>
  <si>
    <t>Total (06 To 10E)</t>
  </si>
  <si>
    <t>Deduction</t>
  </si>
  <si>
    <t xml:space="preserve">Net 
Payment
(11 - 19 = 20)</t>
  </si>
  <si>
    <t>Employer/Workmqan/Worker/ Share PF Welfare Fund</t>
  </si>
  <si>
    <t>Employer/Workmqan/Worker/ Share ESIC Welfare Fund</t>
  </si>
  <si>
    <t xml:space="preserve">Receipt by Employee / Bank 
Transaction ID</t>
  </si>
  <si>
    <t>Date Of Payment</t>
  </si>
  <si>
    <t>Remaks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</si>
  <si>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</si>
  <si>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</si>
  <si>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</si>
  <si>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</si>
  <si>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</si>
  <si>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</si>
  <si>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</si>
  <si>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</si>
  <si>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</si>
  <si>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</si>
  <si>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</si>
  <si>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</si>
  <si>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</si>
  <si>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</si>
  <si>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>10E</t>
  </si>
  <si>
    <t>DCSHR001</t>
  </si>
  <si>
    <t xml:space="preserve">DEEPAK SHARMA
101229412688
8101116543</t>
  </si>
  <si>
    <t>SBI</t>
  </si>
  <si>
    <t>04-11-2025</t>
  </si>
  <si>
    <t>E-BANKING</t>
  </si>
  <si>
    <t>DCSHR002</t>
  </si>
  <si>
    <t xml:space="preserve">SHAHADAT KHAN
101229412674
8101116506</t>
  </si>
  <si>
    <t>OLD WAGES AS ON 01.04.2025</t>
  </si>
  <si>
    <t>NEW WAGES AS ON 01.10.2025</t>
  </si>
  <si>
    <t>Period</t>
  </si>
  <si>
    <t>SSI/1181</t>
  </si>
  <si>
    <t>Quantity 1</t>
  </si>
  <si>
    <t>RA BILL NO-</t>
  </si>
  <si>
    <t>Service Month</t>
  </si>
  <si>
    <t>OCTOBER-2025</t>
  </si>
  <si>
    <t>EPF Challan No.</t>
  </si>
  <si>
    <t>ESIC Challan No.</t>
  </si>
  <si>
    <t>08125144313365</t>
  </si>
  <si>
    <t>Amount:</t>
  </si>
  <si>
    <t>17,69,632</t>
  </si>
  <si>
    <t>Date:</t>
  </si>
  <si>
    <t>14/11/2025</t>
  </si>
  <si>
    <t>Invoice Amount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</si>
  <si>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</si>
  <si>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</si>
  <si>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</si>
  <si>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</si>
  <si>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</si>
  <si>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</si>
  <si>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rFont val="Calibri"/>
        <family val="1"/>
        <b/>
        <i/>
        <sz val="12"/>
        <u val="single"/>
      </rPr>
      <t>Annexure-I</t>
    </r>
  </si>
  <si>
    <t>Proforma –“PFD”</t>
  </si>
  <si>
    <r>
      <t xml:space="preserve">1.   Name of the Firm/Agency/Contractor: </t>
    </r>
    <r>
      <rPr>
        <rFont val="Calibri"/>
        <family val="2"/>
        <b/>
        <sz val="11"/>
      </rPr>
      <t>M/s. Singh and Sons InfoTech Private Limited</t>
    </r>
  </si>
  <si>
    <r>
      <t xml:space="preserve">2.   Nature of Contract: </t>
    </r>
    <r>
      <rPr>
        <rFont val="Calibri"/>
        <family val="2"/>
        <b/>
        <sz val="12"/>
      </rPr>
      <t xml:space="preserve">Job/Service contract, </t>
    </r>
    <r>
      <rPr>
        <rFont val="Calibri"/>
        <family val="2"/>
        <strike/>
        <sz val="12"/>
      </rPr>
      <t>AMC,O&amp;M, Petty contract, Security, Seasonal</t>
    </r>
  </si>
  <si>
    <r>
      <t xml:space="preserve">3.   Postal address of the Contractor:  </t>
    </r>
    <r>
      <rPr>
        <rFont val="Calibri"/>
        <family val="2"/>
        <b/>
        <sz val="12"/>
      </rPr>
      <t xml:space="preserve">21, Indra Nagar, Dibiyapur, Auraiya (U.P)-206244 </t>
    </r>
  </si>
  <si>
    <r>
      <t xml:space="preserve">4.   Phone No. of the Contractor:  </t>
    </r>
    <r>
      <rPr>
        <rFont val="Calibri"/>
        <family val="2"/>
        <b/>
        <sz val="12"/>
      </rPr>
      <t>+91-8979987689</t>
    </r>
  </si>
  <si>
    <r>
      <t xml:space="preserve">5.   Fax No. of the Contractor: </t>
    </r>
    <r>
      <rPr>
        <rFont val="Calibri"/>
        <family val="2"/>
        <b/>
        <sz val="12"/>
      </rPr>
      <t>NA</t>
    </r>
  </si>
  <si>
    <r>
      <t xml:space="preserve">6.   Address of PF office from where EPF Code No. has been allotted: </t>
    </r>
    <r>
      <rPr>
        <rFont val="Calibri"/>
        <family val="2"/>
        <b/>
        <sz val="12"/>
      </rPr>
      <t>KANPUR</t>
    </r>
  </si>
  <si>
    <r>
      <t xml:space="preserve">7.   EPF Code No. allotted by PF office: </t>
    </r>
    <r>
      <rPr>
        <rFont val="Calibri"/>
        <family val="2"/>
        <b/>
        <sz val="12"/>
      </rPr>
      <t>UPKNP2070240000</t>
    </r>
  </si>
  <si>
    <r>
      <t xml:space="preserve">8.   Address of ESIC office from where ESI Code No. has been allotted: </t>
    </r>
    <r>
      <rPr>
        <rFont val="Calibri"/>
        <family val="2"/>
        <b/>
        <sz val="12"/>
      </rPr>
      <t>KANPUR</t>
    </r>
  </si>
  <si>
    <r>
      <t xml:space="preserve">9.   ESI Code No. allotted by ESIC office: </t>
    </r>
    <r>
      <rPr>
        <rFont val="Calibri"/>
        <family val="2"/>
        <b/>
        <sz val="12"/>
      </rPr>
      <t>81210624350010999</t>
    </r>
  </si>
  <si>
    <r>
      <t>10.</t>
    </r>
    <r>
      <rPr>
        <rFont val="Times New Roman"/>
        <family val="1"/>
        <color indexed="8"/>
        <sz val="7"/>
      </rPr>
      <t xml:space="preserve"> </t>
    </r>
    <r>
      <rPr>
        <rFont val="Calibri"/>
        <family val="2"/>
        <color indexed="8"/>
        <sz val="12"/>
      </rPr>
      <t xml:space="preserve">Period of Contract: From: </t>
    </r>
    <r>
      <rPr>
        <rFont val="Calibri"/>
        <family val="2"/>
        <b/>
        <color indexed="8"/>
        <sz val="12"/>
        <u val="single"/>
      </rPr>
      <t>02.01.2024 To 01.01.2026</t>
    </r>
  </si>
  <si>
    <r>
      <t xml:space="preserve">       (a)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>Extension Period of Contract, if any from:</t>
    </r>
    <r>
      <rPr>
        <rFont val="Calibri"/>
        <family val="2"/>
        <b/>
        <color indexed="8"/>
        <sz val="12"/>
      </rPr>
      <t xml:space="preserve"> </t>
    </r>
    <r>
      <rPr>
        <rFont val="Calibri"/>
        <family val="2"/>
        <b/>
        <color indexed="8"/>
        <sz val="12"/>
        <u val="single"/>
      </rPr>
      <t>NIL</t>
    </r>
  </si>
  <si>
    <r>
      <t xml:space="preserve">       (b)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 xml:space="preserve">Place where contract workmen are working: </t>
    </r>
    <r>
      <rPr>
        <rFont val="Calibri"/>
        <family val="2"/>
        <b/>
        <color indexed="8"/>
        <sz val="11"/>
        <u val="single"/>
      </rPr>
      <t xml:space="preserve"> GAIL, Complex, Vijaipur- 473112</t>
    </r>
  </si>
  <si>
    <r>
      <t xml:space="preserve">11. Labour License No.: </t>
    </r>
    <r>
      <rPr>
        <rFont val="Calibri"/>
        <family val="2"/>
        <b/>
        <color indexed="8"/>
        <sz val="12"/>
      </rPr>
      <t>NA</t>
    </r>
  </si>
  <si>
    <r>
      <t>12.</t>
    </r>
    <r>
      <rPr>
        <rFont val="Times New Roman"/>
        <family val="1"/>
        <color indexed="8"/>
        <sz val="7"/>
      </rPr>
      <t xml:space="preserve"> </t>
    </r>
    <r>
      <rPr>
        <rFont val="Aptos Display"/>
        <family val="2"/>
        <color indexed="8"/>
        <sz val="12"/>
      </rPr>
      <t>Validity period of Labour License From: NA</t>
    </r>
  </si>
  <si>
    <r>
      <t>13.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EPF</t>
    </r>
  </si>
  <si>
    <t xml:space="preserve">Amount: </t>
  </si>
  <si>
    <r>
      <t>14.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</si>
  <si>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</si>
  <si>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</si>
  <si>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</si>
  <si>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</si>
  <si>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</si>
  <si>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</si>
  <si>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</si>
  <si>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rFont val="Calibri"/>
        <family val="1"/>
        <b/>
        <sz val="12"/>
      </rPr>
      <t>Total</t>
    </r>
  </si>
  <si>
    <t>Signature of Contractor / Authorized Representative</t>
  </si>
  <si>
    <t xml:space="preserve">Place: </t>
  </si>
  <si>
    <t>NOIDA</t>
  </si>
  <si>
    <t xml:space="preserve">Date: </t>
  </si>
  <si>
    <t>To M/s. Gail (India) Limited</t>
  </si>
  <si>
    <t xml:space="preserve">GAIL Complex, Vijaipur, Guna, </t>
  </si>
  <si>
    <t>Madhya Pradesh PIN: 473112 (M.P)</t>
  </si>
  <si>
    <t>Kind Attn.: Sh. Mr. Manish Prasad-DGM (O&amp;M NG P/L)</t>
  </si>
  <si>
    <t>control services department and upkeeping of dcs record room at gail vijaipur.</t>
  </si>
  <si>
    <t>LOA No.: GAIL/VH/C23190/5300040279/MD/HR/2023 DATED: 26/12/2023</t>
  </si>
  <si>
    <t>Dear Sir,</t>
  </si>
  <si>
    <t>digitization services in documents control services department and upkeeping of dcs record room at gail vijaipur.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</si>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</sst>
</file>

<file path=xl/styles.xml><?xml version="1.0" encoding="utf-8"?>
<styleSheet xmlns="http://schemas.openxmlformats.org/spreadsheetml/2006/main">
  <numFmts count="13">
    <numFmt numFmtId="164" formatCode="[$-14009]dddd\,\ d\ mmmm\,\ yyyy;@"/>
    <numFmt numFmtId="165" formatCode="_(* #,##0.00_);_(* \(#,##0.00\);_(* &quot;-&quot;??_);_(@_)"/>
    <numFmt numFmtId="166" formatCode="[$-14009]dd\-mm\-yy;@"/>
    <numFmt numFmtId="167" formatCode="0.000"/>
    <numFmt numFmtId="168" formatCode="[$-409]d\-mmm\-yy;@"/>
    <numFmt numFmtId="169" formatCode="#,##0.00;[Red]#,##0.00"/>
    <numFmt numFmtId="170" formatCode="[$-409]d\-mmm;@"/>
    <numFmt numFmtId="171" formatCode="d\ mmm\ yyyy;@"/>
    <numFmt numFmtId="172" formatCode="[$-14009]dd\-mm\-yyyy;@"/>
    <numFmt numFmtId="173" formatCode="0.0"/>
    <numFmt numFmtId="174" formatCode="[$-F800]dddd\,\ mmmm\ dd\,\ yyyy"/>
    <numFmt numFmtId="175" formatCode="dd/mm/yyyy"/>
    <numFmt numFmtId="176" formatCode="00"/>
  </numFmts>
  <fonts count="72">
    <font>
      <sz val="11"/>
      <name val="Aptos Narrow"/>
    </font>
    <font>
      <sz val="10"/>
      <name val="Arial"/>
    </font>
    <font>
      <sz val="14"/>
      <color theme="1"/>
      <name val="Calibri"/>
      <family val="2"/>
      <scheme val="minor"/>
    </font>
    <font>
      <b/>
      <sz val="24"/>
      <color theme="1"/>
      <name val="Times New Roman"/>
      <family val="1"/>
    </font>
    <font>
      <sz val="8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9"/>
      <color theme="1"/>
      <name val="Times New Roman"/>
      <family val="1"/>
    </font>
    <font>
      <sz val="22"/>
      <name val="Arial"/>
      <family val="2"/>
    </font>
    <font>
      <sz val="10"/>
      <name val="Times New Roman"/>
      <family val="1"/>
    </font>
    <font>
      <b/>
      <u/>
      <sz val="10"/>
      <color theme="1"/>
      <name val="Times New Roman"/>
      <family val="1"/>
    </font>
    <font>
      <sz val="8"/>
      <name val="Times New Roman"/>
      <family val="1"/>
    </font>
    <font>
      <sz val="14"/>
      <color theme="1"/>
      <name val="Times New Roman"/>
      <family val="1"/>
    </font>
    <font>
      <b/>
      <u/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name val="Times New Roman"/>
      <family val="1"/>
    </font>
    <font>
      <sz val="8"/>
      <name val="Arial"/>
      <family val="2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4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indexed="12"/>
      <name val="Calibri"/>
      <family val="2"/>
      <scheme val="minor"/>
    </font>
    <font>
      <sz val="12"/>
      <name val="Tahoma"/>
      <family val="2"/>
    </font>
    <font>
      <sz val="16"/>
      <name val="Times New Roman"/>
      <family val="1"/>
    </font>
    <font>
      <sz val="16"/>
      <color theme="1"/>
      <name val="Times New Roman"/>
      <family val="1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u/>
      <sz val="16"/>
      <name val="Calibri"/>
      <family val="2"/>
    </font>
    <font>
      <sz val="11"/>
      <name val="Calibri"/>
      <family val="2"/>
    </font>
    <font>
      <sz val="12"/>
      <name val="Calibri"/>
      <family val="1"/>
    </font>
    <font>
      <sz val="12"/>
      <color theme="1"/>
      <name val="Aptos Display"/>
      <family val="2"/>
    </font>
    <font>
      <b/>
      <sz val="11"/>
      <name val="Calibri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b/>
      <sz val="12"/>
      <color rgb="FF000000"/>
      <name val="Calibri"/>
      <family val="2"/>
    </font>
    <font>
      <b/>
      <sz val="12"/>
      <name val="Calibri"/>
      <family val="1"/>
    </font>
    <font>
      <b/>
      <sz val="11"/>
      <color theme="1"/>
      <name val="Aptos Display"/>
      <family val="2"/>
    </font>
    <font>
      <u/>
      <sz val="10"/>
      <color theme="10"/>
      <name val="Arial"/>
      <family val="2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349986266670735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CCE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/>
    <xf numFmtId="165" applyNumberFormat="1" fontId="34" applyFont="0" fillId="0" applyFill="0" borderId="0" applyBorder="0" applyProtection="0" applyAlignment="0"/>
    <xf numFmtId="0" fontId="50" applyFont="1" fillId="11" applyFill="1" borderId="0" applyAlignment="1">
      <alignment vertical="center" wrapText="1"/>
    </xf>
    <xf numFmtId="0" fontId="50" applyFont="1" fillId="11" applyFill="1" borderId="0" applyAlignment="1">
      <alignment vertical="center" wrapText="1"/>
    </xf>
    <xf numFmtId="0" applyNumberFormat="0" fontId="68" applyFont="1" fillId="0" applyFill="0" borderId="0" applyBorder="0" applyProtection="0" applyAlignment="0"/>
  </cellStyleXfs>
  <cellXfs count="579">
    <xf numFmtId="0" fontId="0" xfId="0"/>
    <xf numFmtId="0" fontId="1" applyFont="1" fillId="0" borderId="1" applyBorder="1" xfId="0"/>
    <xf numFmtId="0" fontId="1" applyFont="1" fillId="0" borderId="2" applyBorder="1" xfId="0"/>
    <xf numFmtId="0" fontId="1" applyFont="1" fillId="0" borderId="3" applyBorder="1" xfId="0"/>
    <xf numFmtId="0" fontId="1" applyFont="1" fillId="0" borderId="4" applyBorder="1" xfId="0"/>
    <xf numFmtId="0" fontId="1" applyFont="1" fillId="0" borderId="5" applyBorder="1" xfId="0"/>
    <xf numFmtId="0" fontId="1" applyFont="1" fillId="0" borderId="4" applyBorder="1" xfId="0" applyAlignment="1">
      <alignment wrapText="1"/>
    </xf>
    <xf numFmtId="0" fontId="1" applyFont="1" fillId="0" borderId="0" xfId="0" applyAlignment="1">
      <alignment wrapText="1"/>
    </xf>
    <xf numFmtId="0" fontId="1" applyFont="1" fillId="0" borderId="5" applyBorder="1" xfId="0" applyAlignment="1">
      <alignment wrapText="1"/>
    </xf>
    <xf numFmtId="0" fontId="2" applyFont="1" fillId="0" borderId="6" applyBorder="1" xfId="0"/>
    <xf numFmtId="0" fontId="2" applyFont="1" fillId="0" borderId="7" applyBorder="1" xfId="0"/>
    <xf numFmtId="0" fontId="2" applyFont="1" fillId="0" borderId="8" applyBorder="1" xfId="0"/>
    <xf numFmtId="0" fontId="3" applyFont="1" fillId="0" borderId="1" applyBorder="1" xfId="0" applyAlignment="1">
      <alignment horizontal="center" vertical="center"/>
    </xf>
    <xf numFmtId="0" fontId="3" applyFont="1" fillId="0" borderId="2" applyBorder="1" xfId="0" applyAlignment="1">
      <alignment horizontal="center" vertical="center"/>
    </xf>
    <xf numFmtId="0" fontId="3" applyFont="1" fillId="0" borderId="3" applyBorder="1" xfId="0" applyAlignment="1">
      <alignment horizontal="center" vertical="center"/>
    </xf>
    <xf numFmtId="0" fontId="4" applyFont="1" fillId="0" borderId="9" applyBorder="1" xfId="0" applyAlignment="1">
      <alignment horizontal="left" indent="1"/>
    </xf>
    <xf numFmtId="0" fontId="3" applyFont="1" fillId="0" borderId="4" applyBorder="1" xfId="0" applyAlignment="1">
      <alignment horizontal="center" vertical="center"/>
    </xf>
    <xf numFmtId="0" fontId="3" applyFont="1" fillId="0" borderId="0" xfId="0" applyAlignment="1">
      <alignment horizontal="center" vertical="center"/>
    </xf>
    <xf numFmtId="0" fontId="3" applyFont="1" fillId="0" borderId="5" applyBorder="1" xfId="0" applyAlignment="1">
      <alignment horizontal="center" vertical="center"/>
    </xf>
    <xf numFmtId="0" fontId="3" applyFont="1" fillId="0" borderId="6" applyBorder="1" xfId="0" applyAlignment="1">
      <alignment horizontal="center" vertical="center"/>
    </xf>
    <xf numFmtId="0" fontId="3" applyFont="1" fillId="0" borderId="7" applyBorder="1" xfId="0" applyAlignment="1">
      <alignment horizontal="center" vertical="center"/>
    </xf>
    <xf numFmtId="0" fontId="3" applyFont="1" fillId="0" borderId="8" applyBorder="1" xfId="0" applyAlignment="1">
      <alignment horizontal="center" vertical="center"/>
    </xf>
    <xf numFmtId="0" fontId="4" applyFont="1" fillId="0" borderId="10" applyBorder="1" xfId="0" applyAlignment="1">
      <alignment horizontal="left" indent="1"/>
    </xf>
    <xf numFmtId="0" fontId="5" applyFont="1" fillId="0" borderId="1" applyBorder="1" xfId="0" applyAlignment="1">
      <alignment horizontal="left" vertical="center"/>
    </xf>
    <xf numFmtId="0" fontId="5" applyFont="1" fillId="0" borderId="3" applyBorder="1" xfId="0" applyAlignment="1">
      <alignment horizontal="left" vertical="center"/>
    </xf>
    <xf numFmtId="0" fontId="6" applyFont="1" fillId="0" borderId="1" applyBorder="1" xfId="0" applyAlignment="1">
      <alignment horizontal="left" vertical="center"/>
    </xf>
    <xf numFmtId="0" fontId="6" applyFont="1" fillId="0" borderId="2" applyBorder="1" xfId="0" applyAlignment="1">
      <alignment horizontal="left" vertical="center"/>
    </xf>
    <xf numFmtId="0" fontId="6" applyFont="1" fillId="0" borderId="3" applyBorder="1" xfId="0" applyAlignment="1">
      <alignment horizontal="left" vertical="center"/>
    </xf>
    <xf numFmtId="0" fontId="5" applyFont="1" fillId="0" borderId="2" applyBorder="1" xfId="0" applyAlignment="1">
      <alignment horizontal="left" vertical="center"/>
    </xf>
    <xf numFmtId="164" applyNumberFormat="1" fontId="6" applyFont="1" fillId="0" borderId="2" applyBorder="1" xfId="0" applyAlignment="1">
      <alignment horizontal="left" vertical="center"/>
    </xf>
    <xf numFmtId="164" applyNumberFormat="1" fontId="6" applyFont="1" fillId="0" borderId="3" applyBorder="1" xfId="0" applyAlignment="1">
      <alignment horizontal="left" vertical="center"/>
    </xf>
    <xf numFmtId="0" fontId="5" applyFont="1" fillId="0" borderId="4" applyBorder="1" xfId="0" applyAlignment="1">
      <alignment horizontal="left" vertical="center"/>
    </xf>
    <xf numFmtId="0" fontId="5" applyFont="1" fillId="0" borderId="5" applyBorder="1" xfId="0" applyAlignment="1">
      <alignment horizontal="left" vertical="center"/>
    </xf>
    <xf numFmtId="0" fontId="5" applyFont="1" fillId="0" borderId="0" xfId="0" applyAlignment="1">
      <alignment horizontal="left" vertical="center"/>
    </xf>
    <xf numFmtId="49" applyNumberFormat="1" fontId="5" applyFont="1" fillId="0" borderId="0" xfId="0" applyAlignment="1">
      <alignment horizontal="left" vertical="center"/>
    </xf>
    <xf numFmtId="49" applyNumberFormat="1" fontId="5" applyFont="1" fillId="0" borderId="5" applyBorder="1" xfId="0" applyAlignment="1">
      <alignment horizontal="left" vertical="center"/>
    </xf>
    <xf numFmtId="0" fontId="5" applyFont="1" fillId="0" borderId="6" applyBorder="1" xfId="0" applyAlignment="1">
      <alignment horizontal="left" vertical="center"/>
    </xf>
    <xf numFmtId="0" fontId="5" applyFont="1" fillId="0" borderId="8" applyBorder="1" xfId="0" applyAlignment="1">
      <alignment horizontal="left" vertical="center"/>
    </xf>
    <xf numFmtId="0" fontId="5" applyFont="1" fillId="0" borderId="7" applyBorder="1" xfId="0" applyAlignment="1">
      <alignment horizontal="left" vertical="center"/>
    </xf>
    <xf numFmtId="0" fontId="7" applyFont="1" fillId="0" borderId="7" applyBorder="1" xfId="0" applyAlignment="1">
      <alignment horizontal="left" vertical="center"/>
    </xf>
    <xf numFmtId="0" fontId="7" applyFont="1" fillId="0" borderId="8" applyBorder="1" xfId="0" applyAlignment="1">
      <alignment horizontal="left" vertical="center"/>
    </xf>
    <xf numFmtId="0" fontId="8" applyFont="1" fillId="0" borderId="0" xfId="0"/>
    <xf numFmtId="0" fontId="9" applyFont="1" fillId="0" borderId="4" applyBorder="1" xfId="0" applyAlignment="1">
      <alignment vertical="center"/>
    </xf>
    <xf numFmtId="0" fontId="9" applyFont="1" fillId="0" borderId="0" xfId="0" applyAlignment="1">
      <alignment vertical="center"/>
    </xf>
    <xf numFmtId="0" fontId="9" applyFont="1" fillId="0" borderId="5" applyBorder="1" xfId="0" applyAlignment="1">
      <alignment vertical="center"/>
    </xf>
    <xf numFmtId="0" fontId="10" applyFont="1" fillId="0" borderId="11" applyBorder="1" xfId="0" applyAlignment="1">
      <alignment horizontal="left" vertical="center"/>
    </xf>
    <xf numFmtId="0" fontId="6" applyFont="1" fillId="0" borderId="12" applyBorder="1" xfId="0" applyAlignment="1">
      <alignment horizontal="left" vertical="center"/>
    </xf>
    <xf numFmtId="0" fontId="10" applyFont="1" fillId="0" borderId="12" applyBorder="1" xfId="0" applyAlignment="1">
      <alignment horizontal="left" vertical="center"/>
    </xf>
    <xf numFmtId="0" fontId="6" applyFont="1" fillId="0" borderId="13" applyBorder="1" xfId="0" applyAlignment="1">
      <alignment horizontal="left" vertical="center"/>
    </xf>
    <xf numFmtId="0" fontId="9" applyFont="1" fillId="0" borderId="4" applyBorder="1" xfId="0" applyAlignment="1">
      <alignment horizontal="left" vertical="center"/>
    </xf>
    <xf numFmtId="0" fontId="9" applyFont="1" fillId="0" borderId="0" xfId="0" applyAlignment="1">
      <alignment horizontal="left" vertical="center"/>
    </xf>
    <xf numFmtId="0" fontId="9" applyFont="1" fillId="0" borderId="5" applyBorder="1" xfId="0" applyAlignment="1">
      <alignment horizontal="left" vertical="center"/>
    </xf>
    <xf numFmtId="0" fontId="6" applyFont="1" fillId="0" borderId="4" applyBorder="1" xfId="0" applyAlignment="1">
      <alignment horizontal="left" vertical="center"/>
    </xf>
    <xf numFmtId="0" fontId="6" applyFont="1" fillId="0" borderId="0" xfId="0" applyAlignment="1">
      <alignment horizontal="left" vertical="center"/>
    </xf>
    <xf numFmtId="0" fontId="6" applyFont="1" fillId="0" borderId="5" applyBorder="1" xfId="0" applyAlignment="1">
      <alignment horizontal="left" vertical="center"/>
    </xf>
    <xf numFmtId="49" applyNumberFormat="1" fontId="9" applyFont="1" fillId="0" borderId="6" applyBorder="1" xfId="0" quotePrefix="1" applyAlignment="1">
      <alignment horizontal="left" vertical="center"/>
    </xf>
    <xf numFmtId="0" fontId="9" applyFont="1" fillId="0" borderId="7" applyBorder="1" xfId="0" applyAlignment="1">
      <alignment horizontal="left" vertical="center"/>
    </xf>
    <xf numFmtId="0" fontId="9" applyFont="1" fillId="0" borderId="8" applyBorder="1" xfId="0" applyAlignment="1">
      <alignment horizontal="left" vertical="center"/>
    </xf>
    <xf numFmtId="49" applyNumberFormat="1" fontId="9" applyFont="1" fillId="0" borderId="6" applyBorder="1" xfId="0" applyAlignment="1">
      <alignment horizontal="left" vertical="center"/>
    </xf>
    <xf numFmtId="49" applyNumberFormat="1" fontId="9" applyFont="1" fillId="0" borderId="7" applyBorder="1" xfId="0" applyAlignment="1">
      <alignment horizontal="left" vertical="center"/>
    </xf>
    <xf numFmtId="49" applyNumberFormat="1" fontId="9" applyFont="1" fillId="0" borderId="8" applyBorder="1" xfId="0" applyAlignment="1">
      <alignment horizontal="left" vertical="center"/>
    </xf>
    <xf numFmtId="0" fontId="11" applyFont="1" fillId="0" borderId="4" applyBorder="1" xfId="0"/>
    <xf numFmtId="0" fontId="11" applyFont="1" fillId="0" borderId="0" xfId="0"/>
    <xf numFmtId="0" fontId="11" applyFont="1" fillId="0" borderId="5" applyBorder="1" xfId="0"/>
    <xf numFmtId="0" fontId="12" applyFont="1" fillId="0" borderId="11" applyBorder="1" xfId="0" applyAlignment="1">
      <alignment horizontal="left" vertical="center" wrapText="1"/>
    </xf>
    <xf numFmtId="0" fontId="12" applyFont="1" fillId="0" borderId="12" applyBorder="1" xfId="0" applyAlignment="1">
      <alignment horizontal="left" vertical="center" wrapText="1"/>
    </xf>
    <xf numFmtId="0" fontId="12" applyFont="1" fillId="0" borderId="13" applyBorder="1" xfId="0" applyAlignment="1">
      <alignment horizontal="left" vertical="center" wrapText="1"/>
    </xf>
    <xf numFmtId="0" fontId="5" applyFont="1" fillId="2" applyFill="1" borderId="9" applyBorder="1" xfId="0" applyAlignment="1">
      <alignment horizontal="center" vertical="center" wrapText="1"/>
    </xf>
    <xf numFmtId="0" fontId="5" applyFont="1" fillId="2" applyFill="1" borderId="11" applyBorder="1" xfId="0" applyAlignment="1">
      <alignment horizontal="center" vertical="center" wrapText="1"/>
    </xf>
    <xf numFmtId="0" fontId="5" applyFont="1" fillId="2" applyFill="1" borderId="12" applyBorder="1" xfId="0" applyAlignment="1">
      <alignment horizontal="center" vertical="center" wrapText="1"/>
    </xf>
    <xf numFmtId="0" fontId="5" applyFont="1" fillId="2" applyFill="1" borderId="13" applyBorder="1" xfId="0" applyAlignment="1">
      <alignment horizontal="center" vertical="center" wrapText="1"/>
    </xf>
    <xf numFmtId="0" fontId="9" applyFont="1" fillId="0" borderId="10" applyBorder="1" xfId="0" applyAlignment="1">
      <alignment horizontal="center" vertical="center"/>
    </xf>
    <xf numFmtId="0" fontId="13" applyFont="1" fillId="0" borderId="1" applyBorder="1" xfId="0" applyAlignment="1">
      <alignment horizontal="left" vertical="center" wrapText="1"/>
    </xf>
    <xf numFmtId="0" fontId="13" applyFont="1" fillId="0" borderId="2" applyBorder="1" xfId="0" applyAlignment="1">
      <alignment horizontal="left" vertical="center" wrapText="1"/>
    </xf>
    <xf numFmtId="0" fontId="13" applyFont="1" fillId="0" borderId="3" applyBorder="1" xfId="0" applyAlignment="1">
      <alignment horizontal="left" vertical="center" wrapText="1"/>
    </xf>
    <xf numFmtId="0" fontId="9" applyFont="1" fillId="0" borderId="10" applyBorder="1" xfId="0" applyAlignment="1">
      <alignment vertical="center"/>
    </xf>
    <xf numFmtId="0" fontId="9" applyFont="1" fillId="0" borderId="14" applyBorder="1" xfId="0" applyAlignment="1">
      <alignment horizontal="center" vertical="center"/>
    </xf>
    <xf numFmtId="0" fontId="4" applyFont="1" fillId="0" borderId="4" applyBorder="1" xfId="0" applyAlignment="1">
      <alignment horizontal="left" vertical="center" wrapText="1"/>
    </xf>
    <xf numFmtId="0" fontId="4" applyFont="1" fillId="0" borderId="0" xfId="0" applyAlignment="1">
      <alignment horizontal="left" vertical="center" wrapText="1"/>
    </xf>
    <xf numFmtId="0" fontId="4" applyFont="1" fillId="0" borderId="5" applyBorder="1" xfId="0" applyAlignment="1">
      <alignment horizontal="left" vertical="center" wrapText="1"/>
    </xf>
    <xf numFmtId="2" applyNumberFormat="1" fontId="9" applyFont="1" fillId="0" borderId="14" applyBorder="1" xfId="0" applyAlignment="1">
      <alignment horizontal="center" vertical="center" wrapText="1"/>
    </xf>
    <xf numFmtId="0" fontId="5" applyFont="1" fillId="0" borderId="14" applyBorder="1" xfId="0" applyAlignment="1">
      <alignment horizontal="center" vertical="center"/>
    </xf>
    <xf numFmtId="4" applyNumberFormat="1" fontId="9" applyFont="1" fillId="0" borderId="14" applyBorder="1" xfId="0" applyAlignment="1">
      <alignment horizontal="center" vertical="center" wrapText="1"/>
    </xf>
    <xf numFmtId="4" applyNumberFormat="1" fontId="5" applyFont="1" fillId="0" borderId="14" applyBorder="1" xfId="0" applyAlignment="1">
      <alignment horizontal="center" vertical="center" wrapText="1"/>
    </xf>
    <xf numFmtId="0" fontId="14" applyFont="1" fillId="0" borderId="4" applyBorder="1" xfId="0" applyAlignment="1">
      <alignment horizontal="left" vertical="center" wrapText="1"/>
    </xf>
    <xf numFmtId="0" fontId="14" applyFont="1" fillId="0" borderId="0" xfId="0" applyAlignment="1">
      <alignment horizontal="left" vertical="center" wrapText="1"/>
    </xf>
    <xf numFmtId="0" fontId="14" applyFont="1" fillId="0" borderId="5" applyBorder="1" xfId="0" applyAlignment="1">
      <alignment horizontal="left" vertical="center" wrapText="1"/>
    </xf>
    <xf numFmtId="2" applyNumberFormat="1" fontId="5" applyFont="1" fillId="0" borderId="14" applyBorder="1" xfId="0" applyAlignment="1">
      <alignment horizontal="center" vertical="center" wrapText="1"/>
    </xf>
    <xf numFmtId="0" fontId="5" applyFont="1" fillId="0" borderId="4" applyBorder="1" xfId="0" applyAlignment="1">
      <alignment horizontal="left" vertical="center" wrapText="1"/>
    </xf>
    <xf numFmtId="0" fontId="5" applyFont="1" fillId="0" borderId="0" xfId="0" applyAlignment="1">
      <alignment horizontal="left" vertical="center" wrapText="1"/>
    </xf>
    <xf numFmtId="0" fontId="5" applyFont="1" fillId="0" borderId="5" applyBorder="1" xfId="0" applyAlignment="1">
      <alignment horizontal="left" vertical="center" wrapText="1"/>
    </xf>
    <xf numFmtId="0" fontId="5" applyFont="1" fillId="0" borderId="14" applyBorder="1" xfId="0" applyAlignment="1">
      <alignment vertical="center"/>
    </xf>
    <xf numFmtId="0" fontId="6" applyFont="1" fillId="2" applyFill="1" borderId="11" applyBorder="1" xfId="0" applyAlignment="1">
      <alignment horizontal="left" vertical="center" wrapText="1"/>
    </xf>
    <xf numFmtId="0" fontId="6" applyFont="1" fillId="2" applyFill="1" borderId="12" applyBorder="1" xfId="0" applyAlignment="1">
      <alignment horizontal="left" vertical="center" wrapText="1"/>
    </xf>
    <xf numFmtId="0" fontId="6" applyFont="1" fillId="2" applyFill="1" borderId="13" applyBorder="1" xfId="0" applyAlignment="1">
      <alignment horizontal="left" vertical="center" wrapText="1"/>
    </xf>
    <xf numFmtId="4" applyNumberFormat="1" fontId="6" applyFont="1" fillId="2" applyFill="1" borderId="9" applyBorder="1" xfId="0" applyAlignment="1">
      <alignment horizontal="center" vertical="center" wrapText="1"/>
    </xf>
    <xf numFmtId="0" fontId="5" applyFont="1" fillId="0" borderId="11" applyBorder="1" xfId="0" applyAlignment="1">
      <alignment horizontal="center" vertical="center" wrapText="1"/>
    </xf>
    <xf numFmtId="0" fontId="5" applyFont="1" fillId="0" borderId="12" applyBorder="1" xfId="0" applyAlignment="1">
      <alignment horizontal="center" vertical="center" wrapText="1"/>
    </xf>
    <xf numFmtId="0" fontId="5" applyFont="1" fillId="0" borderId="13" applyBorder="1" xfId="0" applyAlignment="1">
      <alignment horizontal="center" vertical="center" wrapText="1"/>
    </xf>
    <xf numFmtId="0" fontId="5" applyFont="1" fillId="0" borderId="1" applyBorder="1" xfId="0" applyAlignment="1">
      <alignment vertical="center"/>
    </xf>
    <xf numFmtId="0" fontId="5" applyFont="1" fillId="0" borderId="2" applyBorder="1" xfId="0" applyAlignment="1">
      <alignment vertical="center"/>
    </xf>
    <xf numFmtId="0" fontId="5" applyFont="1" fillId="0" borderId="3" applyBorder="1" xfId="0" applyAlignment="1">
      <alignment vertical="center"/>
    </xf>
    <xf numFmtId="0" fontId="6" applyFont="1" fillId="0" borderId="9" applyBorder="1" xfId="0" applyAlignment="1">
      <alignment horizontal="left" vertical="center"/>
    </xf>
    <xf numFmtId="4" applyNumberFormat="1" fontId="6" applyFont="1" fillId="0" borderId="9" applyBorder="1" xfId="0" applyAlignment="1">
      <alignment horizontal="center" vertical="center"/>
    </xf>
    <xf numFmtId="0" fontId="5" applyFont="1" fillId="0" borderId="4" applyBorder="1" xfId="0" applyAlignment="1">
      <alignment vertical="center"/>
    </xf>
    <xf numFmtId="0" fontId="5" applyFont="1" fillId="0" borderId="0" xfId="0" applyAlignment="1">
      <alignment vertical="center"/>
    </xf>
    <xf numFmtId="0" fontId="6" applyFont="1" fillId="0" borderId="11" applyBorder="1" xfId="0" applyAlignment="1">
      <alignment horizontal="left" vertical="center"/>
    </xf>
    <xf numFmtId="4" applyNumberFormat="1" fontId="6" applyFont="1" fillId="0" borderId="11" applyBorder="1" xfId="0" applyAlignment="1">
      <alignment horizontal="center" vertical="center"/>
    </xf>
    <xf numFmtId="4" applyNumberFormat="1" fontId="6" applyFont="1" fillId="0" borderId="12" applyBorder="1" xfId="0" applyAlignment="1">
      <alignment horizontal="center" vertical="center"/>
    </xf>
    <xf numFmtId="4" applyNumberFormat="1" fontId="6" applyFont="1" fillId="0" borderId="13" applyBorder="1" xfId="0" applyAlignment="1">
      <alignment horizontal="center" vertical="center"/>
    </xf>
    <xf numFmtId="0" fontId="5" applyFont="1" fillId="0" borderId="0" xfId="0" applyAlignment="1">
      <alignment vertical="center" wrapText="1"/>
    </xf>
    <xf numFmtId="4" applyNumberFormat="1" fontId="6" applyFont="1" fillId="0" borderId="10" applyBorder="1" xfId="0" applyAlignment="1">
      <alignment horizontal="center" vertical="center"/>
    </xf>
    <xf numFmtId="0" fontId="6" applyFont="1" fillId="0" borderId="11" applyBorder="1" xfId="0" applyAlignment="1">
      <alignment horizontal="left" vertical="center" wrapText="1"/>
    </xf>
    <xf numFmtId="0" fontId="6" applyFont="1" fillId="0" borderId="12" applyBorder="1" xfId="0" applyAlignment="1">
      <alignment horizontal="left" vertical="center" wrapText="1"/>
    </xf>
    <xf numFmtId="0" fontId="6" applyFont="1" fillId="0" borderId="12" applyBorder="1" xfId="0" applyAlignment="1">
      <alignment vertical="center" wrapText="1"/>
    </xf>
    <xf numFmtId="2" applyNumberFormat="1" fontId="6" applyFont="1" fillId="0" borderId="12" applyBorder="1" xfId="0" applyAlignment="1">
      <alignment horizontal="center" vertical="center"/>
    </xf>
    <xf numFmtId="2" applyNumberFormat="1" fontId="6" applyFont="1" fillId="0" borderId="13" applyBorder="1" xfId="0" applyAlignment="1">
      <alignment horizontal="center" vertical="center"/>
    </xf>
    <xf numFmtId="0" fontId="15" applyFont="1" fillId="0" borderId="11" applyBorder="1" xfId="0" applyAlignment="1">
      <alignment horizontal="left" vertical="center" wrapText="1"/>
    </xf>
    <xf numFmtId="0" fontId="15" applyFont="1" fillId="0" borderId="12" applyBorder="1" xfId="0" applyAlignment="1">
      <alignment horizontal="left" vertical="center" wrapText="1"/>
    </xf>
    <xf numFmtId="0" fontId="15" applyFont="1" fillId="0" borderId="13" applyBorder="1" xfId="0" applyAlignment="1">
      <alignment horizontal="left" vertical="center" wrapText="1"/>
    </xf>
    <xf numFmtId="0" fontId="16" applyFont="1" fillId="0" borderId="1" applyBorder="1" xfId="0" applyAlignment="1">
      <alignment horizontal="left" vertical="center"/>
    </xf>
    <xf numFmtId="0" fontId="16" applyFont="1" fillId="0" borderId="2" applyBorder="1" xfId="0" applyAlignment="1">
      <alignment horizontal="left" vertical="center"/>
    </xf>
    <xf numFmtId="0" fontId="16" applyFont="1" fillId="0" borderId="3" applyBorder="1" xfId="0" applyAlignment="1">
      <alignment horizontal="left" vertical="center"/>
    </xf>
    <xf numFmtId="0" fontId="9" applyFont="1" fillId="0" borderId="4" applyBorder="1" xfId="0"/>
    <xf numFmtId="0" fontId="9" applyFont="1" fillId="0" borderId="0" xfId="0"/>
    <xf numFmtId="0" fontId="16" applyFont="1" fillId="0" borderId="0" xfId="0" applyAlignment="1">
      <alignment horizontal="center" vertical="center"/>
    </xf>
    <xf numFmtId="0" fontId="16" applyFont="1" fillId="0" borderId="5" applyBorder="1" xfId="0" applyAlignment="1">
      <alignment horizontal="center" vertical="center"/>
    </xf>
    <xf numFmtId="0" fontId="16" applyFont="1" fillId="0" borderId="0" xfId="0"/>
    <xf numFmtId="0" fontId="16" applyFont="1" fillId="0" borderId="5" applyBorder="1" xfId="0"/>
    <xf numFmtId="0" fontId="9" applyFont="1" fillId="0" borderId="6" applyBorder="1" xfId="0"/>
    <xf numFmtId="0" fontId="9" applyFont="1" fillId="0" borderId="7" applyBorder="1" xfId="0"/>
    <xf numFmtId="0" fontId="16" applyFont="1" fillId="0" borderId="7" applyBorder="1" xfId="0" applyAlignment="1">
      <alignment horizontal="center" vertical="center"/>
    </xf>
    <xf numFmtId="0" fontId="16" applyFont="1" fillId="0" borderId="8" applyBorder="1" xfId="0" applyAlignment="1">
      <alignment horizontal="center" vertical="center"/>
    </xf>
    <xf numFmtId="0" fontId="17" applyFont="1" fillId="0" borderId="4" applyBorder="1" xfId="0" applyAlignment="1">
      <alignment horizontal="center"/>
    </xf>
    <xf numFmtId="0" fontId="17" applyFont="1" fillId="0" borderId="0" xfId="0" applyAlignment="1">
      <alignment horizontal="center"/>
    </xf>
    <xf numFmtId="0" fontId="17" applyFont="1" fillId="0" borderId="5" applyBorder="1" xfId="0" applyAlignment="1">
      <alignment horizontal="center"/>
    </xf>
    <xf numFmtId="0" fontId="17" applyFont="1" fillId="0" borderId="6" applyBorder="1" xfId="0" applyAlignment="1">
      <alignment horizontal="center"/>
    </xf>
    <xf numFmtId="0" fontId="17" applyFont="1" fillId="0" borderId="7" applyBorder="1" xfId="0" applyAlignment="1">
      <alignment horizontal="center"/>
    </xf>
    <xf numFmtId="0" fontId="17" applyFont="1" fillId="0" borderId="8" applyBorder="1" xfId="0" applyAlignment="1">
      <alignment horizontal="center"/>
    </xf>
    <xf numFmtId="0" fontId="18" applyFont="1" fillId="0" borderId="0" xfId="0" applyAlignment="1">
      <alignment horizontal="left" vertical="center"/>
    </xf>
    <xf numFmtId="0" fontId="19" applyFont="1" fillId="0" borderId="0" xfId="0" applyAlignment="1">
      <alignment horizontal="left" vertical="center"/>
    </xf>
    <xf numFmtId="2" applyNumberFormat="1" fontId="20" applyFont="1" fillId="0" borderId="0" xfId="0" applyAlignment="1">
      <alignment horizontal="center" vertical="center"/>
    </xf>
    <xf numFmtId="0" fontId="21" applyFont="1" fillId="0" borderId="1" applyBorder="1" xfId="0" applyAlignment="1">
      <alignment horizontal="center" vertical="center"/>
    </xf>
    <xf numFmtId="0" fontId="21" applyFont="1" fillId="0" borderId="2" applyBorder="1" xfId="0" applyAlignment="1">
      <alignment horizontal="center" vertical="center"/>
    </xf>
    <xf numFmtId="0" fontId="21" applyFont="1" fillId="0" borderId="3" applyBorder="1" xfId="0" applyAlignment="1">
      <alignment horizontal="center" vertical="center"/>
    </xf>
    <xf numFmtId="0" fontId="22" applyFont="1" fillId="0" borderId="9" applyBorder="1" xfId="0" applyAlignment="1">
      <alignment horizontal="left" indent="1"/>
    </xf>
    <xf numFmtId="0" fontId="21" applyFont="1" fillId="0" borderId="4" applyBorder="1" xfId="0" applyAlignment="1">
      <alignment horizontal="center" vertical="center"/>
    </xf>
    <xf numFmtId="0" fontId="21" applyFont="1" fillId="0" borderId="0" xfId="0" applyAlignment="1">
      <alignment horizontal="center" vertical="center"/>
    </xf>
    <xf numFmtId="0" fontId="21" applyFont="1" fillId="0" borderId="5" applyBorder="1" xfId="0" applyAlignment="1">
      <alignment horizontal="center" vertical="center"/>
    </xf>
    <xf numFmtId="0" fontId="21" applyFont="1" fillId="0" borderId="6" applyBorder="1" xfId="0" applyAlignment="1">
      <alignment horizontal="center" vertical="center"/>
    </xf>
    <xf numFmtId="0" fontId="21" applyFont="1" fillId="0" borderId="7" applyBorder="1" xfId="0" applyAlignment="1">
      <alignment horizontal="center" vertical="center"/>
    </xf>
    <xf numFmtId="0" fontId="21" applyFont="1" fillId="0" borderId="8" applyBorder="1" xfId="0" applyAlignment="1">
      <alignment horizontal="center" vertical="center"/>
    </xf>
    <xf numFmtId="0" fontId="22" applyFont="1" fillId="0" borderId="10" applyBorder="1" xfId="0" applyAlignment="1">
      <alignment horizontal="left" indent="1"/>
    </xf>
    <xf numFmtId="0" fontId="23" applyFont="1" fillId="0" borderId="1" applyBorder="1" xfId="0" applyAlignment="1">
      <alignment horizontal="left" vertical="center"/>
    </xf>
    <xf numFmtId="0" fontId="23" applyFont="1" fillId="0" borderId="3" applyBorder="1" xfId="0" applyAlignment="1">
      <alignment horizontal="left" vertical="center"/>
    </xf>
    <xf numFmtId="0" fontId="24" applyFont="1" fillId="0" borderId="1" applyBorder="1" xfId="0" applyAlignment="1">
      <alignment horizontal="left" vertical="center"/>
    </xf>
    <xf numFmtId="0" fontId="24" applyFont="1" fillId="0" borderId="2" applyBorder="1" xfId="0" applyAlignment="1">
      <alignment horizontal="left" vertical="center"/>
    </xf>
    <xf numFmtId="0" fontId="24" applyFont="1" fillId="0" borderId="3" applyBorder="1" xfId="0" applyAlignment="1">
      <alignment horizontal="left" vertical="center"/>
    </xf>
    <xf numFmtId="0" fontId="23" applyFont="1" fillId="0" borderId="2" applyBorder="1" xfId="0" applyAlignment="1">
      <alignment horizontal="left" vertical="center"/>
    </xf>
    <xf numFmtId="164" applyNumberFormat="1" fontId="24" applyFont="1" fillId="0" borderId="2" applyBorder="1" xfId="0" applyAlignment="1">
      <alignment horizontal="left" vertical="center"/>
    </xf>
    <xf numFmtId="164" applyNumberFormat="1" fontId="24" applyFont="1" fillId="0" borderId="3" applyBorder="1" xfId="0" applyAlignment="1">
      <alignment horizontal="left" vertical="center"/>
    </xf>
    <xf numFmtId="0" fontId="23" applyFont="1" fillId="0" borderId="4" applyBorder="1" xfId="0" applyAlignment="1">
      <alignment horizontal="left" vertical="center"/>
    </xf>
    <xf numFmtId="0" fontId="23" applyFont="1" fillId="0" borderId="5" applyBorder="1" xfId="0" applyAlignment="1">
      <alignment horizontal="left" vertical="center"/>
    </xf>
    <xf numFmtId="0" fontId="23" applyFont="1" fillId="0" borderId="0" xfId="0" applyAlignment="1">
      <alignment horizontal="left" vertical="center"/>
    </xf>
    <xf numFmtId="49" applyNumberFormat="1" fontId="23" applyFont="1" fillId="0" borderId="0" xfId="0" applyAlignment="1">
      <alignment horizontal="left" vertical="center"/>
    </xf>
    <xf numFmtId="49" applyNumberFormat="1" fontId="23" applyFont="1" fillId="0" borderId="5" applyBorder="1" xfId="0" applyAlignment="1">
      <alignment horizontal="left" vertical="center"/>
    </xf>
    <xf numFmtId="0" fontId="23" applyFont="1" fillId="0" borderId="6" applyBorder="1" xfId="0" applyAlignment="1">
      <alignment horizontal="left" vertical="center"/>
    </xf>
    <xf numFmtId="0" fontId="23" applyFont="1" fillId="0" borderId="8" applyBorder="1" xfId="0" applyAlignment="1">
      <alignment horizontal="left" vertical="center"/>
    </xf>
    <xf numFmtId="0" fontId="23" applyFont="1" fillId="0" borderId="7" applyBorder="1" xfId="0" applyAlignment="1">
      <alignment horizontal="left" vertical="center"/>
    </xf>
    <xf numFmtId="0" fontId="25" applyFont="1" fillId="0" borderId="4" applyBorder="1" xfId="0" applyAlignment="1">
      <alignment vertical="center"/>
    </xf>
    <xf numFmtId="0" fontId="25" applyFont="1" fillId="0" borderId="0" xfId="0" applyAlignment="1">
      <alignment vertical="center"/>
    </xf>
    <xf numFmtId="0" fontId="25" applyFont="1" fillId="0" borderId="5" applyBorder="1" xfId="0" applyAlignment="1">
      <alignment vertical="center"/>
    </xf>
    <xf numFmtId="0" fontId="26" applyFont="1" fillId="0" borderId="11" applyBorder="1" xfId="0" applyAlignment="1">
      <alignment horizontal="left" vertical="center"/>
    </xf>
    <xf numFmtId="0" fontId="19" applyFont="1" fillId="0" borderId="12" applyBorder="1" xfId="0" applyAlignment="1">
      <alignment horizontal="left" vertical="center"/>
    </xf>
    <xf numFmtId="0" fontId="26" applyFont="1" fillId="0" borderId="12" applyBorder="1" xfId="0" applyAlignment="1">
      <alignment horizontal="left" vertical="center"/>
    </xf>
    <xf numFmtId="0" fontId="19" applyFont="1" fillId="0" borderId="13" applyBorder="1" xfId="0" applyAlignment="1">
      <alignment horizontal="left" vertical="center"/>
    </xf>
    <xf numFmtId="0" fontId="19" applyFont="1" fillId="0" borderId="1" applyBorder="1" xfId="0" applyAlignment="1">
      <alignment horizontal="left" vertical="center"/>
    </xf>
    <xf numFmtId="0" fontId="19" applyFont="1" fillId="0" borderId="2" applyBorder="1" xfId="0" applyAlignment="1">
      <alignment horizontal="left" vertical="center"/>
    </xf>
    <xf numFmtId="0" fontId="19" applyFont="1" fillId="0" borderId="3" applyBorder="1" xfId="0" applyAlignment="1">
      <alignment horizontal="left" vertical="center"/>
    </xf>
    <xf numFmtId="0" fontId="25" applyFont="1" fillId="0" borderId="4" applyBorder="1" xfId="0" applyAlignment="1">
      <alignment horizontal="left" vertical="center"/>
    </xf>
    <xf numFmtId="0" fontId="25" applyFont="1" fillId="0" borderId="0" xfId="0" applyAlignment="1">
      <alignment horizontal="left" vertical="center"/>
    </xf>
    <xf numFmtId="0" fontId="25" applyFont="1" fillId="0" borderId="5" applyBorder="1" xfId="0" applyAlignment="1">
      <alignment horizontal="left" vertical="center"/>
    </xf>
    <xf numFmtId="0" fontId="19" applyFont="1" fillId="0" borderId="4" applyBorder="1" xfId="0" applyAlignment="1">
      <alignment horizontal="left" vertical="center"/>
    </xf>
    <xf numFmtId="0" fontId="19" applyFont="1" fillId="0" borderId="5" applyBorder="1" xfId="0" applyAlignment="1">
      <alignment horizontal="left" vertical="center"/>
    </xf>
    <xf numFmtId="49" applyNumberFormat="1" fontId="25" applyFont="1" fillId="0" borderId="6" applyBorder="1" xfId="0" quotePrefix="1" applyAlignment="1">
      <alignment horizontal="left" vertical="center"/>
    </xf>
    <xf numFmtId="49" applyNumberFormat="1" fontId="25" applyFont="1" fillId="0" borderId="7" applyBorder="1" xfId="0" quotePrefix="1" applyAlignment="1">
      <alignment horizontal="left" vertical="center"/>
    </xf>
    <xf numFmtId="49" applyNumberFormat="1" fontId="25" applyFont="1" fillId="0" borderId="8" applyBorder="1" xfId="0" quotePrefix="1" applyAlignment="1">
      <alignment horizontal="left" vertical="center"/>
    </xf>
    <xf numFmtId="49" applyNumberFormat="1" fontId="25" applyFont="1" fillId="0" borderId="6" applyBorder="1" xfId="0" applyAlignment="1">
      <alignment horizontal="left" vertical="center"/>
    </xf>
    <xf numFmtId="49" applyNumberFormat="1" fontId="25" applyFont="1" fillId="0" borderId="7" applyBorder="1" xfId="0" applyAlignment="1">
      <alignment horizontal="left" vertical="center"/>
    </xf>
    <xf numFmtId="49" applyNumberFormat="1" fontId="25" applyFont="1" fillId="0" borderId="8" applyBorder="1" xfId="0" applyAlignment="1">
      <alignment horizontal="left" vertical="center"/>
    </xf>
    <xf numFmtId="0" fontId="27" applyFont="1" fillId="0" borderId="4" applyBorder="1" xfId="0"/>
    <xf numFmtId="0" fontId="27" applyFont="1" fillId="0" borderId="0" xfId="0"/>
    <xf numFmtId="0" fontId="27" applyFont="1" fillId="0" borderId="5" applyBorder="1" xfId="0"/>
    <xf numFmtId="0" fontId="2" applyFont="1" fillId="0" borderId="11" applyBorder="1" xfId="0" applyAlignment="1">
      <alignment horizontal="left" vertical="center" wrapText="1"/>
    </xf>
    <xf numFmtId="0" fontId="2" applyFont="1" fillId="0" borderId="12" applyBorder="1" xfId="0" applyAlignment="1">
      <alignment horizontal="left" vertical="center" wrapText="1"/>
    </xf>
    <xf numFmtId="0" fontId="2" applyFont="1" fillId="0" borderId="13" applyBorder="1" xfId="0" applyAlignment="1">
      <alignment horizontal="left" vertical="center" wrapText="1"/>
    </xf>
    <xf numFmtId="0" fontId="23" applyFont="1" fillId="2" applyFill="1" borderId="9" applyBorder="1" xfId="0" applyAlignment="1">
      <alignment horizontal="center" vertical="center" wrapText="1"/>
    </xf>
    <xf numFmtId="0" fontId="23" applyFont="1" fillId="2" applyFill="1" borderId="11" applyBorder="1" xfId="0" applyAlignment="1">
      <alignment horizontal="center" vertical="center" wrapText="1"/>
    </xf>
    <xf numFmtId="0" fontId="23" applyFont="1" fillId="2" applyFill="1" borderId="12" applyBorder="1" xfId="0" applyAlignment="1">
      <alignment horizontal="center" vertical="center" wrapText="1"/>
    </xf>
    <xf numFmtId="0" fontId="23" applyFont="1" fillId="2" applyFill="1" borderId="13" applyBorder="1" xfId="0" applyAlignment="1">
      <alignment horizontal="center" vertical="center" wrapText="1"/>
    </xf>
    <xf numFmtId="0" fontId="25" applyFont="1" fillId="0" borderId="10" applyBorder="1" xfId="0" applyAlignment="1">
      <alignment horizontal="center" vertical="center"/>
    </xf>
    <xf numFmtId="0" fontId="28" applyFont="1" fillId="0" borderId="1" applyBorder="1" xfId="0" applyAlignment="1">
      <alignment horizontal="left" vertical="center" wrapText="1"/>
    </xf>
    <xf numFmtId="0" fontId="28" applyFont="1" fillId="0" borderId="2" applyBorder="1" xfId="0" applyAlignment="1">
      <alignment horizontal="left" vertical="center" wrapText="1"/>
    </xf>
    <xf numFmtId="0" fontId="28" applyFont="1" fillId="0" borderId="3" applyBorder="1" xfId="0" applyAlignment="1">
      <alignment horizontal="left" vertical="center" wrapText="1"/>
    </xf>
    <xf numFmtId="0" fontId="25" applyFont="1" fillId="0" borderId="10" applyBorder="1" xfId="0" applyAlignment="1">
      <alignment vertical="center"/>
    </xf>
    <xf numFmtId="0" fontId="25" applyFont="1" fillId="0" borderId="14" applyBorder="1" xfId="0" applyAlignment="1">
      <alignment horizontal="center" vertical="center"/>
    </xf>
    <xf numFmtId="0" fontId="23" applyFont="1" fillId="0" borderId="4" applyBorder="1" xfId="0" applyAlignment="1">
      <alignment horizontal="left" vertical="center" wrapText="1"/>
    </xf>
    <xf numFmtId="0" fontId="23" applyFont="1" fillId="0" borderId="0" xfId="0" applyAlignment="1">
      <alignment horizontal="left" vertical="center" wrapText="1"/>
    </xf>
    <xf numFmtId="0" fontId="23" applyFont="1" fillId="0" borderId="5" applyBorder="1" xfId="0" applyAlignment="1">
      <alignment horizontal="left" vertical="center" wrapText="1"/>
    </xf>
    <xf numFmtId="2" applyNumberFormat="1" fontId="25" applyFont="1" fillId="0" borderId="14" applyBorder="1" xfId="0" applyAlignment="1">
      <alignment horizontal="center" vertical="center" wrapText="1"/>
    </xf>
    <xf numFmtId="0" fontId="23" applyFont="1" fillId="0" borderId="14" applyBorder="1" xfId="0" applyAlignment="1">
      <alignment horizontal="center" vertical="center"/>
    </xf>
    <xf numFmtId="4" applyNumberFormat="1" fontId="25" applyFont="1" fillId="0" borderId="14" applyBorder="1" xfId="0" applyAlignment="1">
      <alignment horizontal="center" vertical="center" wrapText="1"/>
    </xf>
    <xf numFmtId="4" applyNumberFormat="1" fontId="23" applyFont="1" fillId="0" borderId="14" applyBorder="1" xfId="0" applyAlignment="1">
      <alignment horizontal="center" vertical="center" wrapText="1"/>
    </xf>
    <xf numFmtId="0" fontId="23" applyFont="1" fillId="0" borderId="14" applyBorder="1" xfId="0" applyAlignment="1">
      <alignment vertical="center"/>
    </xf>
    <xf numFmtId="2" applyNumberFormat="1" fontId="23" applyFont="1" fillId="0" borderId="14" applyBorder="1" xfId="0" applyAlignment="1">
      <alignment horizontal="center" vertical="center" wrapText="1"/>
    </xf>
    <xf numFmtId="0" fontId="19" applyFont="1" fillId="2" applyFill="1" borderId="11" applyBorder="1" xfId="0" applyAlignment="1">
      <alignment horizontal="left" vertical="center" wrapText="1"/>
    </xf>
    <xf numFmtId="0" fontId="19" applyFont="1" fillId="2" applyFill="1" borderId="12" applyBorder="1" xfId="0" applyAlignment="1">
      <alignment horizontal="left" vertical="center" wrapText="1"/>
    </xf>
    <xf numFmtId="0" fontId="19" applyFont="1" fillId="2" applyFill="1" borderId="13" applyBorder="1" xfId="0" applyAlignment="1">
      <alignment horizontal="left" vertical="center" wrapText="1"/>
    </xf>
    <xf numFmtId="4" applyNumberFormat="1" fontId="19" applyFont="1" fillId="2" applyFill="1" borderId="9" applyBorder="1" xfId="0" applyAlignment="1">
      <alignment horizontal="center" vertical="center" wrapText="1"/>
    </xf>
    <xf numFmtId="0" fontId="23" applyFont="1" fillId="0" borderId="11" applyBorder="1" xfId="0" applyAlignment="1">
      <alignment horizontal="center" vertical="center" wrapText="1"/>
    </xf>
    <xf numFmtId="0" fontId="23" applyFont="1" fillId="0" borderId="12" applyBorder="1" xfId="0" applyAlignment="1">
      <alignment horizontal="center" vertical="center" wrapText="1"/>
    </xf>
    <xf numFmtId="0" fontId="23" applyFont="1" fillId="0" borderId="13" applyBorder="1" xfId="0" applyAlignment="1">
      <alignment horizontal="center" vertical="center" wrapText="1"/>
    </xf>
    <xf numFmtId="0" fontId="29" applyFont="1" fillId="0" borderId="1" applyBorder="1" xfId="0" applyAlignment="1">
      <alignment vertical="center"/>
    </xf>
    <xf numFmtId="0" fontId="29" applyFont="1" fillId="0" borderId="2" applyBorder="1" xfId="0" applyAlignment="1">
      <alignment vertical="center"/>
    </xf>
    <xf numFmtId="0" fontId="29" applyFont="1" fillId="0" borderId="3" applyBorder="1" xfId="0" applyAlignment="1">
      <alignment vertical="center"/>
    </xf>
    <xf numFmtId="0" fontId="30" applyFont="1" fillId="0" borderId="9" applyBorder="1" xfId="0" applyAlignment="1">
      <alignment horizontal="left" vertical="center"/>
    </xf>
    <xf numFmtId="4" applyNumberFormat="1" fontId="30" applyFont="1" fillId="0" borderId="9" applyBorder="1" xfId="0" applyAlignment="1">
      <alignment horizontal="center" vertical="center"/>
    </xf>
    <xf numFmtId="0" fontId="29" applyFont="1" fillId="0" borderId="4" applyBorder="1" xfId="0" applyAlignment="1">
      <alignment vertical="center"/>
    </xf>
    <xf numFmtId="0" fontId="29" applyFont="1" fillId="0" borderId="0" xfId="0" applyAlignment="1">
      <alignment vertical="center"/>
    </xf>
    <xf numFmtId="4" applyNumberFormat="1" fontId="30" applyFont="1" fillId="0" borderId="10" applyBorder="1" xfId="0" applyAlignment="1">
      <alignment horizontal="center" vertical="center"/>
    </xf>
    <xf numFmtId="0" fontId="29" applyFont="1" fillId="0" borderId="4" applyBorder="1" xfId="0" applyAlignment="1">
      <alignment horizontal="left" vertical="center" wrapText="1"/>
    </xf>
    <xf numFmtId="0" fontId="29" applyFont="1" fillId="0" borderId="0" xfId="0" applyAlignment="1">
      <alignment horizontal="left" vertical="center" wrapText="1"/>
    </xf>
    <xf numFmtId="0" fontId="29" applyFont="1" fillId="0" borderId="0" xfId="0" applyAlignment="1">
      <alignment vertical="center" wrapText="1"/>
    </xf>
    <xf numFmtId="0" fontId="19" applyFont="1" fillId="0" borderId="0" xfId="0" applyAlignment="1">
      <alignment vertical="center" wrapText="1"/>
    </xf>
    <xf numFmtId="2" applyNumberFormat="1" fontId="19" applyFont="1" fillId="0" borderId="2" applyBorder="1" xfId="0" applyAlignment="1">
      <alignment horizontal="center" vertical="center"/>
    </xf>
    <xf numFmtId="2" applyNumberFormat="1" fontId="19" applyFont="1" fillId="0" borderId="3" applyBorder="1" xfId="0" applyAlignment="1">
      <alignment horizontal="center" vertical="center"/>
    </xf>
    <xf numFmtId="0" fontId="19" applyFont="1" fillId="0" borderId="11" applyBorder="1" xfId="0" applyAlignment="1">
      <alignment horizontal="left" vertical="center" wrapText="1"/>
    </xf>
    <xf numFmtId="0" fontId="19" applyFont="1" fillId="0" borderId="12" applyBorder="1" xfId="0" applyAlignment="1">
      <alignment horizontal="left" vertical="center" wrapText="1"/>
    </xf>
    <xf numFmtId="0" fontId="19" applyFont="1" fillId="0" borderId="12" applyBorder="1" xfId="0" applyAlignment="1">
      <alignment vertical="center" wrapText="1"/>
    </xf>
    <xf numFmtId="0" fontId="30" applyFont="1" fillId="0" borderId="12" applyBorder="1" xfId="0" applyAlignment="1">
      <alignment horizontal="left" vertical="center" wrapText="1"/>
    </xf>
    <xf numFmtId="0" fontId="30" applyFont="1" fillId="0" borderId="13" applyBorder="1" xfId="0" applyAlignment="1">
      <alignment horizontal="left" vertical="center" wrapText="1"/>
    </xf>
    <xf numFmtId="0" fontId="24" applyFont="1" fillId="0" borderId="11" applyBorder="1" xfId="0" applyAlignment="1">
      <alignment horizontal="center" vertical="center" wrapText="1"/>
    </xf>
    <xf numFmtId="0" fontId="24" applyFont="1" fillId="0" borderId="12" applyBorder="1" xfId="0" applyAlignment="1">
      <alignment horizontal="center" vertical="center" wrapText="1"/>
    </xf>
    <xf numFmtId="0" fontId="24" applyFont="1" fillId="0" borderId="13" applyBorder="1" xfId="0" applyAlignment="1">
      <alignment horizontal="center" vertical="center" wrapText="1"/>
    </xf>
    <xf numFmtId="0" fontId="31" applyFont="1" fillId="0" borderId="4" applyBorder="1" xfId="0" applyAlignment="1">
      <alignment horizontal="left" vertical="center"/>
    </xf>
    <xf numFmtId="0" fontId="31" applyFont="1" fillId="0" borderId="0" xfId="0" applyAlignment="1">
      <alignment horizontal="left" vertical="center"/>
    </xf>
    <xf numFmtId="0" fontId="31" applyFont="1" fillId="0" borderId="0" xfId="0" applyAlignment="1">
      <alignment horizontal="center" vertical="center"/>
    </xf>
    <xf numFmtId="0" fontId="31" applyFont="1" fillId="0" borderId="5" applyBorder="1" xfId="0" applyAlignment="1">
      <alignment horizontal="center" vertical="center"/>
    </xf>
    <xf numFmtId="0" fontId="25" applyFont="1" fillId="0" borderId="4" applyBorder="1" xfId="0"/>
    <xf numFmtId="0" fontId="25" applyFont="1" fillId="0" borderId="0" xfId="0"/>
    <xf numFmtId="0" fontId="31" applyFont="1" fillId="0" borderId="0" xfId="0"/>
    <xf numFmtId="0" fontId="31" applyFont="1" fillId="0" borderId="5" applyBorder="1" xfId="0"/>
    <xf numFmtId="0" fontId="17" applyFont="1" fillId="0" borderId="1" applyBorder="1" xfId="0" applyAlignment="1">
      <alignment horizontal="center"/>
    </xf>
    <xf numFmtId="0" fontId="17" applyFont="1" fillId="0" borderId="2" applyBorder="1" xfId="0" applyAlignment="1">
      <alignment horizontal="center"/>
    </xf>
    <xf numFmtId="0" fontId="17" applyFont="1" fillId="0" borderId="3" applyBorder="1" xfId="0" applyAlignment="1">
      <alignment horizontal="center"/>
    </xf>
    <xf numFmtId="0" fontId="19" applyFont="1" fillId="0" borderId="7" applyBorder="1" xfId="0" applyAlignment="1">
      <alignment vertical="center"/>
    </xf>
    <xf numFmtId="2" applyNumberFormat="1" fontId="20" applyFont="1" fillId="0" borderId="7" applyBorder="1" xfId="0" applyAlignment="1">
      <alignment vertical="center"/>
    </xf>
    <xf numFmtId="2" applyNumberFormat="1" fontId="20" applyFont="1" fillId="0" borderId="8" applyBorder="1" xfId="0" applyAlignment="1">
      <alignment vertical="center"/>
    </xf>
    <xf numFmtId="0" fontId="32" applyFont="1" fillId="0" borderId="0" xfId="0"/>
    <xf numFmtId="0" fontId="32" applyFont="1" fillId="0" borderId="1" applyBorder="1" xfId="0"/>
    <xf numFmtId="0" fontId="32" applyFont="1" fillId="0" borderId="2" applyBorder="1" xfId="0"/>
    <xf numFmtId="0" fontId="32" applyFont="1" fillId="0" borderId="3" applyBorder="1" xfId="0"/>
    <xf numFmtId="0" fontId="32" applyFont="1" fillId="0" borderId="4" applyBorder="1" xfId="0"/>
    <xf numFmtId="0" fontId="32" applyFont="1" fillId="0" borderId="5" applyBorder="1" xfId="0"/>
    <xf numFmtId="0" fontId="32" applyFont="1" fillId="0" borderId="6" applyBorder="1" xfId="0"/>
    <xf numFmtId="0" fontId="32" applyFont="1" fillId="0" borderId="7" applyBorder="1" xfId="0"/>
    <xf numFmtId="0" fontId="32" applyFont="1" fillId="0" borderId="8" applyBorder="1" xfId="0"/>
    <xf numFmtId="0" fontId="24" applyFont="1" fillId="0" borderId="9" applyBorder="1" xfId="0" applyAlignment="1">
      <alignment horizontal="center" vertical="center"/>
    </xf>
    <xf numFmtId="0" fontId="29" applyFont="1" fillId="0" borderId="9" applyBorder="1" xfId="0" applyAlignment="1">
      <alignment horizontal="left" vertical="center"/>
    </xf>
    <xf numFmtId="0" fontId="24" applyFont="1" fillId="0" borderId="11" applyBorder="1" xfId="0" applyAlignment="1">
      <alignment horizontal="left" vertical="center"/>
    </xf>
    <xf numFmtId="0" fontId="24" applyFont="1" fillId="0" borderId="12" applyBorder="1" xfId="0" applyAlignment="1">
      <alignment horizontal="left" vertical="center"/>
    </xf>
    <xf numFmtId="0" fontId="24" applyFont="1" fillId="0" borderId="13" applyBorder="1" xfId="0" applyAlignment="1">
      <alignment horizontal="left" vertical="center"/>
    </xf>
    <xf numFmtId="0" fontId="23" applyFont="1" fillId="0" borderId="0" xfId="0"/>
    <xf numFmtId="0" fontId="29" applyFont="1" fillId="0" borderId="9" applyBorder="1" xfId="0" applyAlignment="1">
      <alignment horizontal="left" vertical="center" wrapText="1"/>
    </xf>
    <xf numFmtId="0" fontId="31" applyFont="1" fillId="0" borderId="9" applyBorder="1" xfId="0" applyAlignment="1">
      <alignment horizontal="left" vertical="center"/>
    </xf>
    <xf numFmtId="4" applyNumberFormat="1" fontId="23" applyFont="1" fillId="0" borderId="0" xfId="0"/>
    <xf numFmtId="0" fontId="30" applyFont="1" fillId="0" borderId="11" applyBorder="1" xfId="0" applyAlignment="1">
      <alignment horizontal="left" vertical="center"/>
    </xf>
    <xf numFmtId="0" fontId="30" applyFont="1" fillId="0" borderId="12" applyBorder="1" xfId="0" applyAlignment="1">
      <alignment horizontal="left" vertical="center"/>
    </xf>
    <xf numFmtId="0" fontId="30" applyFont="1" fillId="0" borderId="13" applyBorder="1" xfId="0" applyAlignment="1">
      <alignment horizontal="left" vertical="center"/>
    </xf>
    <xf numFmtId="0" fontId="33" applyFont="1" fillId="0" borderId="11" applyBorder="1" xfId="0" applyAlignment="1">
      <alignment horizontal="center" vertical="center"/>
    </xf>
    <xf numFmtId="0" fontId="33" applyFont="1" fillId="0" borderId="12" applyBorder="1" xfId="0" applyAlignment="1">
      <alignment horizontal="center" vertical="center"/>
    </xf>
    <xf numFmtId="0" fontId="33" applyFont="1" fillId="0" borderId="13" applyBorder="1" xfId="0" applyAlignment="1">
      <alignment horizontal="center" vertical="center"/>
    </xf>
    <xf numFmtId="0" fontId="30" applyFont="1" fillId="3" applyFill="1" borderId="9" applyBorder="1" xfId="0" applyAlignment="1">
      <alignment horizontal="center" vertical="center"/>
    </xf>
    <xf numFmtId="0" fontId="30" applyFont="1" fillId="3" applyFill="1" borderId="11" applyBorder="1" xfId="0" applyAlignment="1">
      <alignment horizontal="left" vertical="center"/>
    </xf>
    <xf numFmtId="0" fontId="30" applyFont="1" fillId="3" applyFill="1" borderId="12" applyBorder="1" xfId="0" applyAlignment="1">
      <alignment horizontal="left" vertical="center"/>
    </xf>
    <xf numFmtId="0" fontId="30" applyFont="1" fillId="3" applyFill="1" borderId="13" applyBorder="1" xfId="0" applyAlignment="1">
      <alignment horizontal="left" vertical="center"/>
    </xf>
    <xf numFmtId="0" fontId="30" applyFont="1" fillId="3" applyFill="1" borderId="11" applyBorder="1" xfId="0" applyAlignment="1">
      <alignment horizontal="right" vertical="center" wrapText="1"/>
    </xf>
    <xf numFmtId="0" fontId="30" applyFont="1" fillId="3" applyFill="1" borderId="13" applyBorder="1" xfId="0" applyAlignment="1">
      <alignment horizontal="right" vertical="center" wrapText="1"/>
    </xf>
    <xf numFmtId="0" fontId="30" applyFont="1" fillId="3" applyFill="1" borderId="11" applyBorder="1" xfId="0" applyAlignment="1">
      <alignment horizontal="right" vertical="center"/>
    </xf>
    <xf numFmtId="0" fontId="30" applyFont="1" fillId="3" applyFill="1" borderId="13" applyBorder="1" xfId="0" applyAlignment="1">
      <alignment horizontal="right" vertical="center"/>
    </xf>
    <xf numFmtId="0" fontId="33" applyFont="1" fillId="0" borderId="9" applyBorder="1" xfId="0" applyAlignment="1">
      <alignment horizontal="center"/>
    </xf>
    <xf numFmtId="0" fontId="29" applyFont="1" fillId="0" borderId="9" applyBorder="1" xfId="0" applyAlignment="1">
      <alignment horizontal="left" wrapText="1"/>
    </xf>
    <xf numFmtId="4" applyNumberFormat="1" fontId="29" applyFont="1" fillId="0" applyFill="1" borderId="11" applyBorder="1" xfId="1" applyAlignment="1">
      <alignment horizontal="right"/>
    </xf>
    <xf numFmtId="4" applyNumberFormat="1" fontId="29" applyFont="1" fillId="0" applyFill="1" borderId="13" applyBorder="1" xfId="1" applyAlignment="1">
      <alignment horizontal="right"/>
    </xf>
    <xf numFmtId="4" applyNumberFormat="1" fontId="24" applyFont="1" fillId="0" borderId="9" applyBorder="1" xfId="1" applyAlignment="1">
      <alignment horizontal="right"/>
    </xf>
    <xf numFmtId="4" applyNumberFormat="1" fontId="29" applyFont="1" fillId="0" borderId="9" applyBorder="1" xfId="1" applyAlignment="1">
      <alignment horizontal="right"/>
    </xf>
    <xf numFmtId="0" fontId="29" applyFont="1" fillId="0" borderId="11" applyBorder="1" xfId="0" applyAlignment="1">
      <alignment horizontal="left" wrapText="1"/>
    </xf>
    <xf numFmtId="0" fontId="29" applyFont="1" fillId="0" borderId="12" applyBorder="1" xfId="0" applyAlignment="1">
      <alignment horizontal="left" wrapText="1"/>
    </xf>
    <xf numFmtId="0" fontId="29" applyFont="1" fillId="0" borderId="13" applyBorder="1" xfId="0" applyAlignment="1">
      <alignment horizontal="left" wrapText="1"/>
    </xf>
    <xf numFmtId="4" applyNumberFormat="1" fontId="24" applyFont="1" fillId="0" borderId="11" applyBorder="1" xfId="1" applyAlignment="1">
      <alignment horizontal="right"/>
    </xf>
    <xf numFmtId="4" applyNumberFormat="1" fontId="24" applyFont="1" fillId="0" borderId="13" applyBorder="1" xfId="1" applyAlignment="1">
      <alignment horizontal="right"/>
    </xf>
    <xf numFmtId="0" fontId="29" applyFont="1" fillId="0" borderId="12" applyBorder="1" xfId="0" applyAlignment="1">
      <alignment horizontal="left"/>
    </xf>
    <xf numFmtId="0" fontId="29" applyFont="1" fillId="0" borderId="13" applyBorder="1" xfId="0" applyAlignment="1">
      <alignment horizontal="left"/>
    </xf>
    <xf numFmtId="0" fontId="29" applyFont="1" fillId="0" borderId="11" applyBorder="1" xfId="0" applyAlignment="1">
      <alignment horizontal="left"/>
    </xf>
    <xf numFmtId="0" fontId="29" applyFont="1" fillId="0" borderId="9" applyBorder="1" xfId="0" applyAlignment="1">
      <alignment horizontal="left"/>
    </xf>
    <xf numFmtId="4" applyNumberFormat="1" fontId="24" applyFont="1" fillId="0" borderId="11" applyBorder="1" xfId="0" applyAlignment="1">
      <alignment horizontal="right"/>
    </xf>
    <xf numFmtId="4" applyNumberFormat="1" fontId="24" applyFont="1" fillId="0" borderId="13" applyBorder="1" xfId="0" applyAlignment="1">
      <alignment horizontal="right"/>
    </xf>
    <xf numFmtId="0" fontId="30" applyFont="1" fillId="3" applyFill="1" borderId="1" applyBorder="1" xfId="0" applyAlignment="1">
      <alignment horizontal="center" vertical="center" wrapText="1"/>
    </xf>
    <xf numFmtId="0" fontId="30" applyFont="1" fillId="3" applyFill="1" borderId="2" applyBorder="1" xfId="0" applyAlignment="1">
      <alignment horizontal="center" vertical="center" wrapText="1"/>
    </xf>
    <xf numFmtId="0" fontId="30" applyFont="1" fillId="3" applyFill="1" borderId="3" applyBorder="1" xfId="0" applyAlignment="1">
      <alignment horizontal="center" vertical="center" wrapText="1"/>
    </xf>
    <xf numFmtId="0" fontId="33" applyFont="1" fillId="0" borderId="4" applyBorder="1" xfId="0" applyAlignment="1">
      <alignment horizontal="center" vertical="center" wrapText="1"/>
    </xf>
    <xf numFmtId="0" fontId="33" applyFont="1" fillId="0" borderId="0" xfId="0" applyAlignment="1">
      <alignment horizontal="left" vertical="center" wrapText="1"/>
    </xf>
    <xf numFmtId="0" fontId="33" applyFont="1" fillId="0" borderId="5" applyBorder="1" xfId="0" applyAlignment="1">
      <alignment horizontal="left" vertical="center" wrapText="1"/>
    </xf>
    <xf numFmtId="0" fontId="33" applyFont="1" fillId="0" borderId="4" applyBorder="1" xfId="0" applyAlignment="1">
      <alignment horizontal="center" vertical="center"/>
    </xf>
    <xf numFmtId="0" fontId="33" applyFont="1" fillId="0" borderId="0" xfId="0" applyAlignment="1">
      <alignment horizontal="left" vertical="center"/>
    </xf>
    <xf numFmtId="0" fontId="33" applyFont="1" fillId="0" borderId="5" applyBorder="1" xfId="0" applyAlignment="1">
      <alignment horizontal="left" vertical="center"/>
    </xf>
    <xf numFmtId="0" fontId="33" applyFont="1" fillId="0" borderId="9" applyBorder="1" xfId="0" applyAlignment="1">
      <alignment horizontal="center" vertical="center"/>
    </xf>
    <xf numFmtId="0" fontId="33" applyFont="1" fillId="0" borderId="1" applyBorder="1" xfId="0"/>
    <xf numFmtId="0" fontId="33" applyFont="1" fillId="0" borderId="2" applyBorder="1" xfId="0"/>
    <xf numFmtId="0" fontId="33" applyFont="1" fillId="0" borderId="3" applyBorder="1" xfId="0"/>
    <xf numFmtId="0" fontId="33" applyFont="1" fillId="0" borderId="6" applyBorder="1" xfId="0"/>
    <xf numFmtId="0" fontId="33" applyFont="1" fillId="0" borderId="7" applyBorder="1" xfId="0"/>
    <xf numFmtId="0" fontId="33" applyFont="1" fillId="0" borderId="8" applyBorder="1" xfId="0"/>
    <xf numFmtId="0" fontId="20" applyFont="1" fillId="0" borderId="11" applyBorder="1" xfId="0" applyAlignment="1">
      <alignment horizontal="center" vertical="center"/>
    </xf>
    <xf numFmtId="0" fontId="20" applyFont="1" fillId="0" borderId="12" applyBorder="1" xfId="0" applyAlignment="1">
      <alignment horizontal="center" vertical="center"/>
    </xf>
    <xf numFmtId="0" fontId="20" applyFont="1" fillId="0" borderId="13" applyBorder="1" xfId="0" applyAlignment="1">
      <alignment horizontal="center" vertical="center"/>
    </xf>
    <xf numFmtId="166" applyNumberFormat="1" fontId="33" applyFont="1" fillId="0" borderId="11" applyBorder="1" xfId="0" applyAlignment="1">
      <alignment horizontal="center" vertical="center"/>
    </xf>
    <xf numFmtId="166" applyNumberFormat="1" fontId="33" applyFont="1" fillId="0" borderId="12" applyBorder="1" xfId="0" applyAlignment="1">
      <alignment horizontal="center" vertical="center"/>
    </xf>
    <xf numFmtId="166" applyNumberFormat="1" fontId="33" applyFont="1" fillId="0" borderId="13" applyBorder="1" xfId="0" applyAlignment="1">
      <alignment horizontal="center" vertical="center"/>
    </xf>
    <xf numFmtId="167" applyNumberFormat="1" fontId="32" applyFont="1" fillId="0" borderId="0" xfId="0"/>
    <xf numFmtId="0" fontId="35" applyFont="1" fillId="0" borderId="0" xfId="0" applyAlignment="1">
      <alignment horizontal="left"/>
    </xf>
    <xf numFmtId="0" fontId="36" applyFont="1" fillId="0" borderId="0" xfId="0" applyAlignment="1">
      <alignment horizontal="left"/>
    </xf>
    <xf numFmtId="165" applyNumberFormat="1" fontId="33" applyFont="1" fillId="0" borderId="0" applyBorder="1" xfId="1"/>
    <xf numFmtId="0" fontId="1" applyFont="1" fillId="0" borderId="0" xfId="0" applyAlignment="1">
      <alignment horizontal="left"/>
    </xf>
    <xf numFmtId="0" fontId="34" applyFont="1" fillId="0" borderId="0" xfId="0" applyAlignment="1">
      <alignment vertical="center"/>
    </xf>
    <xf numFmtId="165" applyNumberFormat="1" fontId="33" applyFont="1" fillId="0" borderId="0" applyBorder="1" xfId="1" applyAlignment="1">
      <alignment horizontal="left"/>
    </xf>
    <xf numFmtId="0" fontId="35" applyFont="1" fillId="0" borderId="0" xfId="0"/>
    <xf numFmtId="0" fontId="37" applyFont="1" fillId="0" borderId="9" applyBorder="1" xfId="0" applyAlignment="1">
      <alignment horizontal="center"/>
    </xf>
    <xf numFmtId="0" fontId="36" applyFont="1" fillId="3" applyFill="1" borderId="9" applyBorder="1" xfId="0" applyAlignment="1">
      <alignment horizontal="center" vertical="center" wrapText="1"/>
    </xf>
    <xf numFmtId="165" applyNumberFormat="1" fontId="36" applyFont="1" fillId="3" applyFill="1" borderId="9" applyBorder="1" xfId="1" applyAlignment="1">
      <alignment horizontal="center" vertical="center" wrapText="1"/>
    </xf>
    <xf numFmtId="0" fontId="36" applyFont="1" fillId="4" applyFill="1" borderId="9" applyBorder="1" xfId="0"/>
    <xf numFmtId="0" fontId="36" applyFont="1" fillId="4" applyFill="1" borderId="9" applyBorder="1" xfId="0" applyAlignment="1">
      <alignment horizontal="center"/>
    </xf>
    <xf numFmtId="0" fontId="1" applyFont="1" fillId="0" borderId="9" applyBorder="1" xfId="0" applyAlignment="1">
      <alignment horizontal="center"/>
    </xf>
    <xf numFmtId="1" applyNumberFormat="1" fontId="1" applyFont="1" fillId="0" borderId="9" applyBorder="1" xfId="0"/>
    <xf numFmtId="4" applyNumberFormat="1" fontId="1" applyFont="1" fillId="0" borderId="9" applyBorder="1" xfId="0"/>
    <xf numFmtId="168" applyNumberFormat="1" fontId="34" applyFont="1" fillId="0" borderId="9" applyBorder="1" xfId="1" applyAlignment="1"/>
    <xf numFmtId="165" applyNumberFormat="1" fontId="34" applyFont="1" fillId="0" borderId="9" applyBorder="1" xfId="1" applyAlignment="1"/>
    <xf numFmtId="39" applyNumberFormat="1" fontId="36" applyFont="1" fillId="0" borderId="9" applyBorder="1" xfId="1"/>
    <xf numFmtId="17" applyNumberFormat="1" fontId="34" applyFont="1" fillId="0" borderId="9" applyBorder="1" xfId="1" applyAlignment="1">
      <alignment horizontal="left" wrapText="1"/>
    </xf>
    <xf numFmtId="165" applyNumberFormat="1" fontId="1" applyFont="1" fillId="0" borderId="0" xfId="0"/>
    <xf numFmtId="169" applyNumberFormat="1" fontId="1" applyFont="1" fillId="0" borderId="9" applyBorder="1" xfId="0"/>
    <xf numFmtId="170" applyNumberFormat="1" fontId="34" applyFont="1" fillId="0" borderId="9" applyBorder="1" xfId="1" applyAlignment="1">
      <alignment horizontal="left" wrapText="1"/>
    </xf>
    <xf numFmtId="0" fontId="1" applyFont="1" fillId="0" borderId="0" xfId="0" applyAlignment="1">
      <alignment horizontal="center"/>
    </xf>
    <xf numFmtId="168" applyNumberFormat="1" fontId="1" applyFont="1" fillId="0" borderId="0" xfId="0"/>
    <xf numFmtId="169" applyNumberFormat="1" fontId="1" applyFont="1" fillId="0" borderId="0" xfId="0"/>
    <xf numFmtId="168" applyNumberFormat="1" fontId="34" applyFont="1" fillId="0" borderId="0" applyBorder="1" xfId="1" applyAlignment="1"/>
    <xf numFmtId="165" applyNumberFormat="1" fontId="34" applyFont="1" fillId="0" borderId="0" applyBorder="1" xfId="1" applyAlignment="1"/>
    <xf numFmtId="39" applyNumberFormat="1" fontId="36" applyFont="1" fillId="0" borderId="0" applyBorder="1" xfId="1"/>
    <xf numFmtId="165" applyNumberFormat="1" fontId="34" applyFont="1" fillId="0" borderId="0" applyBorder="1" xfId="1" applyAlignment="1">
      <alignment horizontal="left" wrapText="1"/>
    </xf>
    <xf numFmtId="0" fontId="20" applyFont="1" fillId="0" borderId="0" xfId="0"/>
    <xf numFmtId="0" fontId="34" applyFont="1" fillId="0" borderId="0" xfId="0"/>
    <xf numFmtId="0" fontId="38" applyFont="1" fillId="0" borderId="1" applyBorder="1" xfId="0" applyAlignment="1">
      <alignment horizontal="center" vertical="top" wrapText="1"/>
    </xf>
    <xf numFmtId="0" fontId="38" applyFont="1" fillId="0" borderId="2" applyBorder="1" xfId="0" applyAlignment="1">
      <alignment horizontal="center" vertical="top" wrapText="1"/>
    </xf>
    <xf numFmtId="0" fontId="38" applyFont="1" fillId="0" borderId="3" applyBorder="1" xfId="0" applyAlignment="1">
      <alignment horizontal="center" vertical="top" wrapText="1"/>
    </xf>
    <xf numFmtId="0" fontId="27" applyFont="1" fillId="0" borderId="9" applyBorder="1" xfId="0" applyAlignment="1">
      <alignment horizontal="left" vertical="center" wrapText="1"/>
    </xf>
    <xf numFmtId="0" fontId="27" applyFont="1" fillId="0" borderId="9" applyBorder="1" xfId="0" applyAlignment="1">
      <alignment horizontal="center" vertical="center" wrapText="1"/>
    </xf>
    <xf numFmtId="0" fontId="27" applyFont="1" fillId="0" borderId="15" applyBorder="1" xfId="0" applyAlignment="1">
      <alignment horizontal="center" vertical="center" wrapText="1"/>
    </xf>
    <xf numFmtId="164" applyNumberFormat="1" fontId="39" applyFont="1" fillId="0" borderId="16" applyBorder="1" xfId="0" applyAlignment="1">
      <alignment horizontal="left" vertical="center" shrinkToFit="1"/>
    </xf>
    <xf numFmtId="164" applyNumberFormat="1" fontId="39" applyFont="1" fillId="0" borderId="17" applyBorder="1" xfId="0" applyAlignment="1">
      <alignment horizontal="left" vertical="center" shrinkToFit="1"/>
    </xf>
    <xf numFmtId="164" applyNumberFormat="1" fontId="39" applyFont="1" fillId="0" borderId="18" applyBorder="1" xfId="0" applyAlignment="1">
      <alignment horizontal="left" vertical="center" shrinkToFit="1"/>
    </xf>
    <xf numFmtId="0" fontId="27" applyFont="1" fillId="0" borderId="19" applyBorder="1" xfId="0" applyAlignment="1">
      <alignment horizontal="center" vertical="center" wrapText="1"/>
    </xf>
    <xf numFmtId="0" fontId="27" applyFont="1" fillId="0" borderId="20" applyBorder="1" xfId="0" applyAlignment="1">
      <alignment horizontal="left" vertical="center" wrapText="1"/>
    </xf>
    <xf numFmtId="0" fontId="27" applyFont="1" fillId="0" borderId="21" applyBorder="1" xfId="0" applyAlignment="1">
      <alignment horizontal="left" vertical="center" wrapText="1"/>
    </xf>
    <xf numFmtId="0" fontId="27" applyFont="1" fillId="0" borderId="22" applyBorder="1" xfId="0" applyAlignment="1">
      <alignment horizontal="left" vertical="center" wrapText="1"/>
    </xf>
    <xf numFmtId="171" applyNumberFormat="1" fontId="39" applyFont="1" fillId="0" borderId="20" applyBorder="1" xfId="0" applyAlignment="1">
      <alignment horizontal="left" vertical="center" shrinkToFit="1"/>
    </xf>
    <xf numFmtId="171" applyNumberFormat="1" fontId="39" applyFont="1" fillId="0" borderId="21" applyBorder="1" xfId="0" applyAlignment="1">
      <alignment horizontal="left" vertical="center" shrinkToFit="1"/>
    </xf>
    <xf numFmtId="171" applyNumberFormat="1" fontId="39" applyFont="1" fillId="0" borderId="22" applyBorder="1" xfId="0" applyAlignment="1">
      <alignment horizontal="left" vertical="center" shrinkToFit="1"/>
    </xf>
    <xf numFmtId="1" applyNumberFormat="1" fontId="39" applyFont="1" fillId="0" borderId="20" applyBorder="1" xfId="0" applyAlignment="1">
      <alignment horizontal="left" vertical="center" shrinkToFit="1"/>
    </xf>
    <xf numFmtId="1" applyNumberFormat="1" fontId="39" applyFont="1" fillId="0" borderId="21" applyBorder="1" xfId="0" applyAlignment="1">
      <alignment horizontal="left" vertical="center" shrinkToFit="1"/>
    </xf>
    <xf numFmtId="1" applyNumberFormat="1" fontId="39" applyFont="1" fillId="0" borderId="22" applyBorder="1" xfId="0" applyAlignment="1">
      <alignment horizontal="left" vertical="center" shrinkToFit="1"/>
    </xf>
    <xf numFmtId="0" fontId="27" applyFont="1" fillId="0" borderId="6" applyBorder="1" xfId="0" applyAlignment="1">
      <alignment horizontal="left" vertical="center" wrapText="1"/>
    </xf>
    <xf numFmtId="0" fontId="27" applyFont="1" fillId="0" borderId="7" applyBorder="1" xfId="0" applyAlignment="1">
      <alignment horizontal="left" vertical="center" wrapText="1"/>
    </xf>
    <xf numFmtId="0" fontId="27" applyFont="1" fillId="0" borderId="8" applyBorder="1" xfId="0" applyAlignment="1">
      <alignment horizontal="left" vertical="center" wrapText="1"/>
    </xf>
    <xf numFmtId="0" fontId="40" applyFont="1" fillId="5" applyFill="1" borderId="14" applyBorder="1" xfId="0" applyAlignment="1">
      <alignment horizontal="center" vertical="center"/>
    </xf>
    <xf numFmtId="0" fontId="40" applyFont="1" fillId="5" applyFill="1" borderId="23" applyBorder="1" xfId="0" applyAlignment="1">
      <alignment horizontal="left" vertical="center" wrapText="1"/>
    </xf>
    <xf numFmtId="0" fontId="40" applyFont="1" fillId="5" applyFill="1" borderId="24" applyBorder="1" xfId="0" applyAlignment="1">
      <alignment horizontal="center" vertical="center" wrapText="1"/>
    </xf>
    <xf numFmtId="0" fontId="40" applyFont="1" fillId="5" applyFill="1" borderId="16" applyBorder="1" xfId="0" applyAlignment="1">
      <alignment horizontal="center" vertical="center" wrapText="1"/>
    </xf>
    <xf numFmtId="0" fontId="40" applyFont="1" fillId="5" applyFill="1" borderId="17" applyBorder="1" xfId="0" applyAlignment="1">
      <alignment horizontal="center" vertical="center" wrapText="1"/>
    </xf>
    <xf numFmtId="0" fontId="40" applyFont="1" fillId="5" applyFill="1" borderId="15" applyBorder="1" xfId="0" applyAlignment="1">
      <alignment horizontal="center" vertical="center" wrapText="1"/>
    </xf>
    <xf numFmtId="0" fontId="40" applyFont="1" fillId="5" applyFill="1" borderId="25" applyBorder="1" xfId="0" applyAlignment="1">
      <alignment horizontal="center" vertical="center"/>
    </xf>
    <xf numFmtId="0" fontId="40" applyFont="1" fillId="5" applyFill="1" borderId="15" applyBorder="1" xfId="0" applyAlignment="1">
      <alignment horizontal="left" vertical="center" wrapText="1"/>
    </xf>
    <xf numFmtId="0" fontId="40" applyFont="1" fillId="5" applyFill="1" borderId="26" applyBorder="1" xfId="0" applyAlignment="1">
      <alignment horizontal="center" vertical="center" wrapText="1"/>
    </xf>
    <xf numFmtId="0" fontId="40" applyFont="1" fillId="5" applyFill="1" borderId="27" applyBorder="1" xfId="0" applyAlignment="1">
      <alignment horizontal="center" vertical="center" wrapText="1"/>
    </xf>
    <xf numFmtId="0" fontId="40" applyFont="1" fillId="5" applyFill="1" borderId="10" applyBorder="1" xfId="0" applyAlignment="1">
      <alignment horizontal="center" vertical="center"/>
    </xf>
    <xf numFmtId="0" fontId="40" applyFont="1" fillId="5" applyFill="1" borderId="24" applyBorder="1" xfId="0" applyAlignment="1">
      <alignment horizontal="left" vertical="center" wrapText="1"/>
    </xf>
    <xf numFmtId="0" fontId="40" applyFont="1" fillId="5" applyFill="1" borderId="28" applyBorder="1" xfId="0" applyAlignment="1">
      <alignment horizontal="center" vertical="center" wrapText="1"/>
    </xf>
    <xf numFmtId="0" fontId="27" applyFont="1" fillId="0" borderId="9" applyBorder="1" xfId="0"/>
    <xf numFmtId="1" applyNumberFormat="1" fontId="41" applyFont="1" fillId="0" borderId="9" applyBorder="1" xfId="0" applyAlignment="1">
      <alignment horizontal="center" vertical="center" shrinkToFit="1"/>
    </xf>
    <xf numFmtId="0" fontId="40" applyFont="1" fillId="0" borderId="9" applyBorder="1" xfId="0" applyAlignment="1">
      <alignment horizontal="center" vertical="center" wrapText="1"/>
    </xf>
    <xf numFmtId="3" applyNumberFormat="1" fontId="41" applyFont="1" fillId="0" borderId="9" applyBorder="1" xfId="0" applyAlignment="1">
      <alignment horizontal="center" vertical="center" shrinkToFit="1"/>
    </xf>
    <xf numFmtId="4" applyNumberFormat="1" fontId="39" applyFont="1" fillId="0" borderId="9" applyBorder="1" xfId="0" applyAlignment="1">
      <alignment horizontal="center" vertical="center" shrinkToFit="1"/>
    </xf>
    <xf numFmtId="3" applyNumberFormat="1" fontId="41" applyFont="1" fillId="6" applyFill="1" borderId="9" applyBorder="1" xfId="0" applyAlignment="1">
      <alignment horizontal="center" vertical="center" shrinkToFit="1"/>
    </xf>
    <xf numFmtId="4" applyNumberFormat="1" fontId="41" applyFont="1" fillId="6" applyFill="1" borderId="9" applyBorder="1" xfId="0" applyAlignment="1">
      <alignment horizontal="center" vertical="center" shrinkToFit="1"/>
    </xf>
    <xf numFmtId="0" fontId="41" applyFont="1" fillId="0" borderId="9" applyBorder="1" xfId="0" applyAlignment="1">
      <alignment horizontal="center" vertical="center" shrinkToFit="1"/>
    </xf>
    <xf numFmtId="0" fontId="27" applyFont="1" fillId="0" borderId="14" applyBorder="1" xfId="0" applyAlignment="1">
      <alignment horizontal="center"/>
    </xf>
    <xf numFmtId="0" fontId="40" applyFont="1" fillId="0" borderId="23" applyBorder="1" xfId="0" applyAlignment="1">
      <alignment horizontal="center" vertical="center" wrapText="1"/>
    </xf>
    <xf numFmtId="0" fontId="40" applyFont="1" fillId="0" borderId="16" applyBorder="1" xfId="0" applyAlignment="1">
      <alignment horizontal="center" vertical="center" wrapText="1"/>
    </xf>
    <xf numFmtId="0" fontId="40" applyFont="1" fillId="0" borderId="17" applyBorder="1" xfId="0" applyAlignment="1">
      <alignment horizontal="center" vertical="center" wrapText="1"/>
    </xf>
    <xf numFmtId="0" fontId="40" applyFont="1" fillId="0" borderId="15" applyBorder="1" xfId="0" applyAlignment="1">
      <alignment horizontal="center" vertical="center" wrapText="1"/>
    </xf>
    <xf numFmtId="4" applyNumberFormat="1" fontId="41" applyFont="1" fillId="0" borderId="26" applyBorder="1" xfId="0" applyAlignment="1">
      <alignment horizontal="center" vertical="center" shrinkToFit="1"/>
    </xf>
    <xf numFmtId="0" fontId="40" applyFont="1" fillId="7" applyFill="1" borderId="29" applyBorder="1" xfId="0" applyAlignment="1">
      <alignment horizontal="center" vertical="center" wrapText="1"/>
    </xf>
    <xf numFmtId="0" fontId="40" applyFont="1" fillId="7" applyFill="1" borderId="0" xfId="0" applyAlignment="1">
      <alignment horizontal="center" vertical="center" wrapText="1"/>
    </xf>
    <xf numFmtId="0" fontId="40" applyFont="1" fillId="7" applyFill="1" borderId="23" applyBorder="1" xfId="0" applyAlignment="1">
      <alignment horizontal="center" vertical="center" wrapText="1"/>
    </xf>
    <xf numFmtId="4" applyNumberFormat="1" fontId="41" applyFont="1" fillId="7" applyFill="1" borderId="26" applyBorder="1" xfId="0" applyAlignment="1">
      <alignment horizontal="center" vertical="center" shrinkToFit="1"/>
    </xf>
    <xf numFmtId="0" fontId="27" applyFont="1" fillId="0" borderId="16" applyBorder="1" xfId="0" applyAlignment="1">
      <alignment horizontal="center" vertical="center" wrapText="1"/>
    </xf>
    <xf numFmtId="0" fontId="40" applyFont="1" fillId="0" borderId="20" applyBorder="1" xfId="0" applyAlignment="1">
      <alignment horizontal="center" vertical="center" wrapText="1"/>
    </xf>
    <xf numFmtId="0" fontId="40" applyFont="1" fillId="0" borderId="21" applyBorder="1" xfId="0" applyAlignment="1">
      <alignment horizontal="center" vertical="center" wrapText="1"/>
    </xf>
    <xf numFmtId="0" fontId="40" applyFont="1" fillId="0" borderId="19" applyBorder="1" xfId="0" applyAlignment="1">
      <alignment horizontal="center" vertical="center" wrapText="1"/>
    </xf>
    <xf numFmtId="4" applyNumberFormat="1" fontId="41" applyFont="1" fillId="0" borderId="27" applyBorder="1" xfId="0" applyAlignment="1">
      <alignment horizontal="center" vertical="center" shrinkToFit="1"/>
    </xf>
    <xf numFmtId="0" fontId="27" applyFont="1" fillId="0" borderId="20" applyBorder="1" xfId="0" applyAlignment="1">
      <alignment horizontal="center" vertical="center" wrapText="1"/>
    </xf>
    <xf numFmtId="0" fontId="27" applyFont="1" fillId="0" borderId="25" applyBorder="1" xfId="0" applyAlignment="1">
      <alignment horizontal="center"/>
    </xf>
    <xf numFmtId="0" fontId="40" applyFont="1" fillId="7" applyFill="1" borderId="16" applyBorder="1" xfId="0" applyAlignment="1">
      <alignment horizontal="center" vertical="center" wrapText="1"/>
    </xf>
    <xf numFmtId="0" fontId="40" applyFont="1" fillId="7" applyFill="1" borderId="17" applyBorder="1" xfId="0" applyAlignment="1">
      <alignment horizontal="center" vertical="center" wrapText="1"/>
    </xf>
    <xf numFmtId="0" fontId="40" applyFont="1" fillId="7" applyFill="1" borderId="15" applyBorder="1" xfId="0" applyAlignment="1">
      <alignment horizontal="center" vertical="center" wrapText="1"/>
    </xf>
    <xf numFmtId="4" applyNumberFormat="1" fontId="27" applyFont="1" fillId="0" borderId="0" xfId="0"/>
    <xf numFmtId="0" fontId="40" applyFont="1" fillId="3" applyFill="1" borderId="11" applyBorder="1" xfId="0" quotePrefix="1" applyAlignment="1">
      <alignment horizontal="center" wrapText="1"/>
    </xf>
    <xf numFmtId="0" fontId="40" applyFont="1" fillId="3" applyFill="1" borderId="12" applyBorder="1" xfId="0" applyAlignment="1">
      <alignment horizontal="center"/>
    </xf>
    <xf numFmtId="0" fontId="40" applyFont="1" fillId="3" applyFill="1" borderId="13" applyBorder="1" xfId="0" applyAlignment="1">
      <alignment horizontal="center"/>
    </xf>
    <xf numFmtId="0" fontId="42" applyFont="1" fillId="0" borderId="0" xfId="0" applyAlignment="1">
      <alignment horizontal="center"/>
    </xf>
    <xf numFmtId="0" fontId="42" applyFont="1" fillId="0" borderId="0" xfId="0"/>
    <xf numFmtId="0" fontId="43" applyFont="1" fillId="0" borderId="0" xfId="0" applyAlignment="1">
      <alignment horizontal="center" vertical="center"/>
    </xf>
    <xf numFmtId="0" fontId="44" applyFont="1" fillId="0" borderId="0" xfId="0" applyAlignment="1">
      <alignment horizontal="center"/>
    </xf>
    <xf numFmtId="0" fontId="44" applyFont="1" fillId="0" borderId="0" xfId="0" applyAlignment="1">
      <alignment horizontal="center" vertical="center"/>
    </xf>
    <xf numFmtId="0" fontId="45" applyFont="1" fillId="5" applyFill="1" borderId="9" applyBorder="1" xfId="0" applyAlignment="1">
      <alignment horizontal="left" vertical="top"/>
    </xf>
    <xf numFmtId="0" fontId="45" applyFont="1" fillId="5" applyFill="1" borderId="9" applyBorder="1" xfId="0" applyAlignment="1">
      <alignment horizontal="left" vertical="top" wrapText="1"/>
    </xf>
    <xf numFmtId="0" fontId="31" applyFont="1" fillId="0" borderId="9" applyBorder="1" xfId="0" applyAlignment="1">
      <alignment horizontal="left" vertical="center" wrapText="1"/>
    </xf>
    <xf numFmtId="2" applyNumberFormat="1" fontId="31" applyFont="1" fillId="0" borderId="9" applyBorder="1" xfId="0" applyAlignment="1">
      <alignment horizontal="left" vertical="center"/>
    </xf>
    <xf numFmtId="2" applyNumberFormat="1" fontId="31" applyFont="1" fillId="0" borderId="9" applyBorder="1" xfId="0" applyAlignment="1">
      <alignment horizontal="center" vertical="center"/>
    </xf>
    <xf numFmtId="0" fontId="45" applyFont="1" fillId="0" borderId="11" applyBorder="1" xfId="0" applyAlignment="1">
      <alignment horizontal="center" vertical="center"/>
    </xf>
    <xf numFmtId="0" fontId="45" applyFont="1" fillId="0" borderId="12" applyBorder="1" xfId="0" applyAlignment="1">
      <alignment horizontal="center" vertical="center"/>
    </xf>
    <xf numFmtId="0" fontId="45" applyFont="1" fillId="0" borderId="13" applyBorder="1" xfId="0" applyAlignment="1">
      <alignment horizontal="center" vertical="center"/>
    </xf>
    <xf numFmtId="2" applyNumberFormat="1" fontId="45" applyFont="1" fillId="0" borderId="9" applyBorder="1" xfId="0" applyAlignment="1">
      <alignment horizontal="center" vertical="center"/>
    </xf>
    <xf numFmtId="0" fontId="46" applyFont="1" fillId="0" borderId="9" applyBorder="1" xfId="0"/>
    <xf numFmtId="4" applyNumberFormat="1" fontId="46" applyFont="1" fillId="0" borderId="9" applyBorder="1" xfId="0"/>
    <xf numFmtId="4" applyNumberFormat="1" fontId="46" applyFont="1" fillId="0" borderId="9" applyBorder="1" xfId="0" applyAlignment="1">
      <alignment vertical="center"/>
    </xf>
    <xf numFmtId="0" fontId="46" applyFont="1" fillId="8" applyFill="1" borderId="9" applyBorder="1" xfId="0"/>
    <xf numFmtId="4" applyNumberFormat="1" fontId="46" applyFont="1" fillId="8" applyFill="1" borderId="9" applyBorder="1" xfId="0"/>
    <xf numFmtId="0" fontId="45" applyFont="1" fillId="0" borderId="0" xfId="0" applyAlignment="1">
      <alignment horizontal="center"/>
    </xf>
    <xf numFmtId="0" fontId="45" applyFont="1" fillId="0" borderId="0" xfId="0"/>
    <xf numFmtId="0" fontId="1" applyFont="1" fillId="0" borderId="0" xfId="0" applyAlignment="1">
      <alignment horizontal="right"/>
    </xf>
    <xf numFmtId="0" fontId="1" applyFont="1" fillId="6" applyFill="1" borderId="0" xfId="0"/>
    <xf numFmtId="2" applyNumberFormat="1" fontId="1" applyFont="1" fillId="6" applyFill="1" borderId="0" xfId="0"/>
    <xf numFmtId="2" applyNumberFormat="1" fontId="1" applyFont="1" fillId="0" borderId="0" xfId="0"/>
    <xf numFmtId="0" fontId="30" applyFont="1" fillId="0" borderId="0" xfId="0" applyAlignment="1">
      <alignment horizontal="center" vertical="center"/>
    </xf>
    <xf numFmtId="0" fontId="47" applyFont="1" fillId="0" borderId="0" xfId="0"/>
    <xf numFmtId="0" fontId="30" applyFont="1" fillId="0" borderId="0" xfId="0" applyAlignment="1">
      <alignment horizontal="center" vertical="center" wrapText="1"/>
    </xf>
    <xf numFmtId="0" fontId="1" applyFont="1" fillId="0" borderId="0" xfId="0" applyAlignment="1">
      <alignment horizontal="center" vertical="center"/>
    </xf>
    <xf numFmtId="0" fontId="30" applyFont="1" fillId="0" borderId="9" applyBorder="1" xfId="0" applyAlignment="1">
      <alignment horizontal="center" vertical="center"/>
    </xf>
    <xf numFmtId="0" fontId="1" applyFont="1" fillId="0" borderId="0" xfId="0" applyAlignment="1">
      <alignment vertical="center"/>
    </xf>
    <xf numFmtId="0" fontId="30" applyFont="1" fillId="0" borderId="11" applyBorder="1" xfId="0" applyAlignment="1">
      <alignment horizontal="center" vertical="center"/>
    </xf>
    <xf numFmtId="0" fontId="30" applyFont="1" fillId="0" borderId="12" applyBorder="1" xfId="0" applyAlignment="1">
      <alignment horizontal="center" vertical="center"/>
    </xf>
    <xf numFmtId="0" fontId="30" applyFont="1" fillId="0" borderId="13" applyBorder="1" xfId="0" applyAlignment="1">
      <alignment horizontal="center" vertical="center"/>
    </xf>
    <xf numFmtId="2" applyNumberFormat="1" fontId="30" applyFont="1" fillId="0" borderId="1" applyBorder="1" xfId="0" quotePrefix="1" applyAlignment="1">
      <alignment horizontal="center" vertical="center"/>
    </xf>
    <xf numFmtId="2" applyNumberFormat="1" fontId="30" applyFont="1" fillId="0" borderId="2" applyBorder="1" xfId="0" quotePrefix="1" applyAlignment="1">
      <alignment horizontal="center" vertical="center"/>
    </xf>
    <xf numFmtId="2" applyNumberFormat="1" fontId="30" applyFont="1" fillId="0" borderId="3" applyBorder="1" xfId="0" quotePrefix="1" applyAlignment="1">
      <alignment horizontal="center" vertical="center"/>
    </xf>
    <xf numFmtId="2" applyNumberFormat="1" fontId="30" applyFont="1" fillId="0" borderId="9" applyBorder="1" xfId="0" applyAlignment="1">
      <alignment horizontal="center" vertical="center"/>
    </xf>
    <xf numFmtId="2" applyNumberFormat="1" fontId="30" applyFont="1" fillId="0" borderId="6" applyBorder="1" xfId="0" quotePrefix="1" applyAlignment="1">
      <alignment horizontal="center" vertical="center"/>
    </xf>
    <xf numFmtId="2" applyNumberFormat="1" fontId="30" applyFont="1" fillId="0" borderId="7" applyBorder="1" xfId="0" quotePrefix="1" applyAlignment="1">
      <alignment horizontal="center" vertical="center"/>
    </xf>
    <xf numFmtId="2" applyNumberFormat="1" fontId="30" applyFont="1" fillId="0" borderId="8" applyBorder="1" xfId="0" quotePrefix="1" applyAlignment="1">
      <alignment horizontal="center" vertical="center"/>
    </xf>
    <xf numFmtId="0" fontId="30" applyFont="1" fillId="0" borderId="11" applyBorder="1" xfId="0" quotePrefix="1" applyAlignment="1">
      <alignment horizontal="center" vertical="center"/>
    </xf>
    <xf numFmtId="0" fontId="30" applyFont="1" fillId="0" borderId="12" applyBorder="1" xfId="0" quotePrefix="1" applyAlignment="1">
      <alignment horizontal="center" vertical="center"/>
    </xf>
    <xf numFmtId="0" fontId="30" applyFont="1" fillId="0" borderId="13" applyBorder="1" xfId="0" quotePrefix="1" applyAlignment="1">
      <alignment horizontal="center" vertical="center"/>
    </xf>
    <xf numFmtId="0" fontId="30" applyFont="1" fillId="0" borderId="9" applyBorder="1" xfId="0" quotePrefix="1" applyAlignment="1">
      <alignment horizontal="center" vertical="center"/>
    </xf>
    <xf numFmtId="0" fontId="30" applyFont="1" fillId="0" borderId="0" xfId="0" applyAlignment="1">
      <alignment horizontal="left" vertical="center"/>
    </xf>
    <xf numFmtId="0" fontId="30" applyFont="1" fillId="0" borderId="0" xfId="0" quotePrefix="1" applyAlignment="1">
      <alignment horizontal="center" vertical="center"/>
    </xf>
    <xf numFmtId="0" fontId="30" applyFont="1" fillId="0" borderId="0" xfId="0" applyAlignment="1">
      <alignment horizontal="left" vertical="top" wrapText="1"/>
    </xf>
    <xf numFmtId="0" fontId="30" applyFont="1" fillId="0" borderId="0" xfId="0" applyAlignment="1">
      <alignment vertical="top" wrapText="1"/>
    </xf>
    <xf numFmtId="0" fontId="30" applyFont="1" fillId="0" borderId="0" xfId="0" applyAlignment="1">
      <alignment horizontal="left"/>
    </xf>
    <xf numFmtId="0" fontId="30" applyFont="1" fillId="0" borderId="0" xfId="0" applyAlignment="1">
      <alignment horizontal="left" vertical="top"/>
    </xf>
    <xf numFmtId="0" fontId="30" applyFont="1" fillId="0" borderId="0" xfId="0"/>
    <xf numFmtId="172" applyNumberFormat="1" fontId="30" applyFont="1" fillId="0" borderId="0" xfId="0"/>
    <xf numFmtId="172" applyNumberFormat="1" fontId="30" applyFont="1" fillId="0" borderId="0" xfId="0" applyAlignment="1">
      <alignment horizontal="left"/>
    </xf>
    <xf numFmtId="0" fontId="30" applyFont="1" fillId="0" borderId="0" xfId="0" applyAlignment="1">
      <alignment vertical="top"/>
    </xf>
    <xf numFmtId="0" fontId="30" applyFont="1" fillId="0" borderId="0" xfId="0" applyAlignment="1">
      <alignment vertical="center"/>
    </xf>
    <xf numFmtId="0" fontId="30" applyFont="1" fillId="0" borderId="0" xfId="0" applyAlignment="1">
      <alignment horizontal="center" vertical="top"/>
    </xf>
    <xf numFmtId="0" fontId="30" applyFont="1" fillId="0" borderId="0" xfId="0" quotePrefix="1" applyAlignment="1">
      <alignment horizontal="center" vertical="top"/>
    </xf>
    <xf numFmtId="0" fontId="19" applyFont="1" fillId="9" applyFill="1" borderId="10" applyBorder="1" xfId="0" applyAlignment="1">
      <alignment horizontal="center" vertical="center" wrapText="1"/>
    </xf>
    <xf numFmtId="0" fontId="19" applyFont="1" fillId="9" applyFill="1" borderId="9" applyBorder="1" xfId="0" applyAlignment="1">
      <alignment horizontal="center" vertical="center" wrapText="1"/>
    </xf>
    <xf numFmtId="0" fontId="19" applyFont="1" fillId="9" applyFill="1" borderId="10" applyBorder="1" xfId="0" applyAlignment="1">
      <alignment horizontal="center" vertical="center" wrapText="1" textRotation="90"/>
    </xf>
    <xf numFmtId="0" fontId="19" applyFont="1" fillId="9" applyFill="1" borderId="9" applyBorder="1" xfId="0" applyAlignment="1">
      <alignment horizontal="center" vertical="center" wrapText="1" textRotation="90"/>
    </xf>
    <xf numFmtId="0" fontId="30" applyFont="1" fillId="9" applyFill="1" borderId="9" applyBorder="1" xfId="0" applyAlignment="1">
      <alignment horizontal="center"/>
    </xf>
    <xf numFmtId="0" fontId="19" applyFont="1" fillId="9" applyFill="1" borderId="25" applyBorder="1" xfId="0" applyAlignment="1">
      <alignment horizontal="center" vertical="center" wrapText="1"/>
    </xf>
    <xf numFmtId="0" fontId="19" applyFont="1" fillId="9" applyFill="1" borderId="25" applyBorder="1" xfId="0" applyAlignment="1">
      <alignment horizontal="center" vertical="center" wrapText="1" textRotation="90"/>
    </xf>
    <xf numFmtId="0" fontId="30" applyFont="1" fillId="9" applyFill="1" borderId="9" applyBorder="1" xfId="0" applyAlignment="1">
      <alignment horizontal="center" vertical="center" wrapText="1"/>
    </xf>
    <xf numFmtId="0" fontId="30" applyFont="1" fillId="9" applyFill="1" borderId="9" applyBorder="1" xfId="0" applyAlignment="1">
      <alignment horizontal="center" vertical="center"/>
    </xf>
    <xf numFmtId="0" fontId="30" applyFont="1" fillId="9" applyFill="1" borderId="13" applyBorder="1" xfId="0" applyAlignment="1">
      <alignment horizontal="center" vertical="center"/>
    </xf>
    <xf numFmtId="0" fontId="30" applyFont="1" fillId="9" applyFill="1" borderId="11" applyBorder="1" xfId="0" applyAlignment="1">
      <alignment horizontal="center" vertical="center"/>
    </xf>
    <xf numFmtId="0" fontId="23" applyFont="1" fillId="0" borderId="0" xfId="0" applyAlignment="1">
      <alignment horizontal="center" vertical="center"/>
    </xf>
    <xf numFmtId="0" fontId="48" applyFont="1" fillId="0" borderId="9" applyBorder="1" xfId="0" applyAlignment="1">
      <alignment horizontal="center" vertical="center"/>
    </xf>
    <xf numFmtId="49" applyNumberFormat="1" fontId="49" applyFont="1" fillId="10" applyFill="1" borderId="9" applyBorder="1" xfId="2" applyProtection="1" applyAlignment="1">
      <alignment vertical="center" wrapText="1"/>
      <protection locked="0"/>
    </xf>
    <xf numFmtId="2" applyNumberFormat="1" fontId="51" applyFont="1" fillId="10" applyFill="1" borderId="9" applyBorder="1" xfId="3" applyAlignment="1">
      <alignment vertical="center" wrapText="1"/>
    </xf>
    <xf numFmtId="1" applyNumberFormat="1" fontId="48" applyFont="1" fillId="0" borderId="9" applyBorder="1" xfId="0" applyAlignment="1">
      <alignment horizontal="center" vertical="center"/>
    </xf>
    <xf numFmtId="0" fontId="52" applyFont="1" fillId="0" borderId="9" applyBorder="1" xfId="0" applyAlignment="1">
      <alignment horizontal="center" vertical="center"/>
    </xf>
    <xf numFmtId="173" applyNumberFormat="1" fontId="48" applyFont="1" fillId="0" borderId="9" applyBorder="1" xfId="0" applyAlignment="1">
      <alignment horizontal="center" vertical="center"/>
    </xf>
    <xf numFmtId="1" applyNumberFormat="1" fontId="53" applyFont="1" fillId="0" borderId="9" applyBorder="1" xfId="0" applyAlignment="1">
      <alignment horizontal="center" vertical="center"/>
    </xf>
    <xf numFmtId="1" applyNumberFormat="1" fontId="54" applyFont="1" fillId="0" borderId="9" applyBorder="1" xfId="0" applyAlignment="1">
      <alignment horizontal="center" vertical="center"/>
    </xf>
    <xf numFmtId="49" applyNumberFormat="1" fontId="48" applyFont="1" fillId="0" borderId="9" applyBorder="1" xfId="0" applyAlignment="1">
      <alignment horizontal="center" vertical="center" wrapText="1"/>
    </xf>
    <xf numFmtId="49" applyNumberFormat="1" fontId="48" applyFont="1" fillId="0" borderId="9" applyBorder="1" xfId="0" applyAlignment="1">
      <alignment horizontal="center" vertical="center"/>
    </xf>
    <xf numFmtId="1" applyNumberFormat="1" fontId="23" applyFont="1" fillId="0" borderId="0" xfId="0" applyAlignment="1">
      <alignment horizontal="center" vertical="center"/>
    </xf>
    <xf numFmtId="0" fontId="24" applyFont="1" fillId="0" borderId="0" xfId="0" applyAlignment="1">
      <alignment horizontal="center" vertical="center"/>
    </xf>
    <xf numFmtId="0" fontId="24" applyFont="1" fillId="9" applyFill="1" borderId="30" applyBorder="1" xfId="0" applyAlignment="1">
      <alignment horizontal="center" vertical="center"/>
    </xf>
    <xf numFmtId="0" fontId="24" applyFont="1" fillId="9" applyFill="1" borderId="31" applyBorder="1" xfId="0" applyAlignment="1">
      <alignment horizontal="center" vertical="center"/>
    </xf>
    <xf numFmtId="2" applyNumberFormat="1" fontId="24" applyFont="1" fillId="9" applyFill="1" borderId="32" applyBorder="1" xfId="0" applyAlignment="1">
      <alignment horizontal="center" vertical="center"/>
    </xf>
    <xf numFmtId="0" fontId="24" applyFont="1" fillId="9" applyFill="1" borderId="32" applyBorder="1" xfId="0" applyAlignment="1">
      <alignment horizontal="center" vertical="center"/>
    </xf>
    <xf numFmtId="0" fontId="24" applyFont="1" fillId="0" borderId="0" xfId="0" applyAlignment="1">
      <alignment horizontal="left" vertical="center" wrapText="1"/>
    </xf>
    <xf numFmtId="2" applyNumberFormat="1" fontId="24" applyFont="1" fillId="0" borderId="0" xfId="0" applyAlignment="1">
      <alignment horizontal="center" vertical="center"/>
    </xf>
    <xf numFmtId="1" applyNumberFormat="1" fontId="24" applyFont="1" fillId="0" borderId="0" xfId="0" applyAlignment="1">
      <alignment horizontal="center" vertical="center"/>
    </xf>
    <xf numFmtId="1" applyNumberFormat="1" fontId="1" applyFont="1" fillId="0" borderId="0" xfId="0"/>
    <xf numFmtId="0" fontId="2" applyFont="1" fillId="0" borderId="0" xfId="0"/>
    <xf numFmtId="172" applyNumberFormat="1" fontId="1" applyFont="1" fillId="0" borderId="0" xfId="0"/>
    <xf numFmtId="174" applyNumberFormat="1" fontId="36" applyFont="1" fillId="0" borderId="0" xfId="0"/>
    <xf numFmtId="49" applyNumberFormat="1" fontId="36" applyFont="1" fillId="0" borderId="0" xfId="0"/>
    <xf numFmtId="0" fontId="34" applyFont="1" fillId="0" borderId="0" xfId="0" quotePrefix="1"/>
    <xf numFmtId="14" applyNumberFormat="1" fontId="34" applyFont="1" fillId="0" borderId="0" xfId="0"/>
    <xf numFmtId="175" applyNumberFormat="1" fontId="1" applyFont="1" fillId="0" borderId="0" xfId="0"/>
    <xf numFmtId="4" applyNumberFormat="1" fontId="1" applyFont="1" fillId="0" borderId="0" xfId="0"/>
    <xf numFmtId="0" fontId="55" applyFont="1" fillId="0" borderId="0" xfId="0"/>
    <xf numFmtId="0" fontId="56" applyFont="1" fillId="0" borderId="0" xfId="0" applyAlignment="1">
      <alignment horizontal="center" vertical="top" wrapText="1"/>
    </xf>
    <xf numFmtId="0" fontId="1" applyFont="1" fillId="0" borderId="0" xfId="0" applyAlignment="1">
      <alignment vertical="top" wrapText="1"/>
    </xf>
    <xf numFmtId="0" fontId="1" applyFont="1" fillId="0" borderId="0" xfId="0" applyAlignment="1">
      <alignment horizontal="center" vertical="top" wrapText="1"/>
    </xf>
    <xf numFmtId="0" fontId="57" applyFont="1" fillId="12" applyFill="1" borderId="0" xfId="0" applyAlignment="1">
      <alignment horizontal="center" vertical="top" wrapText="1"/>
    </xf>
    <xf numFmtId="0" fontId="58" applyFont="1" fillId="0" borderId="0" xfId="0" applyAlignment="1">
      <alignment vertical="top"/>
    </xf>
    <xf numFmtId="0" fontId="59" applyFont="1" fillId="0" borderId="0" xfId="0" applyAlignment="1">
      <alignment vertical="top"/>
    </xf>
    <xf numFmtId="0" fontId="1" applyFont="1" fillId="0" borderId="0" xfId="0" applyAlignment="1">
      <alignment vertical="top"/>
    </xf>
    <xf numFmtId="0" fontId="29" applyFont="1" fillId="0" borderId="0" xfId="0" applyAlignment="1">
      <alignment vertical="top"/>
    </xf>
    <xf numFmtId="0" fontId="60" applyFont="1" fillId="0" borderId="0" xfId="0" applyAlignment="1">
      <alignment vertical="center"/>
    </xf>
    <xf numFmtId="4" applyNumberFormat="1" fontId="30" applyFont="1" fillId="0" borderId="0" xfId="0" applyAlignment="1">
      <alignment vertical="center"/>
    </xf>
    <xf numFmtId="14" applyNumberFormat="1" fontId="36" applyFont="1" fillId="0" borderId="0" xfId="0" applyAlignment="1">
      <alignment horizontal="left"/>
    </xf>
    <xf numFmtId="0" fontId="60" applyFont="1" fillId="0" borderId="0" xfId="0" applyAlignment="1">
      <alignment horizontal="left" vertical="center"/>
    </xf>
    <xf numFmtId="4" applyNumberFormat="1" fontId="30" applyFont="1" fillId="0" borderId="0" xfId="0" applyAlignment="1">
      <alignment horizontal="left" vertical="center"/>
    </xf>
    <xf numFmtId="0" fontId="61" applyFont="1" fillId="12" applyFill="1" borderId="11" applyBorder="1" xfId="0" applyAlignment="1">
      <alignment horizontal="center" vertical="top"/>
    </xf>
    <xf numFmtId="0" fontId="61" applyFont="1" fillId="12" applyFill="1" borderId="12" applyBorder="1" xfId="0" applyAlignment="1">
      <alignment horizontal="center" vertical="top"/>
    </xf>
    <xf numFmtId="0" fontId="61" applyFont="1" fillId="12" applyFill="1" borderId="13" applyBorder="1" xfId="0" applyAlignment="1">
      <alignment horizontal="center" vertical="top"/>
    </xf>
    <xf numFmtId="0" fontId="61" applyFont="1" fillId="12" applyFill="1" borderId="9" applyBorder="1" xfId="0" applyAlignment="1">
      <alignment horizontal="center" vertical="top"/>
    </xf>
    <xf numFmtId="0" fontId="31" applyFont="1" fillId="0" borderId="9" applyBorder="1" xfId="0" applyAlignment="1">
      <alignment horizontal="center" vertical="center" wrapText="1"/>
    </xf>
    <xf numFmtId="176" applyNumberFormat="1" fontId="62" applyFont="1" fillId="0" borderId="11" applyBorder="1" xfId="0" applyAlignment="1">
      <alignment horizontal="center" vertical="top" shrinkToFit="1"/>
    </xf>
    <xf numFmtId="176" applyNumberFormat="1" fontId="62" applyFont="1" fillId="0" borderId="12" applyBorder="1" xfId="0" applyAlignment="1">
      <alignment horizontal="center" vertical="top" shrinkToFit="1"/>
    </xf>
    <xf numFmtId="176" applyNumberFormat="1" fontId="62" applyFont="1" fillId="0" borderId="13" applyBorder="1" xfId="0" applyAlignment="1">
      <alignment horizontal="center" vertical="top" shrinkToFit="1"/>
    </xf>
    <xf numFmtId="0" fontId="63" applyFont="1" fillId="0" borderId="9" applyBorder="1" xfId="0" applyAlignment="1">
      <alignment horizontal="center" vertical="top" wrapText="1"/>
    </xf>
    <xf numFmtId="0" fontId="31" applyFont="1" fillId="0" borderId="1" applyBorder="1" xfId="0" applyAlignment="1">
      <alignment horizontal="center" vertical="center" wrapText="1"/>
    </xf>
    <xf numFmtId="0" fontId="31" applyFont="1" fillId="0" borderId="2" applyBorder="1" xfId="0" applyAlignment="1">
      <alignment horizontal="center" vertical="center" wrapText="1"/>
    </xf>
    <xf numFmtId="0" fontId="31" applyFont="1" fillId="0" borderId="3" applyBorder="1" xfId="0" applyAlignment="1">
      <alignment horizontal="center" vertical="center" wrapText="1"/>
    </xf>
    <xf numFmtId="176" applyNumberFormat="1" fontId="62" applyFont="1" fillId="13" applyFill="1" borderId="1" applyBorder="1" xfId="0" applyAlignment="1">
      <alignment horizontal="center" vertical="top" shrinkToFit="1"/>
    </xf>
    <xf numFmtId="176" applyNumberFormat="1" fontId="62" applyFont="1" fillId="13" applyFill="1" borderId="2" applyBorder="1" xfId="0" applyAlignment="1">
      <alignment horizontal="center" vertical="top" shrinkToFit="1"/>
    </xf>
    <xf numFmtId="176" applyNumberFormat="1" fontId="62" applyFont="1" fillId="13" applyFill="1" borderId="3" applyBorder="1" xfId="0" applyAlignment="1">
      <alignment horizontal="center" vertical="top" shrinkToFit="1"/>
    </xf>
    <xf numFmtId="0" fontId="59" applyFont="1" fillId="0" borderId="1" applyBorder="1" xfId="0" applyAlignment="1">
      <alignment horizontal="center" vertical="top" wrapText="1"/>
    </xf>
    <xf numFmtId="0" fontId="59" applyFont="1" fillId="0" borderId="2" applyBorder="1" xfId="0" applyAlignment="1">
      <alignment horizontal="center" vertical="top" wrapText="1"/>
    </xf>
    <xf numFmtId="0" fontId="59" applyFont="1" fillId="0" borderId="3" applyBorder="1" xfId="0" applyAlignment="1">
      <alignment horizontal="center" vertical="top" wrapText="1"/>
    </xf>
    <xf numFmtId="0" fontId="64" applyFont="1" fillId="12" applyFill="1" borderId="9" applyBorder="1" xfId="0" applyAlignment="1">
      <alignment horizontal="center" vertical="top" wrapText="1"/>
    </xf>
    <xf numFmtId="176" applyNumberFormat="1" fontId="65" applyFont="1" fillId="12" applyFill="1" borderId="11" applyBorder="1" xfId="0" applyAlignment="1">
      <alignment horizontal="center" vertical="top" shrinkToFit="1"/>
    </xf>
    <xf numFmtId="176" applyNumberFormat="1" fontId="65" applyFont="1" fillId="12" applyFill="1" borderId="12" applyBorder="1" xfId="0" applyAlignment="1">
      <alignment horizontal="center" vertical="top" shrinkToFit="1"/>
    </xf>
    <xf numFmtId="176" applyNumberFormat="1" fontId="65" applyFont="1" fillId="12" applyFill="1" borderId="13" applyBorder="1" xfId="0" applyAlignment="1">
      <alignment horizontal="center" vertical="top" shrinkToFit="1"/>
    </xf>
    <xf numFmtId="176" applyNumberFormat="1" fontId="65" applyFont="1" fillId="12" applyFill="1" borderId="9" applyBorder="1" xfId="0" applyAlignment="1">
      <alignment horizontal="center" vertical="top" shrinkToFit="1"/>
    </xf>
    <xf numFmtId="0" fontId="66" applyFont="1" fillId="0" borderId="0" xfId="0" applyAlignment="1">
      <alignment wrapText="1"/>
    </xf>
    <xf numFmtId="0" fontId="59" applyFont="1" fillId="0" borderId="0" xfId="0" applyAlignment="1">
      <alignment vertical="top" wrapText="1"/>
    </xf>
    <xf numFmtId="0" fontId="36" applyFont="1" fillId="0" borderId="0" xfId="0" applyAlignment="1">
      <alignment horizontal="left" vertical="top" wrapText="1"/>
    </xf>
    <xf numFmtId="14" applyNumberFormat="1" fontId="34" applyFont="1" fillId="0" borderId="0" xfId="0" applyAlignment="1">
      <alignment horizontal="left"/>
    </xf>
    <xf numFmtId="172" applyNumberFormat="1" fontId="1" applyFont="1" fillId="0" borderId="0" xfId="0" applyAlignment="1">
      <alignment horizontal="left" vertical="top" wrapText="1"/>
    </xf>
    <xf numFmtId="0" fontId="60" applyFont="1" fillId="0" borderId="0" xfId="0"/>
    <xf numFmtId="0" fontId="67" applyFont="1" fillId="0" borderId="0" xfId="0"/>
    <xf numFmtId="174" applyNumberFormat="1" fontId="67" applyFont="1" fillId="0" borderId="0" xfId="0"/>
    <xf numFmtId="164" applyNumberFormat="1" fontId="1" applyFont="1" fillId="0" borderId="0" xfId="0" applyAlignment="1">
      <alignment horizontal="center"/>
    </xf>
    <xf numFmtId="0" fontId="29" applyFont="1" fillId="0" borderId="0" xfId="0"/>
    <xf numFmtId="0" fontId="16" applyFont="1" fillId="0" borderId="0" xfId="0" applyAlignment="1">
      <alignment vertical="center"/>
    </xf>
    <xf numFmtId="0" fontId="16" applyFont="1" fillId="0" borderId="0" xfId="0" applyAlignment="1">
      <alignment vertical="center" wrapText="1"/>
    </xf>
    <xf numFmtId="0" fontId="68" applyFont="1" fillId="0" borderId="0" xfId="4"/>
    <xf numFmtId="0" fontId="69" applyFont="1" fillId="0" borderId="0" xfId="0" applyAlignment="1">
      <alignment horizontal="center" vertical="center"/>
    </xf>
    <xf numFmtId="0" fontId="70" applyFont="1" fillId="0" borderId="0" xfId="0"/>
    <xf numFmtId="0" fontId="71" applyFont="1" fillId="0" borderId="0" xfId="0"/>
  </cellXfs>
  <cellStyles count="5">
    <cellStyle name="Normal" xfId="0" builtinId="0"/>
    <cellStyle name="Comma" xfId="1"/>
    <cellStyle name="Normal 3 2" xfId="2"/>
    <cellStyle name="Normal 5" xfId="3"/>
    <cellStyle name="Hyperlink" xfId="4"/>
  </cellStyles>
  <dxfs count="0"/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sheetMetadata" Target="/xl/metadata.xml"/><Relationship Id="rId13" Type="http://schemas.microsoft.com/office/2017/06/relationships/rdRichValueTypes" Target="/xl/richData/rdRichValueTypes.xml"/><Relationship Id="rId14" Type="http://schemas.microsoft.com/office/2017/06/relationships/rdRichValueStructure" Target="/xl/richData/rdrichvaluestructure.xml"/><Relationship Id="rId15" Type="http://schemas.microsoft.com/office/2017/06/relationships/rdRichValue" Target="/xl/richData/rdrichvalue.xml"/><Relationship Id="rId16" Type="http://schemas.microsoft.com/office/2017/06/relationships/rdArray" Target="/xl/richData/rdarray.xml"/><Relationship Id="rId1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Relationship Id="rId2" Type="http://schemas.openxmlformats.org/officeDocument/2006/relationships/image" Target="../media/image2.png"/><Relationship Id="rId3" Type="http://schemas.openxmlformats.org/officeDocument/2006/relationships/image" Target="../media/image3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Relationship Id="rId3" Type="http://schemas.openxmlformats.org/officeDocument/2006/relationships/image" Target="../media/image4.jpg"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/Relationships>
</file>

<file path=xl/drawings/_rels/drawing10.xml.rels><?xml version="1.0" encoding="UTF-8" standalone="yes"?>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2.png"/><Relationship Id="rId3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53</xdr:row>
      <xdr:rowOff>19050</xdr:rowOff>
    </xdr:from>
    <xdr:to>
      <xdr:col>12</xdr:col>
      <xdr:colOff>0</xdr:colOff>
      <xdr:row>56</xdr:row>
      <xdr:rowOff>215900</xdr:rowOff>
    </xdr:to>
    <xdr:pic>
      <xdr:nvPicPr>
        <xdr:cNvPr id="35845" name="Picture 4">
          <a:extLst>
            <a:ext uri="{FF2B5EF4-FFF2-40B4-BE49-F238E27FC236}">
              <a16:creationId xmlns:a16="http://schemas.microsoft.com/office/drawing/2014/main" id="{00000000-0008-0000-0000-0000058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3696950"/>
          <a:ext cx="10356850" cy="882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285750</xdr:colOff>
      <xdr:row>2</xdr:row>
      <xdr:rowOff>76200</xdr:rowOff>
    </xdr:from>
    <xdr:ext cx="191329" cy="27435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99750" y="542925"/>
          <a:ext cx="1913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774700</xdr:colOff>
      <xdr:row>10</xdr:row>
      <xdr:rowOff>22225</xdr:rowOff>
    </xdr:from>
    <xdr:ext cx="202578" cy="27898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172700" y="2308225"/>
          <a:ext cx="197926" cy="270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869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575" y="0"/>
          <a:ext cx="93717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1000154</xdr:colOff>
      <xdr:row>9</xdr:row>
      <xdr:rowOff>190517</xdr:rowOff>
    </xdr:to>
    <xdr:sp macro="" textlink="">
      <xdr:nvSpPr>
        <xdr:cNvPr id="6" name="Text Box 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41275"/>
          <a:ext cx="10366377" cy="2206642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  <a:r>
            <a:rPr lang="en-US" sz="3200" b="1">
              <a:effectLst/>
              <a:latin typeface="Gauge Heavy"/>
              <a:ea typeface="Calibri"/>
              <a:cs typeface="Times New Roman"/>
            </a:rPr>
            <a:t>Singh and Sons InfoTech Private Limited</a:t>
          </a:r>
          <a:endParaRPr lang="en-US" sz="3200">
            <a:effectLst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Futura Lt BT" pitchFamily="34" charset="0"/>
              <a:ea typeface="Calibri"/>
              <a:cs typeface="Times New Roman"/>
            </a:rPr>
            <a:t/>
          </a:r>
          <a:r>
            <a:rPr lang="en-US" sz="2000" b="1">
              <a:solidFill>
                <a:srgbClr val="FF0000"/>
              </a:solidFill>
              <a:effectLst/>
              <a:latin typeface="Futura Lt BT" pitchFamily="34" charset="0"/>
              <a:ea typeface="Calibri"/>
              <a:cs typeface="Times New Roman"/>
            </a:rPr>
            <a:t>(An Integrated Facilities Management Company)</a:t>
          </a:r>
          <a:endParaRPr lang="en-US" sz="2000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Futura Lt BT" pitchFamily="34" charset="0"/>
              <a:ea typeface="Calibri"/>
              <a:cs typeface="Calibri"/>
            </a:rPr>
            <a:t/>
          </a:r>
          <a:r>
            <a:rPr lang="en-US" sz="1400" b="1">
              <a:effectLst/>
              <a:latin typeface="Futura Lt BT" pitchFamily="34" charset="0"/>
              <a:ea typeface="Calibri"/>
              <a:cs typeface="Calibri"/>
            </a:rPr>
            <a:t>Regd. Office: 21, Indra Nagar, Dibiyapur, Auraiya, (U.P) – 206244</a:t>
          </a:r>
          <a:endParaRPr lang="en-US" sz="1400" b="1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Futura Lt BT" pitchFamily="34" charset="0"/>
              <a:ea typeface="Calibri"/>
              <a:cs typeface="Calibri"/>
            </a:rPr>
            <a:t>     (An ISO 9001:2015 Certified Company)</a:t>
          </a:r>
          <a:endParaRPr lang="en-US" sz="1400" b="1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361950</xdr:colOff>
      <xdr:row>2</xdr:row>
      <xdr:rowOff>190500</xdr:rowOff>
    </xdr:from>
    <xdr:to>
      <xdr:col>2</xdr:col>
      <xdr:colOff>190500</xdr:colOff>
      <xdr:row>9</xdr:row>
      <xdr:rowOff>38100</xdr:rowOff>
    </xdr:to>
    <xdr:pic>
      <xdr:nvPicPr>
        <xdr:cNvPr id="35850" name="image1.png">
          <a:extLst>
            <a:ext uri="{FF2B5EF4-FFF2-40B4-BE49-F238E27FC236}">
              <a16:creationId xmlns:a16="http://schemas.microsoft.com/office/drawing/2014/main" id="{00000000-0008-0000-0000-00000A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647700"/>
          <a:ext cx="147320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800100</xdr:colOff>
      <xdr:row>0</xdr:row>
      <xdr:rowOff>0</xdr:rowOff>
    </xdr:from>
    <xdr:to>
      <xdr:col>6</xdr:col>
      <xdr:colOff>428625</xdr:colOff>
      <xdr:row>2</xdr:row>
      <xdr:rowOff>215900</xdr:rowOff>
    </xdr:to>
    <xdr:pic>
      <xdr:nvPicPr>
        <xdr:cNvPr id="35851" name="Picture 11">
          <a:extLst>
            <a:ext uri="{FF2B5EF4-FFF2-40B4-BE49-F238E27FC236}">
              <a16:creationId xmlns:a16="http://schemas.microsoft.com/office/drawing/2014/main" id="{00000000-0008-0000-0000-00000B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4100" y="0"/>
          <a:ext cx="520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28575</xdr:colOff>
      <xdr:row>0</xdr:row>
      <xdr:rowOff>28575</xdr:rowOff>
    </xdr:from>
    <xdr:ext cx="2102820" cy="43819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575" y="28575"/>
          <a:ext cx="2102820" cy="4381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Futura Lt BT" pitchFamily="34" charset="0"/>
            </a:rPr>
            <a:t>EMAIL : snsitech@gmail.com</a:t>
          </a:r>
        </a:p>
        <a:p>
          <a:r>
            <a:rPr lang="en-US" sz="1100" b="1">
              <a:latin typeface="Futura Lt BT" pitchFamily="34" charset="0"/>
            </a:rPr>
            <a:t>MOB</a:t>
          </a:r>
          <a:r>
            <a:rPr lang="en-US" sz="1100" b="1" baseline="0">
              <a:latin typeface="Futura Lt BT" pitchFamily="34" charset="0"/>
            </a:rPr>
            <a:t>  : +91-8979987689</a:t>
          </a:r>
          <a:endParaRPr lang="en-US" sz="1100" b="1">
            <a:latin typeface="Futura Lt BT" pitchFamily="34" charset="0"/>
          </a:endParaRPr>
        </a:p>
      </xdr:txBody>
    </xdr:sp>
    <xdr:clientData/>
  </xdr:oneCellAnchor>
  <xdr:oneCellAnchor>
    <xdr:from>
      <xdr:col>9</xdr:col>
      <xdr:colOff>549275</xdr:colOff>
      <xdr:row>0</xdr:row>
      <xdr:rowOff>19050</xdr:rowOff>
    </xdr:from>
    <xdr:ext cx="2126724" cy="783356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8172450" y="19050"/>
          <a:ext cx="2167256" cy="7833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CIN: U40106UP2019PTC125182</a:t>
          </a:r>
          <a:endParaRPr lang="en-US" sz="1100">
            <a:effectLst/>
            <a:latin typeface="Futura Lt BT" pitchFamily="34" charset="0"/>
          </a:endParaRPr>
        </a:p>
        <a:p>
          <a:pPr>
            <a:lnSpc>
              <a:spcPts val="900"/>
            </a:lnSpc>
          </a:pP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/>
          </a:r>
          <a:endParaRPr lang="en-US" sz="1100">
            <a:effectLst/>
            <a:latin typeface="Futura Lt BT" pitchFamily="34" charset="0"/>
          </a:endParaRPr>
        </a:p>
        <a:p>
          <a:pPr>
            <a:lnSpc>
              <a:spcPts val="900"/>
            </a:lnSpc>
          </a:pP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285750</xdr:colOff>
      <xdr:row>2</xdr:row>
      <xdr:rowOff>76200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50291" y="5297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793750</xdr:colOff>
      <xdr:row>10</xdr:row>
      <xdr:rowOff>22225</xdr:rowOff>
    </xdr:from>
    <xdr:ext cx="197046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687767" y="23548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63218" cy="271174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8575" y="0"/>
          <a:ext cx="9353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1049135</xdr:colOff>
      <xdr:row>9</xdr:row>
      <xdr:rowOff>190517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8575" y="41275"/>
          <a:ext cx="10422018" cy="2183395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  <a:r>
            <a:rPr lang="en-US" sz="3000" b="1"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30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/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/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266700</xdr:colOff>
      <xdr:row>2</xdr:row>
      <xdr:rowOff>190500</xdr:rowOff>
    </xdr:from>
    <xdr:to>
      <xdr:col>2</xdr:col>
      <xdr:colOff>76200</xdr:colOff>
      <xdr:row>9</xdr:row>
      <xdr:rowOff>44449</xdr:rowOff>
    </xdr:to>
    <xdr:pic>
      <xdr:nvPicPr>
        <xdr:cNvPr id="31939" name="image1.png">
          <a:extLst>
            <a:ext uri="{FF2B5EF4-FFF2-40B4-BE49-F238E27FC236}">
              <a16:creationId xmlns:a16="http://schemas.microsoft.com/office/drawing/2014/main" id="{00000000-0008-0000-0100-0000C3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647700"/>
          <a:ext cx="1454150" cy="145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876300</xdr:colOff>
      <xdr:row>0</xdr:row>
      <xdr:rowOff>19050</xdr:rowOff>
    </xdr:from>
    <xdr:to>
      <xdr:col>6</xdr:col>
      <xdr:colOff>104775</xdr:colOff>
      <xdr:row>3</xdr:row>
      <xdr:rowOff>12699</xdr:rowOff>
    </xdr:to>
    <xdr:pic>
      <xdr:nvPicPr>
        <xdr:cNvPr id="31940" name="Picture 11">
          <a:extLst>
            <a:ext uri="{FF2B5EF4-FFF2-40B4-BE49-F238E27FC236}">
              <a16:creationId xmlns:a16="http://schemas.microsoft.com/office/drawing/2014/main" id="{00000000-0008-0000-0100-0000C4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9050"/>
          <a:ext cx="52070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40870" cy="42306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9050" y="19050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  <xdr:oneCellAnchor>
    <xdr:from>
      <xdr:col>9</xdr:col>
      <xdr:colOff>312118</xdr:colOff>
      <xdr:row>0</xdr:row>
      <xdr:rowOff>19051</xdr:rowOff>
    </xdr:from>
    <xdr:ext cx="2539989" cy="47163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942881" y="19051"/>
          <a:ext cx="2540000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/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0</xdr:col>
      <xdr:colOff>19050</xdr:colOff>
      <xdr:row>51</xdr:row>
      <xdr:rowOff>31750</xdr:rowOff>
    </xdr:from>
    <xdr:to>
      <xdr:col>11</xdr:col>
      <xdr:colOff>609600</xdr:colOff>
      <xdr:row>54</xdr:row>
      <xdr:rowOff>203199</xdr:rowOff>
    </xdr:to>
    <xdr:pic>
      <xdr:nvPicPr>
        <xdr:cNvPr id="31943" name="Picture 4">
          <a:extLst>
            <a:ext uri="{FF2B5EF4-FFF2-40B4-BE49-F238E27FC236}">
              <a16:creationId xmlns:a16="http://schemas.microsoft.com/office/drawing/2014/main" id="{00000000-0008-0000-0100-0000C7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99850"/>
          <a:ext cx="104267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285750</xdr:colOff>
      <xdr:row>1</xdr:row>
      <xdr:rowOff>228600</xdr:rowOff>
    </xdr:from>
    <xdr:ext cx="19445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906000" y="542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13</xdr:col>
      <xdr:colOff>400050</xdr:colOff>
      <xdr:row>7</xdr:row>
      <xdr:rowOff>228600</xdr:rowOff>
    </xdr:from>
    <xdr:ext cx="19132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67761" y="19189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3985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5" y="0"/>
          <a:ext cx="84654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866814</xdr:colOff>
      <xdr:row>7</xdr:row>
      <xdr:rowOff>209576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6675" y="47625"/>
          <a:ext cx="8705850" cy="1905000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152400</xdr:colOff>
      <xdr:row>2</xdr:row>
      <xdr:rowOff>69850</xdr:rowOff>
    </xdr:from>
    <xdr:to>
      <xdr:col>1</xdr:col>
      <xdr:colOff>781050</xdr:colOff>
      <xdr:row>7</xdr:row>
      <xdr:rowOff>88900</xdr:rowOff>
    </xdr:to>
    <xdr:pic>
      <xdr:nvPicPr>
        <xdr:cNvPr id="34876" name="image1.png">
          <a:extLst>
            <a:ext uri="{FF2B5EF4-FFF2-40B4-BE49-F238E27FC236}">
              <a16:creationId xmlns:a16="http://schemas.microsoft.com/office/drawing/2014/main" id="{00000000-0008-0000-0200-00003C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7850"/>
          <a:ext cx="1244600" cy="128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552450</xdr:colOff>
      <xdr:row>0</xdr:row>
      <xdr:rowOff>19050</xdr:rowOff>
    </xdr:from>
    <xdr:to>
      <xdr:col>6</xdr:col>
      <xdr:colOff>104775</xdr:colOff>
      <xdr:row>2</xdr:row>
      <xdr:rowOff>31750</xdr:rowOff>
    </xdr:to>
    <xdr:pic>
      <xdr:nvPicPr>
        <xdr:cNvPr id="34877" name="Picture 8">
          <a:extLst>
            <a:ext uri="{FF2B5EF4-FFF2-40B4-BE49-F238E27FC236}">
              <a16:creationId xmlns:a16="http://schemas.microsoft.com/office/drawing/2014/main" id="{00000000-0008-0000-0200-00003D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19050"/>
          <a:ext cx="444500" cy="52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0</xdr:row>
      <xdr:rowOff>3175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0" y="3175"/>
          <a:ext cx="201234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474014</xdr:colOff>
      <xdr:row>0</xdr:row>
      <xdr:rowOff>28574</xdr:rowOff>
    </xdr:from>
    <xdr:ext cx="2100888" cy="50908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029718" y="28574"/>
          <a:ext cx="2156716" cy="4991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/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6</xdr:row>
          <xdr:rowOff>104775</xdr:rowOff>
        </xdr:from>
        <xdr:to>
          <xdr:col>6</xdr:col>
          <xdr:colOff>352425</xdr:colOff>
          <xdr:row>15</xdr:row>
          <xdr:rowOff>133350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PRESS - MOP &amp; AOC BUTTON FIRST </a:t>
              </a:r>
            </a:p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11</xdr:row>
      <xdr:rowOff>1</xdr:rowOff>
    </xdr:from>
    <xdr:to>
      <xdr:col>10</xdr:col>
      <xdr:colOff>28575</xdr:colOff>
      <xdr:row>37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2124076"/>
          <a:ext cx="5410200" cy="521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514350</xdr:colOff>
      <xdr:row>5</xdr:row>
      <xdr:rowOff>180975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7150"/>
          <a:ext cx="1085850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76200</xdr:colOff>
      <xdr:row>48</xdr:row>
      <xdr:rowOff>47625</xdr:rowOff>
    </xdr:from>
    <xdr:to>
      <xdr:col>2</xdr:col>
      <xdr:colOff>19050</xdr:colOff>
      <xdr:row>54</xdr:row>
      <xdr:rowOff>0</xdr:rowOff>
    </xdr:to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9439275"/>
          <a:ext cx="1228725" cy="1095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60</xdr:row>
      <xdr:rowOff>66675</xdr:rowOff>
    </xdr:from>
    <xdr:to>
      <xdr:col>10</xdr:col>
      <xdr:colOff>85725</xdr:colOff>
      <xdr:row>86</xdr:row>
      <xdr:rowOff>133350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791950"/>
          <a:ext cx="5410200" cy="495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/>
</rvTypesInfo>
</file>

<file path=xl/richData/rdarray.xml><?xml version="1.0" encoding="utf-8"?>
<arrayData xmlns="http://schemas.microsoft.com/office/spreadsheetml/2017/richdata2" count="0"/>
</file>

<file path=xl/richData/rdrichvalue.xml><?xml version="1.0" encoding="utf-8"?>
<rvData xmlns="http://schemas.microsoft.com/office/spreadsheetml/2017/richdata" count="0"/>
</file>

<file path=xl/richData/rdrichvaluestructure.xml><?xml version="1.0" encoding="utf-8"?>
<rvStructures xmlns="http://schemas.microsoft.com/office/spreadsheetml/2017/richdata" count="0"/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3" Type="http://schemas.openxmlformats.org/officeDocument/2006/relationships/ctrlProp" Target="../ctrlProps/ctrlProp1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hyperlink" Target="mailto:snsitech@gmail.com" TargetMode="External"/><Relationship Id="rId3" Type="http://schemas.openxmlformats.org/officeDocument/2006/relationships/hyperlink" Target="http://www.snsinfotech.com/" TargetMode="External"/><Relationship Id="rId4" Type="http://schemas.openxmlformats.org/officeDocument/2006/relationships/hyperlink" Target="mailto:snsitech@gmail.com" TargetMode="External"/><Relationship Id="rId5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1E08A-49FA-4297-80D4-AE98948521B8}">
  <dimension ref="A1:M58"/>
  <sheetViews>
    <sheetView topLeftCell="A28" zoomScale="55" zoomScaleNormal="55" zoomScalePageLayoutView="75" workbookViewId="0">
      <selection activeCell="A47" sqref="A47:L47"/>
    </sheetView>
  </sheetViews>
  <sheetFormatPr defaultRowHeight="12.75" x14ac:dyDescent="0.2"/>
  <cols>
    <col min="1" max="4" width="11.85546875" customWidth="1"/>
    <col min="5" max="5" width="11.140625" customWidth="1"/>
    <col min="6" max="11" width="12.85546875" customWidth="1"/>
    <col min="12" max="12" width="14.5703125" customWidth="1"/>
  </cols>
  <sheetData>
    <row r="1" ht="18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ht="18" customHeight="1">
      <c r="A2" s="4"/>
      <c r="L2" s="5"/>
    </row>
    <row r="3" ht="18" customHeight="1">
      <c r="A3" s="4"/>
      <c r="L3" s="5"/>
    </row>
    <row r="4" ht="18" customHeight="1">
      <c r="A4" s="4"/>
      <c r="L4" s="5"/>
    </row>
    <row r="5" ht="18" customHeight="1">
      <c r="A5" s="4"/>
      <c r="L5" s="5"/>
    </row>
    <row r="6" ht="18" customHeight="1">
      <c r="A6" s="4"/>
      <c r="L6" s="5"/>
    </row>
    <row r="7" ht="18" customHeight="1">
      <c r="A7" s="4"/>
      <c r="L7" s="5"/>
    </row>
    <row r="8" ht="18" customHeight="1">
      <c r="A8" s="4"/>
      <c r="L8" s="5"/>
    </row>
    <row r="9" ht="18" customHeight="1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8"/>
    </row>
    <row r="10" ht="18" customHeight="1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1"/>
    </row>
    <row r="11" ht="15" customHeight="1">
      <c r="A11" s="12" t="s">
        <v>0</v>
      </c>
      <c r="B11" s="13"/>
      <c r="C11" s="13"/>
      <c r="D11" s="13"/>
      <c r="E11" s="13"/>
      <c r="F11" s="13"/>
      <c r="G11" s="13"/>
      <c r="H11" s="13"/>
      <c r="I11" s="13"/>
      <c r="J11" s="14"/>
      <c r="K11" s="15" t="s">
        <v>1</v>
      </c>
      <c r="L11" s="15"/>
    </row>
    <row r="12" ht="15" customHeight="1">
      <c r="A12" s="16"/>
      <c r="B12" s="17"/>
      <c r="C12" s="17"/>
      <c r="D12" s="17"/>
      <c r="E12" s="17"/>
      <c r="F12" s="17"/>
      <c r="G12" s="17"/>
      <c r="H12" s="17"/>
      <c r="I12" s="17"/>
      <c r="J12" s="18"/>
      <c r="K12" s="15" t="s">
        <v>2</v>
      </c>
      <c r="L12" s="15"/>
    </row>
    <row r="13" ht="15" customHeight="1">
      <c r="A13" s="19"/>
      <c r="B13" s="20"/>
      <c r="C13" s="20"/>
      <c r="D13" s="20"/>
      <c r="E13" s="20"/>
      <c r="F13" s="20"/>
      <c r="G13" s="20"/>
      <c r="H13" s="20"/>
      <c r="I13" s="20"/>
      <c r="J13" s="21"/>
      <c r="K13" s="22" t="s">
        <v>3</v>
      </c>
      <c r="L13" s="22"/>
    </row>
    <row r="14" ht="15" customHeight="1">
      <c r="A14" s="23" t="s">
        <v>4</v>
      </c>
      <c r="B14" s="24"/>
      <c r="C14" s="25" t="s">
        <v>5</v>
      </c>
      <c r="D14" s="26"/>
      <c r="E14" s="26"/>
      <c r="F14" s="27"/>
      <c r="G14" s="28" t="s">
        <v>6</v>
      </c>
      <c r="H14" s="24"/>
      <c r="I14" s="29">
        <v>44874</v>
      </c>
      <c r="J14" s="29"/>
      <c r="K14" s="29"/>
      <c r="L14" s="30"/>
    </row>
    <row r="15" ht="15" customHeight="1">
      <c r="A15" s="31" t="s">
        <v>7</v>
      </c>
      <c r="B15" s="32"/>
      <c r="C15" s="31" t="s">
        <v>8</v>
      </c>
      <c r="D15" s="33"/>
      <c r="E15" s="33"/>
      <c r="F15" s="32"/>
      <c r="G15" s="33" t="s">
        <v>9</v>
      </c>
      <c r="H15" s="32"/>
      <c r="I15" s="34" t="s">
        <v>10</v>
      </c>
      <c r="J15" s="34"/>
      <c r="K15" s="34"/>
      <c r="L15" s="35"/>
    </row>
    <row r="16" ht="15" customHeight="1">
      <c r="A16" s="31" t="s">
        <v>11</v>
      </c>
      <c r="B16" s="32"/>
      <c r="C16" s="31" t="s">
        <v>12</v>
      </c>
      <c r="D16" s="33"/>
      <c r="E16" s="33"/>
      <c r="F16" s="32"/>
      <c r="G16" s="33" t="s">
        <v>13</v>
      </c>
      <c r="H16" s="32"/>
      <c r="I16" s="33">
        <v>101065975</v>
      </c>
      <c r="J16" s="33"/>
      <c r="K16" s="33"/>
      <c r="L16" s="32"/>
    </row>
    <row r="17" ht="15" customHeight="1">
      <c r="A17" s="36" t="s">
        <v>14</v>
      </c>
      <c r="B17" s="37"/>
      <c r="C17" s="36" t="s">
        <v>15</v>
      </c>
      <c r="D17" s="38"/>
      <c r="E17" s="38"/>
      <c r="F17" s="37"/>
      <c r="G17" s="38" t="s">
        <v>16</v>
      </c>
      <c r="H17" s="37"/>
      <c r="I17" s="39" t="s">
        <v>17</v>
      </c>
      <c r="J17" s="39"/>
      <c r="K17" s="39"/>
      <c r="L17" s="40"/>
      <c r="M17" s="41"/>
    </row>
    <row r="18" ht="4.5" customHeight="1">
      <c r="A18" s="42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4"/>
    </row>
    <row r="19" ht="15" customHeight="1">
      <c r="A19" s="45" t="s">
        <v>18</v>
      </c>
      <c r="B19" s="46"/>
      <c r="C19" s="46"/>
      <c r="D19" s="46"/>
      <c r="E19" s="46"/>
      <c r="F19" s="46"/>
      <c r="G19" s="47" t="s">
        <v>19</v>
      </c>
      <c r="H19" s="46"/>
      <c r="I19" s="46"/>
      <c r="J19" s="46"/>
      <c r="K19" s="46"/>
      <c r="L19" s="48"/>
    </row>
    <row r="20" ht="15" customHeight="1">
      <c r="A20" s="23" t="s">
        <v>20</v>
      </c>
      <c r="B20" s="24"/>
      <c r="C20" s="25" t="s">
        <v>21</v>
      </c>
      <c r="D20" s="26"/>
      <c r="E20" s="26"/>
      <c r="F20" s="27"/>
      <c r="G20" s="23" t="s">
        <v>20</v>
      </c>
      <c r="H20" s="24"/>
      <c r="I20" s="25" t="s">
        <v>22</v>
      </c>
      <c r="J20" s="26"/>
      <c r="K20" s="26"/>
      <c r="L20" s="27"/>
    </row>
    <row r="21" ht="15" customHeight="1">
      <c r="A21" s="31" t="s">
        <v>23</v>
      </c>
      <c r="B21" s="32"/>
      <c r="C21" s="49" t="s">
        <v>24</v>
      </c>
      <c r="D21" s="50"/>
      <c r="E21" s="50"/>
      <c r="F21" s="51"/>
      <c r="G21" s="31" t="s">
        <v>23</v>
      </c>
      <c r="H21" s="32"/>
      <c r="I21" s="49" t="s">
        <v>25</v>
      </c>
      <c r="J21" s="50"/>
      <c r="K21" s="50"/>
      <c r="L21" s="51"/>
    </row>
    <row r="22" ht="15" customHeight="1">
      <c r="A22" s="31"/>
      <c r="B22" s="32"/>
      <c r="C22" s="49" t="s">
        <v>26</v>
      </c>
      <c r="D22" s="50"/>
      <c r="E22" s="50"/>
      <c r="F22" s="51"/>
      <c r="G22" s="31"/>
      <c r="H22" s="32"/>
      <c r="I22" s="49" t="s">
        <v>27</v>
      </c>
      <c r="J22" s="50"/>
      <c r="K22" s="50"/>
      <c r="L22" s="51"/>
    </row>
    <row r="23" ht="15" customHeight="1">
      <c r="A23" s="31"/>
      <c r="B23" s="32"/>
      <c r="C23" s="49" t="s">
        <v>28</v>
      </c>
      <c r="D23" s="50"/>
      <c r="E23" s="50"/>
      <c r="F23" s="51"/>
      <c r="G23" s="31"/>
      <c r="H23" s="32"/>
      <c r="I23" s="49" t="s">
        <v>29</v>
      </c>
      <c r="J23" s="50"/>
      <c r="K23" s="50"/>
      <c r="L23" s="51"/>
    </row>
    <row r="24" ht="15" customHeight="1">
      <c r="A24" s="31" t="s">
        <v>30</v>
      </c>
      <c r="B24" s="32"/>
      <c r="C24" s="49" t="s">
        <v>8</v>
      </c>
      <c r="D24" s="50"/>
      <c r="E24" s="50"/>
      <c r="F24" s="51"/>
      <c r="G24" s="31" t="s">
        <v>31</v>
      </c>
      <c r="H24" s="32"/>
      <c r="I24" s="52" t="s">
        <v>32</v>
      </c>
      <c r="J24" s="53"/>
      <c r="K24" s="53"/>
      <c r="L24" s="54"/>
    </row>
    <row r="25" ht="15" customHeight="1">
      <c r="A25" s="31" t="s">
        <v>31</v>
      </c>
      <c r="B25" s="32"/>
      <c r="C25" s="52" t="s">
        <v>33</v>
      </c>
      <c r="D25" s="53"/>
      <c r="E25" s="53"/>
      <c r="F25" s="54"/>
      <c r="G25" s="31" t="s">
        <v>7</v>
      </c>
      <c r="H25" s="32"/>
      <c r="I25" s="49" t="s">
        <v>8</v>
      </c>
      <c r="J25" s="50"/>
      <c r="K25" s="50"/>
      <c r="L25" s="51"/>
    </row>
    <row r="26" ht="15" customHeight="1">
      <c r="A26" s="36" t="s">
        <v>34</v>
      </c>
      <c r="B26" s="37"/>
      <c r="C26" s="55" t="s">
        <v>10</v>
      </c>
      <c r="D26" s="56"/>
      <c r="E26" s="56"/>
      <c r="F26" s="57"/>
      <c r="G26" s="36" t="s">
        <v>34</v>
      </c>
      <c r="H26" s="37"/>
      <c r="I26" s="58" t="s">
        <v>10</v>
      </c>
      <c r="J26" s="59"/>
      <c r="K26" s="59"/>
      <c r="L26" s="60"/>
    </row>
    <row r="27" ht="4.35" customHeight="1">
      <c r="A27" s="61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3"/>
    </row>
    <row r="28" ht="38.25" customHeight="1">
      <c r="A28" s="64" t="s">
        <v>35</v>
      </c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6"/>
    </row>
    <row r="29" ht="30" customHeight="1">
      <c r="A29" s="67" t="s">
        <v>36</v>
      </c>
      <c r="B29" s="68" t="s">
        <v>37</v>
      </c>
      <c r="C29" s="69"/>
      <c r="D29" s="70"/>
      <c r="E29" s="67" t="s">
        <v>38</v>
      </c>
      <c r="F29" s="67" t="s">
        <v>39</v>
      </c>
      <c r="G29" s="67" t="s">
        <v>40</v>
      </c>
      <c r="H29" s="67" t="s">
        <v>41</v>
      </c>
      <c r="I29" s="67" t="s">
        <v>42</v>
      </c>
      <c r="J29" s="67" t="s">
        <v>43</v>
      </c>
      <c r="K29" s="67" t="s">
        <v>44</v>
      </c>
      <c r="L29" s="67" t="s">
        <v>45</v>
      </c>
    </row>
    <row r="30" ht="22.5">
      <c r="A30" s="71"/>
      <c r="B30" s="72" t="s">
        <v>46</v>
      </c>
      <c r="C30" s="73"/>
      <c r="D30" s="74"/>
      <c r="E30" s="75"/>
      <c r="F30" s="75"/>
      <c r="G30" s="75"/>
      <c r="H30" s="75"/>
      <c r="I30" s="75"/>
      <c r="J30" s="75"/>
      <c r="K30" s="75"/>
      <c r="L30" s="75"/>
    </row>
    <row r="31" ht="39" customHeight="1">
      <c r="A31" s="76">
        <v>1</v>
      </c>
      <c r="B31" s="77" t="s">
        <v>47</v>
      </c>
      <c r="C31" s="78"/>
      <c r="D31" s="79"/>
      <c r="E31" s="80"/>
      <c r="F31" s="81">
        <v>998311</v>
      </c>
      <c r="G31" s="81" t="s">
        <v>48</v>
      </c>
      <c r="H31" s="80">
        <f>AOC!J13</f>
        <v>1</v>
      </c>
      <c r="I31" s="82">
        <v>13200</v>
      </c>
      <c r="J31" s="82">
        <f>I31*H31</f>
        <v>13200</v>
      </c>
      <c r="K31" s="82">
        <v>0</v>
      </c>
      <c r="L31" s="83">
        <f>(((J31-K31)))</f>
        <v>13200</v>
      </c>
    </row>
    <row r="32" ht="42" customHeight="1">
      <c r="A32" s="76">
        <v>2</v>
      </c>
      <c r="B32" s="77"/>
      <c r="C32" s="78"/>
      <c r="D32" s="79"/>
      <c r="E32" s="80"/>
      <c r="F32" s="81"/>
      <c r="G32" s="81"/>
      <c r="H32" s="80"/>
      <c r="I32" s="80"/>
      <c r="J32" s="82"/>
      <c r="K32" s="82"/>
      <c r="L32" s="83"/>
    </row>
    <row r="33">
      <c r="A33" s="76"/>
      <c r="B33" s="77"/>
      <c r="C33" s="78"/>
      <c r="D33" s="79"/>
      <c r="E33" s="80"/>
      <c r="F33" s="81"/>
      <c r="G33" s="81"/>
      <c r="H33" s="80"/>
      <c r="I33" s="80"/>
      <c r="J33" s="82"/>
      <c r="K33" s="82"/>
      <c r="L33" s="83"/>
    </row>
    <row r="34">
      <c r="A34" s="76"/>
      <c r="B34" s="77"/>
      <c r="C34" s="78"/>
      <c r="D34" s="79"/>
      <c r="E34" s="80"/>
      <c r="F34" s="81"/>
      <c r="G34" s="81"/>
      <c r="H34" s="80"/>
      <c r="I34" s="80"/>
      <c r="J34" s="82"/>
      <c r="K34" s="82"/>
      <c r="L34" s="83"/>
    </row>
    <row r="35" ht="15">
      <c r="A35" s="76"/>
      <c r="B35" s="84"/>
      <c r="C35" s="85"/>
      <c r="D35" s="86"/>
      <c r="E35" s="80"/>
      <c r="F35" s="81"/>
      <c r="G35" s="81"/>
      <c r="H35" s="80"/>
      <c r="I35" s="80"/>
      <c r="J35" s="82"/>
      <c r="K35" s="82"/>
      <c r="L35" s="83"/>
    </row>
    <row r="36" ht="15">
      <c r="A36" s="76"/>
      <c r="B36" s="84"/>
      <c r="C36" s="85"/>
      <c r="D36" s="86"/>
      <c r="E36" s="80"/>
      <c r="F36" s="81"/>
      <c r="G36" s="81"/>
      <c r="H36" s="80"/>
      <c r="I36" s="80"/>
      <c r="J36" s="80"/>
      <c r="K36" s="80"/>
      <c r="L36" s="87"/>
    </row>
    <row r="37" ht="15">
      <c r="A37" s="76"/>
      <c r="B37" s="84"/>
      <c r="C37" s="85"/>
      <c r="D37" s="86"/>
      <c r="E37" s="80"/>
      <c r="F37" s="81"/>
      <c r="G37" s="81"/>
      <c r="H37" s="80"/>
      <c r="I37" s="80"/>
      <c r="J37" s="80"/>
      <c r="K37" s="80"/>
      <c r="L37" s="87"/>
    </row>
    <row r="38" ht="15">
      <c r="A38" s="76"/>
      <c r="B38" s="84"/>
      <c r="C38" s="85"/>
      <c r="D38" s="86"/>
      <c r="E38" s="80"/>
      <c r="F38" s="81"/>
      <c r="G38" s="81"/>
      <c r="H38" s="80"/>
      <c r="I38" s="80"/>
      <c r="J38" s="80"/>
      <c r="K38" s="80"/>
      <c r="L38" s="87"/>
    </row>
    <row r="39">
      <c r="A39" s="76"/>
      <c r="B39" s="88"/>
      <c r="C39" s="89"/>
      <c r="D39" s="90"/>
      <c r="E39" s="80"/>
      <c r="F39" s="91"/>
      <c r="G39" s="81"/>
      <c r="H39" s="80"/>
      <c r="I39" s="80"/>
      <c r="J39" s="80"/>
      <c r="K39" s="80"/>
      <c r="L39" s="87"/>
    </row>
    <row r="40" ht="30" customHeight="1">
      <c r="A40" s="67"/>
      <c r="B40" s="92" t="s">
        <v>49</v>
      </c>
      <c r="C40" s="93"/>
      <c r="D40" s="94"/>
      <c r="E40" s="67"/>
      <c r="F40" s="67"/>
      <c r="G40" s="67"/>
      <c r="H40" s="67"/>
      <c r="I40" s="67"/>
      <c r="J40" s="67"/>
      <c r="K40" s="67"/>
      <c r="L40" s="95">
        <f>SUM(L31:L39)</f>
        <v>13200</v>
      </c>
    </row>
    <row r="41" ht="4.35" customHeight="1">
      <c r="A41" s="96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8"/>
    </row>
    <row r="42" ht="30" customHeight="1">
      <c r="A42" s="99" t="s">
        <v>50</v>
      </c>
      <c r="B42" s="100"/>
      <c r="C42" s="100"/>
      <c r="D42" s="100"/>
      <c r="E42" s="100"/>
      <c r="F42" s="101"/>
      <c r="G42" s="102" t="s">
        <v>51</v>
      </c>
      <c r="H42" s="102"/>
      <c r="I42" s="102"/>
      <c r="J42" s="103">
        <f>L40</f>
        <v>13200</v>
      </c>
      <c r="K42" s="103"/>
      <c r="L42" s="103"/>
    </row>
    <row r="43" ht="30" customHeight="1">
      <c r="A43" s="104" t="s">
        <v>52</v>
      </c>
      <c r="B43" s="105"/>
      <c r="C43" s="105"/>
      <c r="D43" s="105"/>
      <c r="E43" s="105"/>
      <c r="F43" s="105"/>
      <c r="G43" s="106" t="s">
        <v>53</v>
      </c>
      <c r="H43" s="46"/>
      <c r="I43" s="48"/>
      <c r="J43" s="107">
        <f>J42*9%</f>
        <v>1188</v>
      </c>
      <c r="K43" s="108"/>
      <c r="L43" s="109"/>
    </row>
    <row r="44" ht="30" customHeight="1">
      <c r="A44" s="104" t="s">
        <v>54</v>
      </c>
      <c r="B44" s="105"/>
      <c r="C44" s="105"/>
      <c r="D44" s="105"/>
      <c r="E44" s="105"/>
      <c r="F44" s="105"/>
      <c r="G44" s="102" t="s">
        <v>55</v>
      </c>
      <c r="H44" s="102"/>
      <c r="I44" s="102"/>
      <c r="J44" s="103">
        <f>J42*9%</f>
        <v>1188</v>
      </c>
      <c r="K44" s="103"/>
      <c r="L44" s="103"/>
    </row>
    <row r="45" ht="30" customHeight="1">
      <c r="A45" s="88" t="s">
        <v>56</v>
      </c>
      <c r="B45" s="89"/>
      <c r="C45" s="89"/>
      <c r="D45" s="89"/>
      <c r="E45" s="110"/>
      <c r="F45" s="110"/>
      <c r="G45" s="102" t="s">
        <v>57</v>
      </c>
      <c r="H45" s="102"/>
      <c r="I45" s="102"/>
      <c r="J45" s="111">
        <f>J42+(J43+J44)</f>
        <v>15576</v>
      </c>
      <c r="K45" s="111"/>
      <c r="L45" s="111"/>
    </row>
    <row r="46" ht="3" customHeight="1">
      <c r="A46" s="112"/>
      <c r="B46" s="113"/>
      <c r="C46" s="113"/>
      <c r="D46" s="113"/>
      <c r="E46" s="113"/>
      <c r="F46" s="114"/>
      <c r="G46" s="114"/>
      <c r="H46" s="46"/>
      <c r="I46" s="46"/>
      <c r="J46" s="115"/>
      <c r="K46" s="115"/>
      <c r="L46" s="116"/>
    </row>
    <row r="47" ht="30" customHeight="1">
      <c r="A47" s="117" t="str">
        <f>"Total Bill Amount in words : INR"&amp;" "&amp;CHOOSE(LEFT(TEXT(J45,"000000000"))+1,,"One","Two","Three","Four","Five","Six","Seven","Eight","Nine")&amp;
IF(--LEFT(TEXT(J45,"000000000"))=0,,IF(AND(--MID(TEXT(J45,"000000000"),2,1)=0,--MID(TEXT(J45,"000000000"),3,1)=0)," Hundred"," Hundred and "))&amp;
CHOOSE(MID(TEXT(J45,"000000000"),2,1)+1,,,"Twenty ","Thirty ","Forty ","Fifty ","Sixty ","Seventy ","Eighty ","Ninety ")&amp;
IF(--MID(TEXT(J45,"000000000"),2,1)&lt;&gt;1,CHOOSE(MID(TEXT(J45,"000000000"),3,1)+1,,"One","Two","Three","Four","Five","Six","Seven","Eight","Nine"),CHOOSE(MID(TEXT(J45,"000000000"),3,1)+1,"Ten","Eleven","Twelve","Thirteen","Fourteen","Fifteen","Sixteen","Seventeen","Eighteen","Nineteen"))&amp;
IF((--LEFT(TEXT(J45,"000000000"))+MID(TEXT(J45,"000000000"),2,1)+MID(TEXT(J45,"000000000"),3,1))=0,,IF(AND((--MID(TEXT(J45,"000000000"),4,1)+MID(TEXT(J45,"000000000"),5,1)+MID(TEXT(J45,"000000000"),6,1)+MID(TEXT(J45,"000000000"),7,1))=0,(--MID(TEXT(J45,"000000000"),8,1)+RIGHT(TEXT(J45,"000000000")))&gt;0)," Million and "," Million "))&amp;
CHOOSE(MID(TEXT(J45,"000000000"),4,1)+1,,"One","Two","Three","Four","Five","Six","Seven","Eight","Nine")&amp;
IF(--MID(TEXT(J45,"000000000"),4,1)=0,,IF(AND(--MID(TEXT(J45,"000000000"),5,1)=0,--MID(TEXT(J45,"000000000"),6,1)=0)," Hundred "," Hundred and "))&amp;
CHOOSE(MID(TEXT(J45,"000000000"),5,1)+1,,,"Twenty ","Thirty ","Forty ","Fifty ","Sixty ","Seventy ","Eighty ","Ninety ")&amp;
IF(--MID(TEXT(J45,"000000000"),5,1)&lt;&gt;1,CHOOSE(MID(TEXT(J45,"000000000"),6,1)+1,,"One","Two","Three","Four","Five","Six","Seven","Eight","Nine"),CHOOSE(MID(TEXT(J45,"000000000"),6,1)+1,"Ten","Eleven","Twelve","Thirteen","Fourteen","Fifteen","Sixteen","Seventeen","Eighteen","Nineteen"))&amp;
IF((--MID(TEXT(J45,"000000000"),4,1)+MID(TEXT(J45,"000000000"),5,1)+MID(TEXT(J45,"000000000"),6,1))=0,,IF(OR((--MID(TEXT(J45,"000000000"),7,1)+MID(TEXT(J45,"000000000"),8,1)+RIGHT(TEXT(J45,"000000000")))=0,--MID(TEXT(J45,"000000000"),7,1)&lt;&gt;0)," Thousand "," Thousand and "))&amp;
CHOOSE(MID(TEXT(J45,"000000000"),7,1)+1,,"One","Two","Three","Four","Five","Six","Seven","Eight","Nine")&amp;
IF(--MID(TEXT(J45,"000000000"),7,1)=0,,IF(AND(--MID(TEXT(J45,"000000000"),8,1)=0,--RIGHT(TEXT(J45,"000000000"))=0)," Hundred "," Hundred and "))&amp;
CHOOSE(MID(TEXT(J45,"000000000"),8,1)+1,,,"Twenty ","Thirty ","Forty ","Fifty ","Sixty ","Seventy ","Eighty ","Ninety ")&amp;
IF(--MID(TEXT(J45,"000000000"),8,1)&lt;&gt;1,CHOOSE(RIGHT(TEXT(J45,"000000000"))+1,,"One","Two","Three","Four","Five","Six","Seven","Eight","Nine"),CHOOSE(RIGHT(TEXT(J45,"000000000"))+1,"Ten","Eleven","Twelve","Thirteen","Fourteen","Fifteen","Sixteen","Seventeen","Eighteen","Nineteen"))&amp;" Only"</f>
        <v>Total Bill Amount in words : INR Fifteen Thousand Five Hundred and Seventy Six Only</v>
      </c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9"/>
    </row>
    <row r="48" ht="30" customHeight="1">
      <c r="A48" s="120" t="s">
        <v>58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2"/>
    </row>
    <row r="49" ht="30" customHeight="1">
      <c r="A49" s="123"/>
      <c r="B49" s="124"/>
      <c r="C49" s="124"/>
      <c r="D49" s="124"/>
      <c r="E49" s="124"/>
      <c r="F49" s="124"/>
      <c r="G49" s="125" t="s">
        <v>59</v>
      </c>
      <c r="H49" s="125"/>
      <c r="I49" s="125"/>
      <c r="J49" s="125"/>
      <c r="K49" s="125"/>
      <c r="L49" s="126"/>
    </row>
    <row r="50" ht="39.95" customHeight="1">
      <c r="A50" s="123"/>
      <c r="B50" s="124"/>
      <c r="C50" s="124"/>
      <c r="D50" s="124"/>
      <c r="E50" s="124"/>
      <c r="F50" s="124"/>
      <c r="G50" s="127"/>
      <c r="H50" s="127"/>
      <c r="I50" s="127"/>
      <c r="J50" s="127"/>
      <c r="K50" s="127"/>
      <c r="L50" s="128"/>
    </row>
    <row r="51" ht="39.95" customHeight="1">
      <c r="A51" s="123"/>
      <c r="B51" s="124"/>
      <c r="C51" s="124"/>
      <c r="D51" s="124"/>
      <c r="E51" s="124"/>
      <c r="F51" s="124"/>
      <c r="G51" s="127"/>
      <c r="H51" s="127"/>
      <c r="I51" s="127"/>
      <c r="J51" s="127"/>
      <c r="K51" s="127"/>
      <c r="L51" s="128"/>
    </row>
    <row r="52" ht="39.95" customHeight="1">
      <c r="A52" s="123"/>
      <c r="B52" s="124"/>
      <c r="C52" s="124"/>
      <c r="D52" s="124"/>
      <c r="E52" s="124"/>
      <c r="F52" s="124"/>
      <c r="G52" s="127"/>
      <c r="H52" s="127"/>
      <c r="I52" s="127"/>
      <c r="J52" s="127"/>
      <c r="K52" s="127"/>
      <c r="L52" s="128"/>
    </row>
    <row r="53" ht="30" customHeight="1">
      <c r="A53" s="129"/>
      <c r="B53" s="130"/>
      <c r="C53" s="130"/>
      <c r="D53" s="130"/>
      <c r="E53" s="130"/>
      <c r="F53" s="130"/>
      <c r="G53" s="131" t="s">
        <v>60</v>
      </c>
      <c r="H53" s="131"/>
      <c r="I53" s="131"/>
      <c r="J53" s="131"/>
      <c r="K53" s="131"/>
      <c r="L53" s="132"/>
    </row>
    <row r="54" ht="18" customHeight="1">
      <c r="A54" s="133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5"/>
    </row>
    <row r="55" ht="18" customHeight="1">
      <c r="A55" s="133"/>
      <c r="B55" s="134"/>
      <c r="C55" s="134"/>
      <c r="D55" s="134"/>
      <c r="E55" s="134"/>
      <c r="F55" s="134"/>
      <c r="G55" s="134"/>
      <c r="H55" s="134"/>
      <c r="I55" s="134"/>
      <c r="J55" s="134"/>
      <c r="K55" s="134"/>
      <c r="L55" s="135"/>
    </row>
    <row r="56" ht="18" customHeight="1">
      <c r="A56" s="133"/>
      <c r="B56" s="134"/>
      <c r="C56" s="134"/>
      <c r="D56" s="134"/>
      <c r="E56" s="134"/>
      <c r="F56" s="134"/>
      <c r="G56" s="134"/>
      <c r="H56" s="134"/>
      <c r="I56" s="134"/>
      <c r="J56" s="134"/>
      <c r="K56" s="134"/>
      <c r="L56" s="135"/>
    </row>
    <row r="57" ht="18" customHeight="1">
      <c r="A57" s="136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8"/>
    </row>
    <row r="58" ht="18" customHeight="1">
      <c r="A58" s="139"/>
      <c r="B58" s="139"/>
      <c r="C58" s="139"/>
      <c r="D58" s="139"/>
      <c r="E58" s="139"/>
      <c r="F58" s="139"/>
      <c r="G58" s="140"/>
      <c r="H58" s="140"/>
      <c r="I58" s="140"/>
      <c r="J58" s="141"/>
      <c r="K58" s="141"/>
      <c r="L58" s="141"/>
    </row>
  </sheetData>
  <mergeCells>
    <mergeCell ref="A58:F58"/>
    <mergeCell ref="G58:I58"/>
    <mergeCell ref="J58:L58"/>
    <mergeCell ref="A47:L47"/>
    <mergeCell ref="A48:L48"/>
    <mergeCell ref="G49:L49"/>
    <mergeCell ref="G53:L53"/>
    <mergeCell ref="A54:L57"/>
    <mergeCell ref="G44:I44"/>
    <mergeCell ref="J44:L44"/>
    <mergeCell ref="A45:D45"/>
    <mergeCell ref="G45:I45"/>
    <mergeCell ref="J45:L45"/>
    <mergeCell ref="B40:D40"/>
    <mergeCell ref="A41:L41"/>
    <mergeCell ref="G42:I42"/>
    <mergeCell ref="J42:L42"/>
    <mergeCell ref="G43:I43"/>
    <mergeCell ref="J43:L43"/>
    <mergeCell ref="B35:D35"/>
    <mergeCell ref="B36:D36"/>
    <mergeCell ref="B37:D37"/>
    <mergeCell ref="B38:D38"/>
    <mergeCell ref="B39:D39"/>
    <mergeCell ref="B30:D30"/>
    <mergeCell ref="B31:D31"/>
    <mergeCell ref="B32:D32"/>
    <mergeCell ref="B33:D33"/>
    <mergeCell ref="B34:D34"/>
    <mergeCell ref="A26:B26"/>
    <mergeCell ref="G26:H26"/>
    <mergeCell ref="I26:L26"/>
    <mergeCell ref="A28:L28"/>
    <mergeCell ref="B29:D29"/>
    <mergeCell ref="A24:B24"/>
    <mergeCell ref="G24:H24"/>
    <mergeCell ref="I24:L24"/>
    <mergeCell ref="A25:B25"/>
    <mergeCell ref="G25:H25"/>
    <mergeCell ref="I25:L25"/>
    <mergeCell ref="A22:B22"/>
    <mergeCell ref="G22:H22"/>
    <mergeCell ref="I22:L22"/>
    <mergeCell ref="A23:B23"/>
    <mergeCell ref="G23:H23"/>
    <mergeCell ref="I23:L23"/>
    <mergeCell ref="A20:B20"/>
    <mergeCell ref="C20:F20"/>
    <mergeCell ref="G20:H20"/>
    <mergeCell ref="I20:L20"/>
    <mergeCell ref="A21:B21"/>
    <mergeCell ref="G21:H21"/>
    <mergeCell ref="I21:L21"/>
    <mergeCell ref="A17:B17"/>
    <mergeCell ref="C17:F17"/>
    <mergeCell ref="G17:H17"/>
    <mergeCell ref="I17:L17"/>
    <mergeCell ref="A19:F19"/>
    <mergeCell ref="G19:L19"/>
    <mergeCell ref="A15:B15"/>
    <mergeCell ref="C15:F15"/>
    <mergeCell ref="G15:H15"/>
    <mergeCell ref="I15:L15"/>
    <mergeCell ref="A16:B16"/>
    <mergeCell ref="C16:F16"/>
    <mergeCell ref="G16:H16"/>
    <mergeCell ref="I16:L16"/>
    <mergeCell ref="A11:J13"/>
    <mergeCell ref="K11:L11"/>
    <mergeCell ref="K12:L12"/>
    <mergeCell ref="K13:L13"/>
    <mergeCell ref="A14:B14"/>
    <mergeCell ref="C14:F14"/>
    <mergeCell ref="G14:H14"/>
    <mergeCell ref="I14:L14"/>
  </mergeCells>
  <printOptions horizontalCentered="1"/>
  <pageMargins left="0.25" right="0.25" top="0.28000000000000003" bottom="0.28000000000000003" header="0.3" footer="0.3"/>
  <pageSetup paperSize="9" scale="67" orientation="portrait"/>
  <headerFooter>
    <oddFooter>&amp;C_x000D_&amp;1#&amp;"Calibri"&amp;10&amp;K000000 Classified - Confidential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8B4CC-7876-4947-8ED9-9A238E3A6ABA}">
  <dimension ref="A1:M56"/>
  <sheetViews>
    <sheetView zoomScale="70" zoomScaleNormal="70" zoomScalePageLayoutView="75" workbookViewId="0">
      <selection activeCell="C14" sqref="C14:F14"/>
    </sheetView>
  </sheetViews>
  <sheetFormatPr defaultRowHeight="12.75" x14ac:dyDescent="0.2"/>
  <cols>
    <col min="1" max="4" width="11.85546875" customWidth="1"/>
    <col min="5" max="5" width="11.140625" customWidth="1"/>
    <col min="6" max="6" width="19.140625" customWidth="1"/>
    <col min="7" max="11" width="12.85546875" customWidth="1"/>
    <col min="12" max="12" bestFit="1" width="15.42578125" customWidth="1"/>
  </cols>
  <sheetData>
    <row r="1" ht="18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ht="18" customHeight="1">
      <c r="A2" s="4"/>
      <c r="L2" s="5"/>
    </row>
    <row r="3" ht="18" customHeight="1">
      <c r="A3" s="4"/>
      <c r="L3" s="5"/>
    </row>
    <row r="4" ht="18" customHeight="1">
      <c r="A4" s="4"/>
      <c r="L4" s="5"/>
    </row>
    <row r="5" ht="18" customHeight="1">
      <c r="A5" s="4"/>
      <c r="L5" s="5"/>
    </row>
    <row r="6" ht="18" customHeight="1">
      <c r="A6" s="4"/>
      <c r="L6" s="5"/>
    </row>
    <row r="7" ht="18" customHeight="1">
      <c r="A7" s="4"/>
      <c r="L7" s="5"/>
    </row>
    <row r="8" ht="18" customHeight="1">
      <c r="A8" s="4"/>
      <c r="L8" s="5"/>
    </row>
    <row r="9" ht="18" customHeight="1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8"/>
    </row>
    <row r="10" ht="18" customHeight="1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1"/>
    </row>
    <row r="11" ht="15" customHeight="1">
      <c r="A11" s="142" t="s">
        <v>61</v>
      </c>
      <c r="B11" s="143"/>
      <c r="C11" s="143"/>
      <c r="D11" s="143"/>
      <c r="E11" s="143"/>
      <c r="F11" s="143"/>
      <c r="G11" s="143"/>
      <c r="H11" s="143"/>
      <c r="I11" s="143"/>
      <c r="J11" s="144"/>
      <c r="K11" s="145" t="s">
        <v>1</v>
      </c>
      <c r="L11" s="145"/>
    </row>
    <row r="12" ht="15" customHeight="1">
      <c r="A12" s="146"/>
      <c r="B12" s="147"/>
      <c r="C12" s="147"/>
      <c r="D12" s="147"/>
      <c r="E12" s="147"/>
      <c r="F12" s="147"/>
      <c r="G12" s="147"/>
      <c r="H12" s="147"/>
      <c r="I12" s="147"/>
      <c r="J12" s="148"/>
      <c r="K12" s="145" t="s">
        <v>2</v>
      </c>
      <c r="L12" s="145"/>
    </row>
    <row r="13" ht="15" customHeight="1">
      <c r="A13" s="149"/>
      <c r="B13" s="150"/>
      <c r="C13" s="150"/>
      <c r="D13" s="150"/>
      <c r="E13" s="150"/>
      <c r="F13" s="150"/>
      <c r="G13" s="150"/>
      <c r="H13" s="150"/>
      <c r="I13" s="150"/>
      <c r="J13" s="151"/>
      <c r="K13" s="152" t="s">
        <v>3</v>
      </c>
      <c r="L13" s="152"/>
    </row>
    <row r="14" ht="15" customHeight="1">
      <c r="A14" s="153" t="s">
        <v>4</v>
      </c>
      <c r="B14" s="154"/>
      <c r="C14" s="155" t="str">
        <f>'working sheet'!B6</f>
        <v>SSI/1181</v>
      </c>
      <c r="D14" s="156"/>
      <c r="E14" s="156"/>
      <c r="F14" s="157"/>
      <c r="G14" s="158" t="s">
        <v>6</v>
      </c>
      <c r="H14" s="154"/>
      <c r="I14" s="159">
        <f>'working sheet'!B8</f>
        <v>45964</v>
      </c>
      <c r="J14" s="159"/>
      <c r="K14" s="159"/>
      <c r="L14" s="160"/>
    </row>
    <row r="15" ht="15" customHeight="1">
      <c r="A15" s="161" t="s">
        <v>7</v>
      </c>
      <c r="B15" s="162"/>
      <c r="C15" s="161" t="s">
        <v>62</v>
      </c>
      <c r="D15" s="163"/>
      <c r="E15" s="163"/>
      <c r="F15" s="162"/>
      <c r="G15" s="163" t="s">
        <v>9</v>
      </c>
      <c r="H15" s="162"/>
      <c r="I15" s="164" t="s">
        <v>63</v>
      </c>
      <c r="J15" s="164"/>
      <c r="K15" s="164"/>
      <c r="L15" s="165"/>
    </row>
    <row r="16" ht="15" customHeight="1">
      <c r="A16" s="161" t="s">
        <v>11</v>
      </c>
      <c r="B16" s="162"/>
      <c r="C16" s="161" t="str">
        <f>'working sheet'!B5</f>
        <v>01 Oct 2025 To 31 Oct 2025</v>
      </c>
      <c r="D16" s="163"/>
      <c r="E16" s="163"/>
      <c r="F16" s="162"/>
      <c r="G16" s="163" t="s">
        <v>13</v>
      </c>
      <c r="H16" s="162"/>
      <c r="I16" s="163">
        <v>101065975</v>
      </c>
      <c r="J16" s="163"/>
      <c r="K16" s="163"/>
      <c r="L16" s="162"/>
    </row>
    <row r="17" ht="15" customHeight="1">
      <c r="A17" s="166" t="s">
        <v>14</v>
      </c>
      <c r="B17" s="167"/>
      <c r="C17" s="166" t="s">
        <v>64</v>
      </c>
      <c r="D17" s="168"/>
      <c r="E17" s="168"/>
      <c r="F17" s="167"/>
      <c r="G17" s="168" t="s">
        <v>16</v>
      </c>
      <c r="H17" s="167"/>
      <c r="I17" s="168" t="s">
        <v>65</v>
      </c>
      <c r="J17" s="168"/>
      <c r="K17" s="168"/>
      <c r="L17" s="167"/>
      <c r="M17" s="41"/>
    </row>
    <row r="18" ht="4.5" customHeight="1">
      <c r="A18" s="169"/>
      <c r="B18" s="170"/>
      <c r="C18" s="170"/>
      <c r="D18" s="170"/>
      <c r="E18" s="170"/>
      <c r="F18" s="170"/>
      <c r="G18" s="170"/>
      <c r="H18" s="170"/>
      <c r="I18" s="170"/>
      <c r="J18" s="170"/>
      <c r="K18" s="170"/>
      <c r="L18" s="171"/>
    </row>
    <row r="19" ht="15" customHeight="1">
      <c r="A19" s="172" t="s">
        <v>18</v>
      </c>
      <c r="B19" s="173"/>
      <c r="C19" s="173"/>
      <c r="D19" s="173"/>
      <c r="E19" s="173"/>
      <c r="F19" s="173"/>
      <c r="G19" s="174" t="s">
        <v>19</v>
      </c>
      <c r="H19" s="173"/>
      <c r="I19" s="173"/>
      <c r="J19" s="173"/>
      <c r="K19" s="173"/>
      <c r="L19" s="175"/>
    </row>
    <row r="20" ht="15" customHeight="1">
      <c r="A20" s="153" t="s">
        <v>20</v>
      </c>
      <c r="B20" s="154"/>
      <c r="C20" s="176" t="s">
        <v>66</v>
      </c>
      <c r="D20" s="177"/>
      <c r="E20" s="177"/>
      <c r="F20" s="178"/>
      <c r="G20" s="153" t="s">
        <v>20</v>
      </c>
      <c r="H20" s="154"/>
      <c r="I20" s="176" t="s">
        <v>67</v>
      </c>
      <c r="J20" s="177"/>
      <c r="K20" s="177"/>
      <c r="L20" s="178"/>
    </row>
    <row r="21" ht="15" customHeight="1">
      <c r="A21" s="161" t="s">
        <v>23</v>
      </c>
      <c r="B21" s="162"/>
      <c r="C21" s="179" t="s">
        <v>68</v>
      </c>
      <c r="D21" s="180"/>
      <c r="E21" s="180"/>
      <c r="F21" s="181"/>
      <c r="G21" s="161" t="s">
        <v>23</v>
      </c>
      <c r="H21" s="162"/>
      <c r="I21" s="179" t="s">
        <v>25</v>
      </c>
      <c r="J21" s="180"/>
      <c r="K21" s="180"/>
      <c r="L21" s="181"/>
    </row>
    <row r="22" ht="15" customHeight="1">
      <c r="A22" s="161"/>
      <c r="B22" s="162"/>
      <c r="C22" s="179" t="s">
        <v>69</v>
      </c>
      <c r="D22" s="180"/>
      <c r="E22" s="180"/>
      <c r="F22" s="181"/>
      <c r="G22" s="161"/>
      <c r="H22" s="162"/>
      <c r="I22" s="179" t="s">
        <v>27</v>
      </c>
      <c r="J22" s="180"/>
      <c r="K22" s="180"/>
      <c r="L22" s="181"/>
    </row>
    <row r="23" ht="15" customHeight="1">
      <c r="A23" s="161"/>
      <c r="B23" s="162"/>
      <c r="C23" s="179" t="s">
        <v>70</v>
      </c>
      <c r="D23" s="180"/>
      <c r="E23" s="180"/>
      <c r="F23" s="181"/>
      <c r="G23" s="161"/>
      <c r="H23" s="162"/>
      <c r="I23" s="179" t="s">
        <v>29</v>
      </c>
      <c r="J23" s="180"/>
      <c r="K23" s="180"/>
      <c r="L23" s="181"/>
    </row>
    <row r="24" ht="15" customHeight="1">
      <c r="A24" s="161" t="s">
        <v>30</v>
      </c>
      <c r="B24" s="162"/>
      <c r="C24" s="179" t="s">
        <v>62</v>
      </c>
      <c r="D24" s="180"/>
      <c r="E24" s="180"/>
      <c r="F24" s="181"/>
      <c r="G24" s="161" t="s">
        <v>31</v>
      </c>
      <c r="H24" s="162"/>
      <c r="I24" s="182" t="s">
        <v>32</v>
      </c>
      <c r="J24" s="140"/>
      <c r="K24" s="140"/>
      <c r="L24" s="183"/>
    </row>
    <row r="25" ht="15" customHeight="1">
      <c r="A25" s="161" t="s">
        <v>31</v>
      </c>
      <c r="B25" s="162"/>
      <c r="C25" s="182" t="s">
        <v>71</v>
      </c>
      <c r="D25" s="140"/>
      <c r="E25" s="140"/>
      <c r="F25" s="183"/>
      <c r="G25" s="161" t="s">
        <v>7</v>
      </c>
      <c r="H25" s="162"/>
      <c r="I25" s="179" t="s">
        <v>8</v>
      </c>
      <c r="J25" s="180"/>
      <c r="K25" s="180"/>
      <c r="L25" s="181"/>
    </row>
    <row r="26" ht="15" customHeight="1">
      <c r="A26" s="166" t="s">
        <v>34</v>
      </c>
      <c r="B26" s="167"/>
      <c r="C26" s="184">
        <v>23</v>
      </c>
      <c r="D26" s="185"/>
      <c r="E26" s="185"/>
      <c r="F26" s="186"/>
      <c r="G26" s="166" t="s">
        <v>34</v>
      </c>
      <c r="H26" s="167"/>
      <c r="I26" s="187" t="s">
        <v>10</v>
      </c>
      <c r="J26" s="188"/>
      <c r="K26" s="188"/>
      <c r="L26" s="189"/>
    </row>
    <row r="27" ht="4.35" customHeight="1">
      <c r="A27" s="190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2"/>
    </row>
    <row r="28" ht="38.25" customHeight="1">
      <c r="A28" s="193" t="str">
        <f>"ASSISTANCE FOR DIGITIZATION SERVICES IN DOCUMENTS CONTROL SERVICES DEPARTMENT AND UPKEEPING OF DCS RECORD ROOM AT GAIL VIAJIPUR for the Month of"&amp;" "&amp;'working sheet'!B10</f>
        <v>ASSISTANCE FOR DIGITIZATION SERVICES IN DOCUMENTS CONTROL SERVICES DEPARTMENT AND UPKEEPING OF DCS RECORD ROOM AT GAIL VIAJIPUR for the Month of OCTOBER-2025</v>
      </c>
      <c r="B28" s="194"/>
      <c r="C28" s="194"/>
      <c r="D28" s="194"/>
      <c r="E28" s="194"/>
      <c r="F28" s="194"/>
      <c r="G28" s="194"/>
      <c r="H28" s="194"/>
      <c r="I28" s="194"/>
      <c r="J28" s="194"/>
      <c r="K28" s="194"/>
      <c r="L28" s="195"/>
    </row>
    <row r="29" ht="30" customHeight="1">
      <c r="A29" s="196" t="s">
        <v>36</v>
      </c>
      <c r="B29" s="197" t="s">
        <v>37</v>
      </c>
      <c r="C29" s="198"/>
      <c r="D29" s="199"/>
      <c r="E29" s="196" t="s">
        <v>38</v>
      </c>
      <c r="F29" s="196" t="s">
        <v>39</v>
      </c>
      <c r="G29" s="196" t="s">
        <v>40</v>
      </c>
      <c r="H29" s="196" t="s">
        <v>41</v>
      </c>
      <c r="I29" s="196" t="s">
        <v>42</v>
      </c>
      <c r="J29" s="196" t="s">
        <v>43</v>
      </c>
      <c r="K29" s="196" t="s">
        <v>44</v>
      </c>
      <c r="L29" s="196" t="s">
        <v>45</v>
      </c>
    </row>
    <row r="30" ht="23.25">
      <c r="A30" s="200"/>
      <c r="B30" s="201" t="s">
        <v>72</v>
      </c>
      <c r="C30" s="202"/>
      <c r="D30" s="203"/>
      <c r="E30" s="204"/>
      <c r="F30" s="204"/>
      <c r="G30" s="204"/>
      <c r="H30" s="204"/>
      <c r="I30" s="204"/>
      <c r="J30" s="204"/>
      <c r="K30" s="204"/>
      <c r="L30" s="204"/>
    </row>
    <row r="31">
      <c r="A31" s="205">
        <v>1</v>
      </c>
      <c r="B31" s="206" t="str">
        <f>AOC!C13</f>
        <v>SERVICE CHARGE FOR ASSISTANCE</v>
      </c>
      <c r="C31" s="207"/>
      <c r="D31" s="208"/>
      <c r="E31" s="209"/>
      <c r="F31" s="210">
        <v>998311</v>
      </c>
      <c r="G31" s="210" t="str">
        <f>AOC!D13</f>
        <v>MON</v>
      </c>
      <c r="H31" s="211">
        <f>AOC!J13</f>
        <v>1</v>
      </c>
      <c r="I31" s="211">
        <f>AOC!F13</f>
        <v>44891.63</v>
      </c>
      <c r="J31" s="211">
        <f>I31*H31</f>
        <v>44891.63</v>
      </c>
      <c r="K31" s="211">
        <v>0</v>
      </c>
      <c r="L31" s="212">
        <f>(((J31-K31)))</f>
        <v>44891.63</v>
      </c>
    </row>
    <row r="32">
      <c r="A32" s="205">
        <v>2</v>
      </c>
      <c r="B32" s="206" t="str">
        <f>AOC!C14</f>
        <v>PROVISION OF REVISION OF WAGES</v>
      </c>
      <c r="C32" s="207"/>
      <c r="D32" s="208"/>
      <c r="E32" s="209"/>
      <c r="F32" s="210">
        <v>998311</v>
      </c>
      <c r="G32" s="210" t="str">
        <f>AOC!D14</f>
        <v>EA</v>
      </c>
      <c r="H32" s="211">
        <f>AOC!J14</f>
        <v>3929.25</v>
      </c>
      <c r="I32" s="211">
        <f>AOC!F14</f>
        <v>1</v>
      </c>
      <c r="J32" s="211">
        <f>I32*H32</f>
        <v>3929.25</v>
      </c>
      <c r="K32" s="211">
        <v>0</v>
      </c>
      <c r="L32" s="212">
        <f>(((J32-K32)))</f>
        <v>3929.25</v>
      </c>
    </row>
    <row r="33">
      <c r="A33" s="205">
        <v>3</v>
      </c>
      <c r="B33" s="206" t="str">
        <f>AOC!C15</f>
        <v>PROVISION FOR SAFETY KITS</v>
      </c>
      <c r="C33" s="207"/>
      <c r="D33" s="208"/>
      <c r="E33" s="209"/>
      <c r="F33" s="210">
        <v>998311</v>
      </c>
      <c r="G33" s="210" t="str">
        <f>AOC!D15</f>
        <v>EA</v>
      </c>
      <c r="H33" s="211">
        <f>AOC!J15</f>
        <v>0</v>
      </c>
      <c r="I33" s="211">
        <f>AOC!F15</f>
        <v>1</v>
      </c>
      <c r="J33" s="211">
        <f>I33*H33</f>
        <v>0</v>
      </c>
      <c r="K33" s="211">
        <v>0</v>
      </c>
      <c r="L33" s="212">
        <f>(((J33-K33)))</f>
        <v>0</v>
      </c>
    </row>
    <row r="34">
      <c r="A34" s="205">
        <v>4</v>
      </c>
      <c r="B34" s="206" t="str">
        <f>AOC!C16</f>
        <v>Ex-gratia in lieu of Bonus @ 8.33% Per Month</v>
      </c>
      <c r="C34" s="207"/>
      <c r="D34" s="208"/>
      <c r="E34" s="209"/>
      <c r="F34" s="210">
        <v>998311</v>
      </c>
      <c r="G34" s="210" t="str">
        <f>AOC!D16</f>
        <v>LS</v>
      </c>
      <c r="H34" s="211">
        <f>AOC!J16</f>
        <v>0</v>
      </c>
      <c r="I34" s="211">
        <f>AOC!F16</f>
        <v>1</v>
      </c>
      <c r="J34" s="211">
        <f>I34*H34</f>
        <v>0</v>
      </c>
      <c r="K34" s="211">
        <v>0</v>
      </c>
      <c r="L34" s="212">
        <f>(((J34-K34)))</f>
        <v>0</v>
      </c>
    </row>
    <row r="35">
      <c r="A35" s="205"/>
      <c r="B35" s="206"/>
      <c r="C35" s="207"/>
      <c r="D35" s="208"/>
      <c r="E35" s="209"/>
      <c r="F35" s="210"/>
      <c r="G35" s="210"/>
      <c r="H35" s="211"/>
      <c r="I35" s="211"/>
      <c r="J35" s="211"/>
      <c r="K35" s="211"/>
      <c r="L35" s="212"/>
    </row>
    <row r="36">
      <c r="A36" s="205"/>
      <c r="B36" s="206"/>
      <c r="C36" s="207"/>
      <c r="D36" s="208"/>
      <c r="E36" s="209"/>
      <c r="F36" s="210"/>
      <c r="G36" s="210"/>
      <c r="H36" s="211"/>
      <c r="I36" s="211"/>
      <c r="J36" s="211"/>
      <c r="K36" s="211"/>
      <c r="L36" s="212"/>
    </row>
    <row r="37">
      <c r="A37" s="205"/>
      <c r="B37" s="206"/>
      <c r="C37" s="207"/>
      <c r="D37" s="208"/>
      <c r="E37" s="209"/>
      <c r="F37" s="213"/>
      <c r="G37" s="210"/>
      <c r="H37" s="209"/>
      <c r="I37" s="209"/>
      <c r="J37" s="209"/>
      <c r="K37" s="209"/>
      <c r="L37" s="214"/>
    </row>
    <row r="38" ht="30" customHeight="1">
      <c r="A38" s="196"/>
      <c r="B38" s="215" t="s">
        <v>49</v>
      </c>
      <c r="C38" s="216"/>
      <c r="D38" s="217"/>
      <c r="E38" s="196"/>
      <c r="F38" s="196"/>
      <c r="G38" s="196"/>
      <c r="H38" s="196"/>
      <c r="I38" s="196"/>
      <c r="J38" s="196"/>
      <c r="K38" s="196"/>
      <c r="L38" s="218">
        <f>SUM(L31:L37)</f>
        <v>48820.88</v>
      </c>
    </row>
    <row r="39" ht="4.35" customHeight="1">
      <c r="A39" s="219"/>
      <c r="B39" s="220"/>
      <c r="C39" s="220"/>
      <c r="D39" s="220"/>
      <c r="E39" s="220"/>
      <c r="F39" s="220"/>
      <c r="G39" s="220"/>
      <c r="H39" s="220"/>
      <c r="I39" s="220"/>
      <c r="J39" s="220"/>
      <c r="K39" s="220"/>
      <c r="L39" s="221"/>
    </row>
    <row r="40" ht="30" customHeight="1">
      <c r="A40" s="222" t="s">
        <v>50</v>
      </c>
      <c r="B40" s="223"/>
      <c r="C40" s="223"/>
      <c r="D40" s="223"/>
      <c r="E40" s="223"/>
      <c r="F40" s="224"/>
      <c r="G40" s="225" t="s">
        <v>51</v>
      </c>
      <c r="H40" s="225"/>
      <c r="I40" s="225"/>
      <c r="J40" s="226">
        <f>ROUND(L38,0)</f>
        <v>48821</v>
      </c>
      <c r="K40" s="226"/>
      <c r="L40" s="226"/>
    </row>
    <row r="41" ht="30" customHeight="1">
      <c r="A41" s="227" t="s">
        <v>52</v>
      </c>
      <c r="B41" s="228"/>
      <c r="C41" s="228"/>
      <c r="D41" s="228"/>
      <c r="E41" s="228"/>
      <c r="F41" s="228"/>
      <c r="G41" s="225" t="s">
        <v>73</v>
      </c>
      <c r="H41" s="225"/>
      <c r="I41" s="225"/>
      <c r="J41" s="226">
        <f>ROUND(J40*18%,0)</f>
        <v>8788</v>
      </c>
      <c r="K41" s="226"/>
      <c r="L41" s="226"/>
    </row>
    <row r="42" ht="30" customHeight="1">
      <c r="A42" s="227" t="s">
        <v>54</v>
      </c>
      <c r="B42" s="228"/>
      <c r="C42" s="228"/>
      <c r="D42" s="228"/>
      <c r="E42" s="228"/>
      <c r="F42" s="228"/>
      <c r="G42" s="225" t="s">
        <v>74</v>
      </c>
      <c r="H42" s="225"/>
      <c r="I42" s="225"/>
      <c r="J42" s="229">
        <f>ROUND(J40+J41,0)</f>
        <v>57609</v>
      </c>
      <c r="K42" s="229"/>
      <c r="L42" s="229"/>
    </row>
    <row r="43" ht="30" customHeight="1">
      <c r="A43" s="230" t="s">
        <v>56</v>
      </c>
      <c r="B43" s="231"/>
      <c r="C43" s="231"/>
      <c r="D43" s="231"/>
      <c r="E43" s="232"/>
      <c r="F43" s="232"/>
      <c r="G43" s="233"/>
      <c r="H43" s="140"/>
      <c r="I43" s="140"/>
      <c r="J43" s="234"/>
      <c r="K43" s="234"/>
      <c r="L43" s="235"/>
    </row>
    <row r="44" ht="3" customHeight="1">
      <c r="A44" s="236"/>
      <c r="B44" s="237"/>
      <c r="C44" s="237"/>
      <c r="D44" s="237"/>
      <c r="E44" s="237"/>
      <c r="F44" s="238"/>
      <c r="G44" s="239"/>
      <c r="H44" s="239"/>
      <c r="I44" s="239"/>
      <c r="J44" s="239"/>
      <c r="K44" s="239"/>
      <c r="L44" s="240"/>
    </row>
    <row r="45" ht="30" customHeight="1">
      <c r="A45" s="241" t="str">
        <f>"Total Bill Amount in words : "&amp;[1]!SpellNumber(J42)</f>
        <v>Total Bill Amount in words : Rupees FiftySeven Thousand Six Hundred Nine Only </v>
      </c>
      <c r="B45" s="242"/>
      <c r="C45" s="242"/>
      <c r="D45" s="242"/>
      <c r="E45" s="242"/>
      <c r="F45" s="242"/>
      <c r="G45" s="242"/>
      <c r="H45" s="242"/>
      <c r="I45" s="242"/>
      <c r="J45" s="242"/>
      <c r="K45" s="242"/>
      <c r="L45" s="243"/>
    </row>
    <row r="46" ht="20.1" customHeight="1">
      <c r="A46" s="244" t="s">
        <v>58</v>
      </c>
      <c r="B46" s="245"/>
      <c r="C46" s="245"/>
      <c r="D46" s="245"/>
      <c r="E46" s="245"/>
      <c r="F46" s="245"/>
      <c r="G46" s="246" t="s">
        <v>59</v>
      </c>
      <c r="H46" s="246"/>
      <c r="I46" s="246"/>
      <c r="J46" s="246"/>
      <c r="K46" s="246"/>
      <c r="L46" s="247"/>
    </row>
    <row r="47" ht="20.1" customHeight="1">
      <c r="A47" s="248"/>
      <c r="B47" s="249"/>
      <c r="C47" s="249"/>
      <c r="D47" s="249"/>
      <c r="E47" s="249"/>
      <c r="F47" s="249"/>
      <c r="G47" s="250"/>
      <c r="H47" s="250"/>
      <c r="I47" s="250"/>
      <c r="J47" s="250"/>
      <c r="K47" s="250"/>
      <c r="L47" s="251"/>
    </row>
    <row r="48" ht="20.1" customHeight="1">
      <c r="A48" s="248"/>
      <c r="B48" s="249"/>
      <c r="C48" s="249"/>
      <c r="D48" s="249"/>
      <c r="E48" s="249"/>
      <c r="F48" s="249"/>
      <c r="G48" s="250"/>
      <c r="H48" s="250"/>
      <c r="I48" s="250"/>
      <c r="J48" s="250"/>
      <c r="K48" s="250"/>
      <c r="L48" s="251"/>
    </row>
    <row r="49" ht="20.1" customHeight="1">
      <c r="A49" s="248"/>
      <c r="B49" s="249"/>
      <c r="C49" s="249"/>
      <c r="D49" s="249"/>
      <c r="E49" s="249"/>
      <c r="F49" s="249"/>
      <c r="G49" s="250"/>
      <c r="H49" s="250"/>
      <c r="I49" s="250"/>
      <c r="J49" s="250"/>
      <c r="K49" s="250"/>
      <c r="L49" s="251"/>
    </row>
    <row r="50" ht="20.1" customHeight="1">
      <c r="A50" s="248"/>
      <c r="B50" s="249"/>
      <c r="C50" s="249"/>
      <c r="D50" s="249"/>
      <c r="E50" s="249"/>
      <c r="F50" s="249"/>
      <c r="G50" s="246" t="s">
        <v>60</v>
      </c>
      <c r="H50" s="246"/>
      <c r="I50" s="246"/>
      <c r="J50" s="246"/>
      <c r="K50" s="246"/>
      <c r="L50" s="247"/>
    </row>
    <row r="51" ht="20.1" customHeight="1">
      <c r="A51" s="248"/>
      <c r="B51" s="249"/>
      <c r="C51" s="249"/>
      <c r="D51" s="249"/>
      <c r="E51" s="249"/>
      <c r="F51" s="249"/>
      <c r="G51" s="134"/>
      <c r="H51" s="134"/>
      <c r="I51" s="134"/>
      <c r="J51" s="134"/>
      <c r="K51" s="134"/>
      <c r="L51" s="135"/>
    </row>
    <row r="52" ht="18" customHeight="1">
      <c r="A52" s="252"/>
      <c r="B52" s="253"/>
      <c r="C52" s="253"/>
      <c r="D52" s="253"/>
      <c r="E52" s="253"/>
      <c r="F52" s="253"/>
      <c r="G52" s="253"/>
      <c r="H52" s="253"/>
      <c r="I52" s="253"/>
      <c r="J52" s="253"/>
      <c r="K52" s="253"/>
      <c r="L52" s="254"/>
    </row>
    <row r="53" ht="18" customHeight="1">
      <c r="A53" s="133"/>
      <c r="B53" s="134"/>
      <c r="C53" s="134"/>
      <c r="D53" s="134"/>
      <c r="E53" s="134"/>
      <c r="F53" s="134"/>
      <c r="G53" s="134"/>
      <c r="H53" s="134"/>
      <c r="I53" s="134"/>
      <c r="J53" s="134"/>
      <c r="K53" s="134"/>
      <c r="L53" s="135"/>
    </row>
    <row r="54" ht="18" customHeight="1">
      <c r="A54" s="133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5"/>
    </row>
    <row r="55" ht="18" customHeight="1">
      <c r="A55" s="136"/>
      <c r="B55" s="137"/>
      <c r="C55" s="137"/>
      <c r="D55" s="137"/>
      <c r="E55" s="137"/>
      <c r="F55" s="137"/>
      <c r="G55" s="255"/>
      <c r="H55" s="255"/>
      <c r="I55" s="255"/>
      <c r="J55" s="256"/>
      <c r="K55" s="256"/>
      <c r="L55" s="257"/>
    </row>
    <row r="56" ht="18" customHeight="1">
      <c r="A56" s="139"/>
      <c r="B56" s="139"/>
      <c r="C56" s="139"/>
      <c r="D56" s="139"/>
      <c r="E56" s="139"/>
      <c r="F56" s="139"/>
    </row>
  </sheetData>
  <mergeCells>
    <mergeCell ref="A11:J13"/>
    <mergeCell ref="K11:L11"/>
    <mergeCell ref="K12:L12"/>
    <mergeCell ref="K13:L13"/>
    <mergeCell ref="A14:B14"/>
    <mergeCell ref="I14:L14"/>
    <mergeCell ref="A15:B15"/>
    <mergeCell ref="I15:L15"/>
    <mergeCell ref="G14:H14"/>
    <mergeCell ref="G15:H15"/>
    <mergeCell ref="C14:F14"/>
    <mergeCell ref="C15:F15"/>
    <mergeCell ref="A16:B16"/>
    <mergeCell ref="I16:L16"/>
    <mergeCell ref="A17:B17"/>
    <mergeCell ref="I17:L17"/>
    <mergeCell ref="G16:H16"/>
    <mergeCell ref="G17:H17"/>
    <mergeCell ref="C16:F16"/>
    <mergeCell ref="C17:F17"/>
    <mergeCell ref="A19:F19"/>
    <mergeCell ref="G19:L19"/>
    <mergeCell ref="A20:B20"/>
    <mergeCell ref="C20:F20"/>
    <mergeCell ref="G20:H20"/>
    <mergeCell ref="I20:L20"/>
    <mergeCell ref="A21:B21"/>
    <mergeCell ref="G21:H21"/>
    <mergeCell ref="I21:L21"/>
    <mergeCell ref="A22:B22"/>
    <mergeCell ref="G22:H22"/>
    <mergeCell ref="I22:L22"/>
    <mergeCell ref="C21:F21"/>
    <mergeCell ref="C22:F22"/>
    <mergeCell ref="A23:B23"/>
    <mergeCell ref="G23:H23"/>
    <mergeCell ref="I23:L23"/>
    <mergeCell ref="A24:B24"/>
    <mergeCell ref="G24:H24"/>
    <mergeCell ref="I24:L24"/>
    <mergeCell ref="C23:F23"/>
    <mergeCell ref="C24:F24"/>
    <mergeCell ref="A25:B25"/>
    <mergeCell ref="G25:H25"/>
    <mergeCell ref="I25:L25"/>
    <mergeCell ref="A26:B26"/>
    <mergeCell ref="G26:H26"/>
    <mergeCell ref="I26:L26"/>
    <mergeCell ref="C25:F25"/>
    <mergeCell ref="C26:F26"/>
    <mergeCell ref="B37:D37"/>
    <mergeCell ref="B38:D38"/>
    <mergeCell ref="A39:L39"/>
    <mergeCell ref="G40:I40"/>
    <mergeCell ref="J40:L40"/>
    <mergeCell ref="G50:L50"/>
    <mergeCell ref="A56:F56"/>
    <mergeCell ref="G41:I41"/>
    <mergeCell ref="J41:L41"/>
    <mergeCell ref="A43:D43"/>
    <mergeCell ref="G42:I42"/>
    <mergeCell ref="J42:L42"/>
    <mergeCell ref="A45:L45"/>
    <mergeCell ref="G46:L46"/>
    <mergeCell ref="B35:D35"/>
    <mergeCell ref="B36:D36"/>
    <mergeCell ref="A28:L28"/>
    <mergeCell ref="B29:D29"/>
    <mergeCell ref="B30:D30"/>
    <mergeCell ref="B31:D31"/>
    <mergeCell ref="B32:D32"/>
    <mergeCell ref="B33:D33"/>
    <mergeCell ref="B34:D34"/>
  </mergeCells>
  <printOptions horizontalCentered="1"/>
  <pageMargins left="0.25" right="0.25" top="0.75" bottom="0.75" header="0.3" footer="0.3"/>
  <pageSetup paperSize="9" scale="64" orientation="portrait"/>
  <headerFooter>
    <oddFooter>&amp;C_x000D_&amp;1#&amp;"Calibri"&amp;10&amp;K000000 Classified - Confidential</oddFooter>
  </headerFooter>
  <ignoredErrors>
    <ignoredError sqref="I26" numberStoredAsText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FE49D-CA15-4DDD-ADD1-35B737C32EF2}">
  <dimension ref="A1:M47"/>
  <sheetViews>
    <sheetView zoomScale="70" zoomScaleNormal="70" workbookViewId="0">
      <selection activeCell="F21" sqref="F21:G21"/>
    </sheetView>
  </sheetViews>
  <sheetFormatPr defaultRowHeight="14.25" x14ac:dyDescent="0.2"/>
  <cols>
    <col min="1" max="1" width="8.85546875" customWidth="1" style="258"/>
    <col min="2" max="5" width="11.85546875" customWidth="1" style="258"/>
    <col min="6" max="11" width="12.85546875" customWidth="1" style="258"/>
    <col min="13" max="13" bestFit="1" width="11.140625" customWidth="1"/>
  </cols>
  <sheetData>
    <row r="1" ht="20.1" customHeight="1">
      <c r="A1" s="259"/>
      <c r="B1" s="260"/>
      <c r="C1" s="260"/>
      <c r="D1" s="260"/>
      <c r="E1" s="260"/>
      <c r="F1" s="260"/>
      <c r="G1" s="260"/>
      <c r="H1" s="260"/>
      <c r="I1" s="260"/>
      <c r="J1" s="260"/>
      <c r="K1" s="261"/>
    </row>
    <row r="2" ht="20.1" customHeight="1">
      <c r="A2" s="262"/>
      <c r="K2" s="263"/>
    </row>
    <row r="3" ht="20.1" customHeight="1">
      <c r="A3" s="262"/>
      <c r="K3" s="263"/>
    </row>
    <row r="4" ht="20.1" customHeight="1">
      <c r="A4" s="262"/>
      <c r="K4" s="263"/>
    </row>
    <row r="5" ht="20.1" customHeight="1">
      <c r="A5" s="262"/>
      <c r="K5" s="263"/>
    </row>
    <row r="6" ht="20.1" customHeight="1">
      <c r="A6" s="262"/>
      <c r="K6" s="263"/>
    </row>
    <row r="7" ht="20.1" customHeight="1">
      <c r="A7" s="262"/>
      <c r="K7" s="263"/>
    </row>
    <row r="8" ht="20.1" customHeight="1">
      <c r="A8" s="264"/>
      <c r="B8" s="265"/>
      <c r="C8" s="265"/>
      <c r="D8" s="265"/>
      <c r="E8" s="265"/>
      <c r="F8" s="265"/>
      <c r="G8" s="265"/>
      <c r="H8" s="265"/>
      <c r="I8" s="265"/>
      <c r="J8" s="265"/>
      <c r="K8" s="266"/>
    </row>
    <row r="9" ht="24.95" customHeight="1">
      <c r="A9" s="267" t="s">
        <v>75</v>
      </c>
      <c r="B9" s="267"/>
      <c r="C9" s="267"/>
      <c r="D9" s="267"/>
      <c r="E9" s="267"/>
      <c r="F9" s="267"/>
      <c r="G9" s="267"/>
      <c r="H9" s="267"/>
      <c r="I9" s="267"/>
      <c r="J9" s="267"/>
      <c r="K9" s="267"/>
    </row>
    <row r="10" ht="24.95" customHeight="1">
      <c r="A10" s="267" t="str">
        <f>'working sheet'!C9</f>
        <v>RA BILL NO-22</v>
      </c>
      <c r="B10" s="267"/>
      <c r="C10" s="267"/>
      <c r="D10" s="267"/>
      <c r="E10" s="267"/>
      <c r="F10" s="267"/>
      <c r="G10" s="267"/>
      <c r="H10" s="267"/>
      <c r="I10" s="267"/>
      <c r="J10" s="267"/>
      <c r="K10" s="267"/>
    </row>
    <row r="11" ht="24.95" customHeight="1">
      <c r="A11" s="268" t="s">
        <v>76</v>
      </c>
      <c r="B11" s="268"/>
      <c r="C11" s="268"/>
      <c r="D11" s="268"/>
      <c r="E11" s="268"/>
      <c r="F11" s="269" t="s">
        <v>67</v>
      </c>
      <c r="G11" s="270"/>
      <c r="H11" s="270"/>
      <c r="I11" s="270"/>
      <c r="J11" s="270"/>
      <c r="K11" s="271"/>
    </row>
    <row r="12" ht="37.5" customHeight="1" s="272" customFormat="1">
      <c r="A12" s="268" t="s">
        <v>77</v>
      </c>
      <c r="B12" s="268"/>
      <c r="C12" s="268"/>
      <c r="D12" s="268"/>
      <c r="E12" s="268"/>
      <c r="F12" s="273" t="s">
        <v>78</v>
      </c>
      <c r="G12" s="273"/>
      <c r="H12" s="273"/>
      <c r="I12" s="273"/>
      <c r="J12" s="273"/>
      <c r="K12" s="273"/>
    </row>
    <row r="13" ht="30" customHeight="1" s="272" customFormat="1">
      <c r="A13" s="268" t="s">
        <v>79</v>
      </c>
      <c r="B13" s="268"/>
      <c r="C13" s="268"/>
      <c r="D13" s="268"/>
      <c r="E13" s="268"/>
      <c r="F13" s="268" t="s">
        <v>65</v>
      </c>
      <c r="G13" s="268"/>
      <c r="H13" s="268"/>
      <c r="I13" s="268"/>
      <c r="J13" s="268"/>
      <c r="K13" s="268"/>
    </row>
    <row r="14" ht="30" customHeight="1" s="272" customFormat="1">
      <c r="A14" s="268" t="s">
        <v>80</v>
      </c>
      <c r="B14" s="268"/>
      <c r="C14" s="268"/>
      <c r="D14" s="268"/>
      <c r="E14" s="268"/>
      <c r="F14" s="274" t="s">
        <v>81</v>
      </c>
      <c r="G14" s="274"/>
      <c r="H14" s="274"/>
      <c r="I14" s="274"/>
      <c r="J14" s="274"/>
      <c r="K14" s="274"/>
    </row>
    <row r="15" ht="30" customHeight="1" s="272" customFormat="1">
      <c r="A15" s="268" t="s">
        <v>82</v>
      </c>
      <c r="B15" s="268"/>
      <c r="C15" s="268"/>
      <c r="D15" s="268"/>
      <c r="E15" s="268"/>
      <c r="F15" s="274" t="s">
        <v>83</v>
      </c>
      <c r="G15" s="274"/>
      <c r="H15" s="274"/>
      <c r="I15" s="274"/>
      <c r="J15" s="274"/>
      <c r="K15" s="274"/>
      <c r="M15" s="275"/>
    </row>
    <row r="16" ht="30" customHeight="1" s="272" customFormat="1">
      <c r="A16" s="268" t="s">
        <v>84</v>
      </c>
      <c r="B16" s="268"/>
      <c r="C16" s="268"/>
      <c r="D16" s="268"/>
      <c r="E16" s="268"/>
      <c r="F16" s="274" t="s">
        <v>85</v>
      </c>
      <c r="G16" s="274"/>
      <c r="H16" s="274"/>
      <c r="I16" s="274"/>
      <c r="J16" s="274"/>
      <c r="K16" s="274"/>
    </row>
    <row r="17" ht="30" customHeight="1" s="272" customFormat="1">
      <c r="A17" s="225" t="s">
        <v>86</v>
      </c>
      <c r="B17" s="225"/>
      <c r="C17" s="225"/>
      <c r="D17" s="225"/>
      <c r="E17" s="225"/>
      <c r="F17" s="268" t="str">
        <f>'working sheet'!C9</f>
        <v>RA BILL NO-22</v>
      </c>
      <c r="G17" s="268"/>
      <c r="H17" s="268"/>
      <c r="I17" s="268"/>
      <c r="J17" s="268"/>
      <c r="K17" s="268"/>
    </row>
    <row r="18" ht="30" customHeight="1" s="272" customFormat="1">
      <c r="A18" s="268" t="s">
        <v>87</v>
      </c>
      <c r="B18" s="268"/>
      <c r="C18" s="268"/>
      <c r="D18" s="268"/>
      <c r="E18" s="268"/>
      <c r="F18" s="276" t="str">
        <f>'working sheet'!B5&amp;" BILL FOR THE MONTH OF"&amp;" "&amp;'working sheet'!B10</f>
        <v>01 Oct 2025 To 31 Oct 2025 BILL FOR THE MONTH OF OCTOBER-2025</v>
      </c>
      <c r="G18" s="277"/>
      <c r="H18" s="277"/>
      <c r="I18" s="277"/>
      <c r="J18" s="277"/>
      <c r="K18" s="278"/>
    </row>
    <row r="19" ht="5.1" customHeight="1" s="272" customFormat="1">
      <c r="A19" s="279"/>
      <c r="B19" s="280"/>
      <c r="C19" s="280"/>
      <c r="D19" s="280"/>
      <c r="E19" s="280"/>
      <c r="F19" s="280"/>
      <c r="G19" s="280"/>
      <c r="H19" s="280"/>
      <c r="I19" s="280"/>
      <c r="J19" s="280"/>
      <c r="K19" s="281"/>
    </row>
    <row r="20" ht="24.95" customHeight="1">
      <c r="A20" s="282" t="s">
        <v>88</v>
      </c>
      <c r="B20" s="283" t="s">
        <v>89</v>
      </c>
      <c r="C20" s="284"/>
      <c r="D20" s="284"/>
      <c r="E20" s="285"/>
      <c r="F20" s="286" t="s">
        <v>90</v>
      </c>
      <c r="G20" s="287"/>
      <c r="H20" s="288" t="s">
        <v>91</v>
      </c>
      <c r="I20" s="289"/>
      <c r="J20" s="288" t="s">
        <v>92</v>
      </c>
      <c r="K20" s="289"/>
    </row>
    <row r="21" ht="24.95" customHeight="1">
      <c r="A21" s="290">
        <v>1</v>
      </c>
      <c r="B21" s="291" t="s">
        <v>93</v>
      </c>
      <c r="C21" s="291"/>
      <c r="D21" s="291"/>
      <c r="E21" s="291"/>
      <c r="F21" s="292">
        <v>1091641.53</v>
      </c>
      <c r="G21" s="293"/>
      <c r="H21" s="294">
        <f>AOC!K17</f>
        <v>48821</v>
      </c>
      <c r="I21" s="294"/>
      <c r="J21" s="295">
        <f>F21+H21</f>
        <v>1140462.53</v>
      </c>
      <c r="K21" s="295"/>
    </row>
    <row r="22" ht="24.95" customHeight="1">
      <c r="A22" s="290">
        <v>2</v>
      </c>
      <c r="B22" s="296" t="s">
        <v>94</v>
      </c>
      <c r="C22" s="297"/>
      <c r="D22" s="297"/>
      <c r="E22" s="298"/>
      <c r="F22" s="292">
        <v>196495.2954</v>
      </c>
      <c r="G22" s="293"/>
      <c r="H22" s="299">
        <f>ROUND(H21*18%,0)</f>
        <v>8788</v>
      </c>
      <c r="I22" s="300"/>
      <c r="J22" s="295">
        <f ref="J22:J27" t="shared" si="0">F22+H22</f>
        <v>205283.2954</v>
      </c>
      <c r="K22" s="295"/>
    </row>
    <row r="23" ht="29.45" customHeight="1">
      <c r="A23" s="290">
        <v>3</v>
      </c>
      <c r="B23" s="296" t="s">
        <v>95</v>
      </c>
      <c r="C23" s="301"/>
      <c r="D23" s="301"/>
      <c r="E23" s="302"/>
      <c r="F23" s="292">
        <v>1288136.8254</v>
      </c>
      <c r="G23" s="293"/>
      <c r="H23" s="299">
        <f>H21+H22</f>
        <v>57609</v>
      </c>
      <c r="I23" s="300"/>
      <c r="J23" s="295">
        <f t="shared" si="0"/>
        <v>1345745.8254</v>
      </c>
      <c r="K23" s="295"/>
    </row>
    <row r="24" ht="24.95" customHeight="1">
      <c r="A24" s="290">
        <v>4</v>
      </c>
      <c r="B24" s="303" t="s">
        <v>96</v>
      </c>
      <c r="C24" s="301"/>
      <c r="D24" s="301"/>
      <c r="E24" s="302"/>
      <c r="F24" s="292">
        <v>21831.8106</v>
      </c>
      <c r="G24" s="293"/>
      <c r="H24" s="299">
        <f>ROUND(H21*2%,0)</f>
        <v>976</v>
      </c>
      <c r="I24" s="300"/>
      <c r="J24" s="295">
        <f t="shared" si="0"/>
        <v>22807.8106</v>
      </c>
      <c r="K24" s="295"/>
    </row>
    <row r="25" ht="24.95" customHeight="1">
      <c r="A25" s="290">
        <v>5</v>
      </c>
      <c r="B25" s="296" t="s">
        <v>97</v>
      </c>
      <c r="C25" s="297"/>
      <c r="D25" s="297"/>
      <c r="E25" s="298"/>
      <c r="F25" s="292">
        <v>21831.8106</v>
      </c>
      <c r="G25" s="293"/>
      <c r="H25" s="299">
        <f>ROUND(H21*2%,0)</f>
        <v>976</v>
      </c>
      <c r="I25" s="300"/>
      <c r="J25" s="295">
        <f t="shared" si="0"/>
        <v>22807.8106</v>
      </c>
      <c r="K25" s="295"/>
    </row>
    <row r="26" ht="30.6" customHeight="1">
      <c r="A26" s="290">
        <v>6</v>
      </c>
      <c r="B26" s="296" t="s">
        <v>98</v>
      </c>
      <c r="C26" s="297"/>
      <c r="D26" s="297"/>
      <c r="E26" s="298"/>
      <c r="F26" s="292">
        <v>0</v>
      </c>
      <c r="G26" s="293"/>
      <c r="H26" s="299">
        <v>0</v>
      </c>
      <c r="I26" s="300"/>
      <c r="J26" s="295">
        <f t="shared" si="0"/>
        <v>0</v>
      </c>
      <c r="K26" s="295"/>
    </row>
    <row r="27" ht="24.95" customHeight="1">
      <c r="A27" s="290">
        <v>7</v>
      </c>
      <c r="B27" s="304" t="s">
        <v>99</v>
      </c>
      <c r="C27" s="304"/>
      <c r="D27" s="304"/>
      <c r="E27" s="304"/>
      <c r="F27" s="292">
        <v>1244473.2042</v>
      </c>
      <c r="G27" s="293"/>
      <c r="H27" s="305">
        <f>H23-(H24+H25)</f>
        <v>55657</v>
      </c>
      <c r="I27" s="306"/>
      <c r="J27" s="295">
        <f t="shared" si="0"/>
        <v>1300130.2042</v>
      </c>
      <c r="K27" s="295"/>
    </row>
    <row r="28" ht="24.95" customHeight="1">
      <c r="A28" s="307" t="str">
        <f>"Verified &amp; Certified for Net Amount Payment of : INR"&amp;" "&amp;[1]!SpellNumber(H27)</f>
        <v>Verified &amp; Certified for Net Amount Payment of : INR Rupees FiftyFive Thousand Six Hundred FiftySeven Only </v>
      </c>
      <c r="B28" s="308"/>
      <c r="C28" s="308"/>
      <c r="D28" s="308"/>
      <c r="E28" s="308"/>
      <c r="F28" s="308"/>
      <c r="G28" s="308"/>
      <c r="H28" s="308"/>
      <c r="I28" s="308"/>
      <c r="J28" s="308"/>
      <c r="K28" s="309"/>
    </row>
    <row r="29" ht="24.95" customHeight="1">
      <c r="A29" s="310">
        <v>1</v>
      </c>
      <c r="B29" s="311" t="s">
        <v>100</v>
      </c>
      <c r="C29" s="311"/>
      <c r="D29" s="311"/>
      <c r="E29" s="311"/>
      <c r="F29" s="311"/>
      <c r="G29" s="311"/>
      <c r="H29" s="311"/>
      <c r="I29" s="311"/>
      <c r="J29" s="311"/>
      <c r="K29" s="312"/>
    </row>
    <row r="30" ht="24.95" customHeight="1">
      <c r="A30" s="313">
        <v>2</v>
      </c>
      <c r="B30" s="311" t="s">
        <v>101</v>
      </c>
      <c r="C30" s="311"/>
      <c r="D30" s="311"/>
      <c r="E30" s="311"/>
      <c r="F30" s="311"/>
      <c r="G30" s="311"/>
      <c r="H30" s="311"/>
      <c r="I30" s="311"/>
      <c r="J30" s="311"/>
      <c r="K30" s="312"/>
    </row>
    <row r="31" ht="24.95" customHeight="1">
      <c r="A31" s="313">
        <v>3</v>
      </c>
      <c r="B31" s="314" t="s">
        <v>102</v>
      </c>
      <c r="C31" s="314"/>
      <c r="D31" s="314"/>
      <c r="E31" s="314"/>
      <c r="F31" s="314"/>
      <c r="G31" s="314"/>
      <c r="H31" s="314"/>
      <c r="I31" s="314"/>
      <c r="J31" s="314"/>
      <c r="K31" s="315"/>
    </row>
    <row r="32" ht="24.95" customHeight="1">
      <c r="A32" s="313">
        <v>4</v>
      </c>
      <c r="B32" s="314" t="s">
        <v>103</v>
      </c>
      <c r="C32" s="314"/>
      <c r="D32" s="314"/>
      <c r="E32" s="314"/>
      <c r="F32" s="314"/>
      <c r="G32" s="314"/>
      <c r="H32" s="314"/>
      <c r="I32" s="314"/>
      <c r="J32" s="314"/>
      <c r="K32" s="315"/>
    </row>
    <row r="33" ht="24.95" customHeight="1">
      <c r="A33" s="316" t="s">
        <v>104</v>
      </c>
      <c r="B33" s="279" t="s">
        <v>105</v>
      </c>
      <c r="C33" s="280"/>
      <c r="D33" s="280"/>
      <c r="E33" s="280"/>
      <c r="F33" s="281"/>
      <c r="G33" s="279" t="s">
        <v>106</v>
      </c>
      <c r="H33" s="280"/>
      <c r="I33" s="280"/>
      <c r="J33" s="280"/>
      <c r="K33" s="281"/>
    </row>
    <row r="34" ht="24.95" customHeight="1">
      <c r="A34" s="317"/>
      <c r="B34" s="318"/>
      <c r="C34" s="318"/>
      <c r="D34" s="318"/>
      <c r="E34" s="318"/>
      <c r="F34" s="318"/>
      <c r="G34" s="318"/>
      <c r="H34" s="318"/>
      <c r="I34" s="318"/>
      <c r="J34" s="318"/>
      <c r="K34" s="319"/>
    </row>
    <row r="35" ht="24.95" customHeight="1">
      <c r="A35" s="320"/>
      <c r="B35" s="321"/>
      <c r="C35" s="321"/>
      <c r="D35" s="321"/>
      <c r="E35" s="321"/>
      <c r="F35" s="321"/>
      <c r="G35" s="321"/>
      <c r="H35" s="321"/>
      <c r="I35" s="321"/>
      <c r="J35" s="321"/>
      <c r="K35" s="322"/>
    </row>
    <row r="36" ht="24.95" customHeight="1">
      <c r="A36" s="316" t="s">
        <v>20</v>
      </c>
      <c r="B36" s="323" t="s">
        <v>107</v>
      </c>
      <c r="C36" s="324"/>
      <c r="D36" s="324"/>
      <c r="E36" s="324"/>
      <c r="F36" s="325"/>
      <c r="G36" s="323" t="s">
        <v>108</v>
      </c>
      <c r="H36" s="324"/>
      <c r="I36" s="324"/>
      <c r="J36" s="324"/>
      <c r="K36" s="325"/>
    </row>
    <row r="37" ht="24.95" customHeight="1">
      <c r="A37" s="316" t="s">
        <v>109</v>
      </c>
      <c r="B37" s="326">
        <f>'working sheet'!B4</f>
        <v>45964</v>
      </c>
      <c r="C37" s="327"/>
      <c r="D37" s="327"/>
      <c r="E37" s="327"/>
      <c r="F37" s="328"/>
      <c r="G37" s="279" t="s">
        <v>110</v>
      </c>
      <c r="H37" s="280"/>
      <c r="I37" s="280"/>
      <c r="J37" s="280"/>
      <c r="K37" s="281"/>
    </row>
    <row r="38" ht="24.75" customHeight="1"/>
    <row r="46">
      <c r="J46" s="329"/>
    </row>
    <row r="47" s="258" customFormat="1">
      <c r="L47"/>
    </row>
  </sheetData>
  <mergeCells>
    <mergeCell ref="F21:G21"/>
    <mergeCell ref="H21:I21"/>
    <mergeCell ref="J21:K21"/>
    <mergeCell ref="B22:E22"/>
    <mergeCell ref="F22:G22"/>
    <mergeCell ref="H22:I22"/>
    <mergeCell ref="J22:K22"/>
    <mergeCell ref="F13:K13"/>
    <mergeCell ref="F14:K14"/>
    <mergeCell ref="F15:K15"/>
    <mergeCell ref="B20:E20"/>
    <mergeCell ref="F20:G20"/>
    <mergeCell ref="H20:I20"/>
    <mergeCell ref="J20:K20"/>
    <mergeCell ref="A16:E16"/>
    <mergeCell ref="A17:E17"/>
    <mergeCell ref="A14:E14"/>
    <mergeCell ref="F11:K11"/>
    <mergeCell ref="A15:E15"/>
    <mergeCell ref="G33:K33"/>
    <mergeCell ref="G36:K36"/>
    <mergeCell ref="A9:K9"/>
    <mergeCell ref="F12:K12"/>
    <mergeCell ref="A11:E11"/>
    <mergeCell ref="A12:E12"/>
    <mergeCell ref="A13:E13"/>
    <mergeCell ref="A10:K10"/>
    <mergeCell ref="A18:E18"/>
    <mergeCell ref="F16:K16"/>
    <mergeCell ref="F17:K17"/>
    <mergeCell ref="A19:K19"/>
    <mergeCell ref="F18:K18"/>
    <mergeCell ref="B21:E21"/>
    <mergeCell ref="B29:K29"/>
    <mergeCell ref="B30:K30"/>
    <mergeCell ref="B31:K31"/>
    <mergeCell ref="B32:K32"/>
    <mergeCell ref="B33:F33"/>
    <mergeCell ref="J23:K23"/>
    <mergeCell ref="J24:K24"/>
    <mergeCell ref="H24:I24"/>
    <mergeCell ref="F24:G24"/>
    <mergeCell ref="B24:E24"/>
    <mergeCell ref="B23:E23"/>
    <mergeCell ref="F23:G23"/>
    <mergeCell ref="H23:I23"/>
    <mergeCell ref="J26:K26"/>
    <mergeCell ref="G37:K37"/>
    <mergeCell ref="B25:E25"/>
    <mergeCell ref="F25:G25"/>
    <mergeCell ref="H25:I25"/>
    <mergeCell ref="B37:F37"/>
    <mergeCell ref="J25:K25"/>
    <mergeCell ref="B26:E26"/>
    <mergeCell ref="F26:G26"/>
    <mergeCell ref="H26:I26"/>
    <mergeCell ref="B36:F36"/>
    <mergeCell ref="B27:E27"/>
    <mergeCell ref="F27:G27"/>
    <mergeCell ref="H27:I27"/>
    <mergeCell ref="J27:K27"/>
    <mergeCell ref="A28:K28"/>
  </mergeCells>
  <printOptions horizontalCentered="1"/>
  <pageMargins left="0.25" right="0.25" top="0.75" bottom="0.75" header="0.3" footer="0.3"/>
  <pageSetup scale="76" orientation="portrait"/>
  <headerFooter>
    <oddFooter>&amp;C_x000D_&amp;1#&amp;"Calibri"&amp;10&amp;K000000 Classified - Confidential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20E5D-B271-42E5-A8D2-5DB88BB625B9}">
  <dimension ref="A1:J26"/>
  <sheetViews>
    <sheetView workbookViewId="0">
      <selection activeCell="E8" sqref="E8"/>
    </sheetView>
  </sheetViews>
  <sheetFormatPr defaultRowHeight="12.75" x14ac:dyDescent="0.2"/>
  <cols>
    <col min="2" max="2" width="15" customWidth="1"/>
    <col min="3" max="3" width="17.42578125" customWidth="1"/>
    <col min="4" max="4" width="12.85546875" customWidth="1"/>
    <col min="5" max="5" width="15.140625" customWidth="1"/>
    <col min="6" max="6" width="17.85546875" customWidth="1"/>
    <col min="7" max="7" width="31.85546875" customWidth="1"/>
    <col min="8" max="10" bestFit="1" width="13.140625" customWidth="1"/>
  </cols>
  <sheetData>
    <row r="1" ht="15">
      <c r="A1" s="330" t="s">
        <v>111</v>
      </c>
      <c r="B1" s="330"/>
      <c r="C1" s="331" t="s">
        <v>112</v>
      </c>
      <c r="D1" s="332"/>
      <c r="E1" s="332"/>
      <c r="G1" s="333"/>
    </row>
    <row r="2" ht="15">
      <c r="A2" s="330" t="s">
        <v>113</v>
      </c>
      <c r="B2" s="330"/>
      <c r="C2" s="334" t="s">
        <v>114</v>
      </c>
      <c r="D2" s="332"/>
      <c r="E2" s="332"/>
      <c r="G2" s="333"/>
    </row>
    <row r="3" ht="15">
      <c r="A3" s="330" t="s">
        <v>115</v>
      </c>
      <c r="B3" s="330"/>
      <c r="C3" s="335"/>
      <c r="D3" s="336"/>
      <c r="G3" s="333"/>
    </row>
    <row r="4" ht="15">
      <c r="A4" s="336"/>
      <c r="D4" s="332"/>
      <c r="E4" s="332"/>
      <c r="G4" s="333"/>
    </row>
    <row r="5" ht="15.75">
      <c r="A5" s="337" t="s">
        <v>116</v>
      </c>
      <c r="B5" s="337"/>
      <c r="C5" s="337"/>
      <c r="D5" s="337"/>
      <c r="E5" s="337"/>
      <c r="F5" s="337"/>
      <c r="G5" s="337"/>
    </row>
    <row r="6">
      <c r="A6" s="338" t="s">
        <v>117</v>
      </c>
      <c r="B6" s="338" t="s">
        <v>118</v>
      </c>
      <c r="C6" s="338" t="s">
        <v>119</v>
      </c>
      <c r="D6" s="339" t="s">
        <v>120</v>
      </c>
      <c r="E6" s="339"/>
      <c r="F6" s="338" t="s">
        <v>121</v>
      </c>
      <c r="G6" s="338" t="s">
        <v>122</v>
      </c>
    </row>
    <row r="7">
      <c r="A7" s="340"/>
      <c r="B7" s="340"/>
      <c r="C7" s="340"/>
      <c r="D7" s="341" t="s">
        <v>109</v>
      </c>
      <c r="E7" s="341" t="s">
        <v>123</v>
      </c>
      <c r="F7" s="340"/>
      <c r="G7" s="340"/>
    </row>
    <row r="8">
      <c r="A8" s="342">
        <v>1</v>
      </c>
      <c r="B8" s="343" t="s">
        <v>124</v>
      </c>
      <c r="C8" s="344">
        <v>3278428</v>
      </c>
      <c r="D8" s="345"/>
      <c r="E8" s="346"/>
      <c r="F8" s="347"/>
      <c r="G8" s="348"/>
      <c r="I8" s="349"/>
    </row>
    <row r="9">
      <c r="A9" s="342">
        <v>2</v>
      </c>
      <c r="B9" s="343"/>
      <c r="C9" s="350"/>
      <c r="D9" s="345"/>
      <c r="E9" s="346"/>
      <c r="F9" s="347"/>
      <c r="G9" s="348"/>
    </row>
    <row r="10">
      <c r="A10" s="342">
        <v>3</v>
      </c>
      <c r="B10" s="343"/>
      <c r="C10" s="350"/>
      <c r="D10" s="345"/>
      <c r="E10" s="346"/>
      <c r="F10" s="347"/>
      <c r="G10" s="348"/>
    </row>
    <row r="11">
      <c r="A11" s="342">
        <v>4</v>
      </c>
      <c r="B11" s="343"/>
      <c r="C11" s="350"/>
      <c r="D11" s="345"/>
      <c r="E11" s="346"/>
      <c r="F11" s="347"/>
      <c r="G11" s="348"/>
      <c r="H11" s="349"/>
      <c r="I11" s="349"/>
    </row>
    <row r="12">
      <c r="A12" s="342">
        <v>5</v>
      </c>
      <c r="B12" s="343"/>
      <c r="C12" s="350"/>
      <c r="D12" s="345"/>
      <c r="E12" s="346"/>
      <c r="F12" s="347"/>
      <c r="G12" s="348"/>
    </row>
    <row r="13">
      <c r="A13" s="342">
        <v>6</v>
      </c>
      <c r="B13" s="343"/>
      <c r="C13" s="350"/>
      <c r="D13" s="345"/>
      <c r="E13" s="346"/>
      <c r="F13" s="347"/>
      <c r="G13" s="348"/>
    </row>
    <row r="14">
      <c r="A14" s="342">
        <v>7</v>
      </c>
      <c r="B14" s="343"/>
      <c r="C14" s="350"/>
      <c r="D14" s="345"/>
      <c r="E14" s="346"/>
      <c r="F14" s="347"/>
      <c r="G14" s="348"/>
    </row>
    <row r="15">
      <c r="A15" s="342">
        <v>8</v>
      </c>
      <c r="B15" s="343"/>
      <c r="C15" s="350"/>
      <c r="D15" s="345"/>
      <c r="E15" s="346"/>
      <c r="F15" s="347"/>
      <c r="G15" s="348"/>
    </row>
    <row r="16">
      <c r="A16" s="342">
        <v>9</v>
      </c>
      <c r="B16" s="343"/>
      <c r="C16" s="350"/>
      <c r="D16" s="345"/>
      <c r="E16" s="346"/>
      <c r="F16" s="347"/>
      <c r="G16" s="348"/>
    </row>
    <row r="17">
      <c r="A17" s="342">
        <v>10</v>
      </c>
      <c r="B17" s="343"/>
      <c r="C17" s="350"/>
      <c r="D17" s="345"/>
      <c r="E17" s="346"/>
      <c r="F17" s="347">
        <f>C17-E17</f>
        <v>0</v>
      </c>
      <c r="G17" s="351"/>
    </row>
    <row r="18">
      <c r="A18" s="342">
        <v>11</v>
      </c>
      <c r="B18" s="343"/>
      <c r="C18" s="350"/>
      <c r="D18" s="345"/>
      <c r="E18" s="346"/>
      <c r="F18" s="347">
        <f>C18-E18</f>
        <v>0</v>
      </c>
      <c r="G18" s="351"/>
    </row>
    <row r="19">
      <c r="A19" s="342">
        <v>12</v>
      </c>
      <c r="B19" s="343"/>
      <c r="C19" s="350"/>
      <c r="D19" s="345"/>
      <c r="E19" s="346"/>
      <c r="F19" s="347">
        <f>C19-E19</f>
        <v>0</v>
      </c>
      <c r="G19" s="351"/>
      <c r="J19" s="349"/>
    </row>
    <row r="20">
      <c r="A20" s="352"/>
      <c r="B20" s="353"/>
      <c r="C20" s="354"/>
      <c r="D20" s="355"/>
      <c r="E20" s="356"/>
      <c r="F20" s="357"/>
      <c r="G20" s="358"/>
    </row>
    <row r="21">
      <c r="A21" s="0" t="s">
        <v>125</v>
      </c>
    </row>
    <row r="22" ht="15">
      <c r="A22" s="359" t="s">
        <v>112</v>
      </c>
    </row>
    <row r="26">
      <c r="A26" s="360" t="s">
        <v>126</v>
      </c>
    </row>
  </sheetData>
  <mergeCells>
    <mergeCell ref="A1:B1"/>
    <mergeCell ref="A2:B2"/>
    <mergeCell ref="A3:B3"/>
    <mergeCell ref="A5:G5"/>
    <mergeCell ref="D6:E6"/>
  </mergeCells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1C3DE-3715-45A8-ACFC-0FA9F30FD3E6}">
  <dimension ref="A1:M30"/>
  <sheetViews>
    <sheetView topLeftCell="E18" zoomScale="145" zoomScaleNormal="145" zoomScaleSheetLayoutView="150" workbookViewId="0">
      <selection activeCell="E5" sqref="E5:M5"/>
    </sheetView>
  </sheetViews>
  <sheetFormatPr defaultRowHeight="12.75" x14ac:dyDescent="0.2"/>
  <cols>
    <col min="3" max="3" width="40.140625" customWidth="1"/>
    <col min="4" max="4" width="7.85546875" customWidth="1"/>
    <col min="5" max="13" width="10.5703125" customWidth="1"/>
  </cols>
  <sheetData>
    <row r="1" ht="18.75">
      <c r="A1" s="361" t="s">
        <v>127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3"/>
    </row>
    <row r="2">
      <c r="A2" s="364" t="s">
        <v>128</v>
      </c>
      <c r="B2" s="364"/>
      <c r="C2" s="364"/>
      <c r="D2" s="365" t="s">
        <v>129</v>
      </c>
      <c r="E2" s="364" t="str">
        <f>'working sheet'!B6</f>
        <v>SSI/1181</v>
      </c>
      <c r="F2" s="364"/>
      <c r="G2" s="364"/>
      <c r="H2" s="364"/>
      <c r="I2" s="364"/>
      <c r="J2" s="364"/>
      <c r="K2" s="364"/>
      <c r="L2" s="364"/>
      <c r="M2" s="364"/>
    </row>
    <row r="3">
      <c r="A3" s="364" t="s">
        <v>130</v>
      </c>
      <c r="B3" s="364"/>
      <c r="C3" s="364"/>
      <c r="D3" s="366" t="s">
        <v>129</v>
      </c>
      <c r="E3" s="367">
        <f>'working sheet'!B8</f>
        <v>45964</v>
      </c>
      <c r="F3" s="368"/>
      <c r="G3" s="368"/>
      <c r="H3" s="368"/>
      <c r="I3" s="368"/>
      <c r="J3" s="368"/>
      <c r="K3" s="368"/>
      <c r="L3" s="368"/>
      <c r="M3" s="369"/>
    </row>
    <row r="4">
      <c r="A4" s="364" t="s">
        <v>131</v>
      </c>
      <c r="B4" s="364"/>
      <c r="C4" s="364"/>
      <c r="D4" s="370" t="s">
        <v>129</v>
      </c>
      <c r="E4" s="371" t="str">
        <f>'working sheet'!B5</f>
        <v>01 Oct 2025 To 31 Oct 2025</v>
      </c>
      <c r="F4" s="372"/>
      <c r="G4" s="372"/>
      <c r="H4" s="372"/>
      <c r="I4" s="372"/>
      <c r="J4" s="372"/>
      <c r="K4" s="372"/>
      <c r="L4" s="372"/>
      <c r="M4" s="373"/>
    </row>
    <row r="5">
      <c r="A5" s="364" t="s">
        <v>132</v>
      </c>
      <c r="B5" s="364"/>
      <c r="C5" s="364"/>
      <c r="D5" s="370" t="s">
        <v>129</v>
      </c>
      <c r="E5" s="371" t="s">
        <v>133</v>
      </c>
      <c r="F5" s="372"/>
      <c r="G5" s="372"/>
      <c r="H5" s="372"/>
      <c r="I5" s="372"/>
      <c r="J5" s="372"/>
      <c r="K5" s="372"/>
      <c r="L5" s="372"/>
      <c r="M5" s="373"/>
    </row>
    <row r="6">
      <c r="A6" s="364" t="s">
        <v>134</v>
      </c>
      <c r="B6" s="364"/>
      <c r="C6" s="364"/>
      <c r="D6" s="370" t="s">
        <v>129</v>
      </c>
      <c r="E6" s="374">
        <v>45286</v>
      </c>
      <c r="F6" s="375"/>
      <c r="G6" s="375"/>
      <c r="H6" s="375"/>
      <c r="I6" s="375"/>
      <c r="J6" s="375"/>
      <c r="K6" s="375"/>
      <c r="L6" s="375"/>
      <c r="M6" s="376"/>
    </row>
    <row r="7">
      <c r="A7" s="364" t="s">
        <v>135</v>
      </c>
      <c r="B7" s="364"/>
      <c r="C7" s="364"/>
      <c r="D7" s="370" t="s">
        <v>129</v>
      </c>
      <c r="E7" s="371" t="s">
        <v>136</v>
      </c>
      <c r="F7" s="372"/>
      <c r="G7" s="372"/>
      <c r="H7" s="372"/>
      <c r="I7" s="372"/>
      <c r="J7" s="372"/>
      <c r="K7" s="372"/>
      <c r="L7" s="372"/>
      <c r="M7" s="373"/>
    </row>
    <row r="8">
      <c r="A8" s="364" t="s">
        <v>13</v>
      </c>
      <c r="B8" s="364"/>
      <c r="C8" s="364"/>
      <c r="D8" s="370" t="s">
        <v>129</v>
      </c>
      <c r="E8" s="377">
        <v>101065975</v>
      </c>
      <c r="F8" s="378"/>
      <c r="G8" s="378"/>
      <c r="H8" s="378"/>
      <c r="I8" s="378"/>
      <c r="J8" s="378"/>
      <c r="K8" s="378"/>
      <c r="L8" s="378"/>
      <c r="M8" s="379"/>
    </row>
    <row r="9" ht="17.45" customHeight="1">
      <c r="A9" s="380" t="s">
        <v>137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2"/>
    </row>
    <row r="10" ht="30" customHeight="1">
      <c r="A10" s="383" t="s">
        <v>138</v>
      </c>
      <c r="B10" s="384" t="s">
        <v>139</v>
      </c>
      <c r="C10" s="385" t="s">
        <v>140</v>
      </c>
      <c r="D10" s="386" t="s">
        <v>141</v>
      </c>
      <c r="E10" s="387"/>
      <c r="F10" s="387"/>
      <c r="G10" s="388"/>
      <c r="H10" s="386" t="s">
        <v>142</v>
      </c>
      <c r="I10" s="388"/>
      <c r="J10" s="386" t="s">
        <v>143</v>
      </c>
      <c r="K10" s="388"/>
      <c r="L10" s="386" t="s">
        <v>144</v>
      </c>
      <c r="M10" s="388"/>
    </row>
    <row r="11" ht="30" customHeight="1">
      <c r="A11" s="389"/>
      <c r="B11" s="390"/>
      <c r="C11" s="391"/>
      <c r="D11" s="392" t="s">
        <v>145</v>
      </c>
      <c r="E11" s="392" t="s">
        <v>146</v>
      </c>
      <c r="F11" s="392" t="s">
        <v>42</v>
      </c>
      <c r="G11" s="392" t="s">
        <v>147</v>
      </c>
      <c r="H11" s="392" t="s">
        <v>146</v>
      </c>
      <c r="I11" s="392" t="s">
        <v>43</v>
      </c>
      <c r="J11" s="392" t="s">
        <v>146</v>
      </c>
      <c r="K11" s="392" t="s">
        <v>43</v>
      </c>
      <c r="L11" s="392" t="s">
        <v>146</v>
      </c>
      <c r="M11" s="392" t="s">
        <v>43</v>
      </c>
    </row>
    <row r="12">
      <c r="A12" s="393">
        <v>1</v>
      </c>
      <c r="B12" s="384"/>
      <c r="C12" s="394" t="s">
        <v>148</v>
      </c>
      <c r="D12" s="395"/>
      <c r="E12" s="395"/>
      <c r="F12" s="395"/>
      <c r="G12" s="395"/>
      <c r="H12" s="395"/>
      <c r="I12" s="395"/>
      <c r="J12" s="395"/>
      <c r="K12" s="395"/>
      <c r="L12" s="395"/>
      <c r="M12" s="395"/>
    </row>
    <row r="13" ht="20.1" customHeight="1">
      <c r="A13" s="396"/>
      <c r="B13" s="397">
        <v>10</v>
      </c>
      <c r="C13" s="364" t="s">
        <v>149</v>
      </c>
      <c r="D13" s="398" t="s">
        <v>48</v>
      </c>
      <c r="E13" s="399">
        <v>24</v>
      </c>
      <c r="F13" s="400">
        <v>44891.63</v>
      </c>
      <c r="G13" s="400">
        <f>E13*F13</f>
        <v>1077399.1199999999</v>
      </c>
      <c r="H13" s="400">
        <v>20.810000000000002</v>
      </c>
      <c r="I13" s="400">
        <f>H13*F13</f>
        <v>934194.8203</v>
      </c>
      <c r="J13" s="401">
        <f>'FORM B-(Wage Reg.)'!F25/52</f>
        <v>1</v>
      </c>
      <c r="K13" s="402">
        <f>J13*F13</f>
        <v>44891.63</v>
      </c>
      <c r="L13" s="400">
        <f>H13+J13</f>
        <v>21.810000000000002</v>
      </c>
      <c r="M13" s="400">
        <f>I13+K13</f>
        <v>979086.4503</v>
      </c>
    </row>
    <row r="14" ht="20.1" customHeight="1">
      <c r="A14" s="396"/>
      <c r="B14" s="397">
        <v>10010</v>
      </c>
      <c r="C14" s="364" t="s">
        <v>150</v>
      </c>
      <c r="D14" s="398" t="s">
        <v>151</v>
      </c>
      <c r="E14" s="399">
        <v>1</v>
      </c>
      <c r="F14" s="400">
        <v>1</v>
      </c>
      <c r="G14" s="400">
        <f>E14*F14</f>
        <v>1</v>
      </c>
      <c r="H14" s="400">
        <v>58791.5</v>
      </c>
      <c r="I14" s="400">
        <f ref="I14:I16" t="shared" si="0">H14*F14</f>
        <v>58791.5</v>
      </c>
      <c r="J14" s="402">
        <f>DIFF!E14</f>
        <v>3929.25</v>
      </c>
      <c r="K14" s="402">
        <f>J14*F14</f>
        <v>3929.25</v>
      </c>
      <c r="L14" s="400">
        <f>H14+J14</f>
        <v>62720.75</v>
      </c>
      <c r="M14" s="400">
        <f ref="M14:M15" t="shared" si="1">I14+K14</f>
        <v>62720.75</v>
      </c>
    </row>
    <row r="15" ht="20.1" customHeight="1">
      <c r="A15" s="396"/>
      <c r="B15" s="397">
        <v>10011</v>
      </c>
      <c r="C15" s="364" t="s">
        <v>152</v>
      </c>
      <c r="D15" s="398" t="s">
        <v>151</v>
      </c>
      <c r="E15" s="403">
        <v>1</v>
      </c>
      <c r="F15" s="400">
        <v>1</v>
      </c>
      <c r="G15" s="400">
        <f>E15*F15</f>
        <v>1</v>
      </c>
      <c r="H15" s="400">
        <v>32000</v>
      </c>
      <c r="I15" s="400">
        <f t="shared" si="0"/>
        <v>32000</v>
      </c>
      <c r="J15" s="402">
        <v>0</v>
      </c>
      <c r="K15" s="402">
        <f>J15*F15</f>
        <v>0</v>
      </c>
      <c r="L15" s="400">
        <f>H15+J15</f>
        <v>32000</v>
      </c>
      <c r="M15" s="400">
        <f t="shared" si="1"/>
        <v>32000</v>
      </c>
    </row>
    <row r="16" ht="20.1" customHeight="1">
      <c r="A16" s="396"/>
      <c r="B16" s="397">
        <v>10012</v>
      </c>
      <c r="C16" s="364" t="s">
        <v>153</v>
      </c>
      <c r="D16" s="398" t="s">
        <v>154</v>
      </c>
      <c r="E16" s="403">
        <v>500000</v>
      </c>
      <c r="F16" s="400">
        <v>1</v>
      </c>
      <c r="G16" s="400">
        <f>E16*F16</f>
        <v>500000</v>
      </c>
      <c r="H16" s="400">
        <v>66657</v>
      </c>
      <c r="I16" s="400">
        <f t="shared" si="0"/>
        <v>66657</v>
      </c>
      <c r="J16" s="402">
        <v>0</v>
      </c>
      <c r="K16" s="402">
        <f>J16*F16</f>
        <v>0</v>
      </c>
      <c r="L16" s="400">
        <f>H16+J16</f>
        <v>66657</v>
      </c>
      <c r="M16" s="400">
        <f>I16+K16</f>
        <v>66657</v>
      </c>
    </row>
    <row r="17" ht="20.1" customHeight="1">
      <c r="A17" s="404"/>
      <c r="B17" s="405" t="s">
        <v>155</v>
      </c>
      <c r="C17" s="406" t="s">
        <v>156</v>
      </c>
      <c r="D17" s="407"/>
      <c r="E17" s="407"/>
      <c r="F17" s="408"/>
      <c r="G17" s="409">
        <f>SUM(G13:G16)</f>
        <v>1577401.1199999999</v>
      </c>
      <c r="H17" s="410" t="str">
        <f>"Claimed for"&amp;" "&amp;'working sheet'!B10&amp;" Month"</f>
        <v>Claimed for OCTOBER-2025 Month</v>
      </c>
      <c r="I17" s="411"/>
      <c r="J17" s="412"/>
      <c r="K17" s="413">
        <f>ROUND(SUM(K13:K16),0)</f>
        <v>48821</v>
      </c>
      <c r="L17" s="414" t="s">
        <v>157</v>
      </c>
      <c r="M17" s="366"/>
    </row>
    <row r="18" ht="20.1" customHeight="1">
      <c r="A18" s="404"/>
      <c r="B18" s="405"/>
      <c r="C18" s="415" t="s">
        <v>158</v>
      </c>
      <c r="D18" s="416"/>
      <c r="E18" s="416"/>
      <c r="F18" s="417"/>
      <c r="G18" s="418">
        <f>G17*18%</f>
        <v>283932.2016</v>
      </c>
      <c r="H18" s="410"/>
      <c r="I18" s="411"/>
      <c r="J18" s="412"/>
      <c r="K18" s="413">
        <f>ROUND(K17*18%,0)</f>
        <v>8788</v>
      </c>
      <c r="L18" s="419" t="s">
        <v>157</v>
      </c>
      <c r="M18" s="370"/>
    </row>
    <row r="19" ht="20.1" customHeight="1">
      <c r="A19" s="420"/>
      <c r="B19" s="408"/>
      <c r="C19" s="415" t="s">
        <v>159</v>
      </c>
      <c r="D19" s="416"/>
      <c r="E19" s="416"/>
      <c r="F19" s="417"/>
      <c r="G19" s="418">
        <f>SUM(G17:G18)</f>
        <v>1861333.3216</v>
      </c>
      <c r="H19" s="421"/>
      <c r="I19" s="422"/>
      <c r="J19" s="423"/>
      <c r="K19" s="413">
        <f>SUM(K17:K18)</f>
        <v>57609</v>
      </c>
      <c r="L19" s="419" t="s">
        <v>157</v>
      </c>
      <c r="M19" s="370"/>
    </row>
    <row r="20">
      <c r="A20" s="191"/>
      <c r="B20" s="191"/>
      <c r="C20" s="191"/>
      <c r="D20" s="191"/>
      <c r="E20" s="191"/>
      <c r="F20" s="191"/>
      <c r="G20" s="191"/>
      <c r="H20" s="191"/>
      <c r="I20" s="191"/>
      <c r="J20" s="191"/>
      <c r="K20" s="424"/>
      <c r="L20" s="191"/>
      <c r="M20" s="191"/>
    </row>
    <row r="21">
      <c r="A21" s="191"/>
      <c r="B21" s="191"/>
      <c r="C21" s="191"/>
      <c r="D21" s="191"/>
      <c r="E21" s="191"/>
      <c r="F21" s="191"/>
      <c r="G21" s="191"/>
      <c r="H21" s="191"/>
      <c r="I21" s="191"/>
      <c r="J21" s="191"/>
      <c r="K21" s="191"/>
      <c r="L21" s="191"/>
      <c r="M21" s="191"/>
    </row>
    <row r="22">
      <c r="A22" s="191"/>
      <c r="B22" s="191"/>
      <c r="C22" s="191"/>
      <c r="D22" s="191"/>
      <c r="E22" s="191"/>
      <c r="F22" s="191"/>
      <c r="G22" s="191"/>
      <c r="H22" s="191"/>
      <c r="I22" s="191"/>
      <c r="J22" s="191"/>
      <c r="K22" s="191"/>
      <c r="L22" s="191"/>
      <c r="M22" s="191"/>
    </row>
    <row r="23">
      <c r="A23" s="425" t="str">
        <f>"Total Bill Amount in words : "&amp;" "&amp;[1]!SpellNumber(K19)</f>
        <v>Total Bill Amount in words :  Rupees FiftySeven Thousand Six Hundred Nine Only </v>
      </c>
      <c r="B23" s="426"/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7"/>
    </row>
    <row r="24">
      <c r="A24" s="249"/>
      <c r="B24" s="249"/>
      <c r="C24" s="249"/>
      <c r="D24" s="249"/>
      <c r="E24" s="249"/>
      <c r="F24" s="249"/>
      <c r="G24" s="249"/>
      <c r="H24" s="249"/>
      <c r="I24" s="249"/>
      <c r="J24" s="249"/>
      <c r="K24" s="249"/>
      <c r="L24" s="249"/>
      <c r="M24" s="249"/>
    </row>
    <row r="25">
      <c r="A25" s="249"/>
      <c r="B25" s="249"/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</row>
    <row r="26">
      <c r="A26" s="249"/>
      <c r="B26" s="249"/>
      <c r="C26" s="249"/>
      <c r="D26" s="249"/>
      <c r="E26" s="249"/>
      <c r="F26" s="249"/>
      <c r="G26" s="249"/>
      <c r="H26" s="249"/>
      <c r="I26" s="249"/>
      <c r="J26" s="249"/>
      <c r="K26" s="249"/>
      <c r="L26" s="249"/>
      <c r="M26" s="249"/>
    </row>
    <row r="27">
      <c r="A27" s="249"/>
      <c r="B27" s="249"/>
      <c r="C27" s="249"/>
      <c r="D27" s="249"/>
      <c r="E27" s="249"/>
      <c r="F27" s="249"/>
      <c r="G27" s="249"/>
      <c r="H27" s="249"/>
      <c r="I27" s="249"/>
      <c r="J27" s="249"/>
      <c r="K27" s="249"/>
      <c r="L27" s="249"/>
      <c r="M27" s="249"/>
    </row>
    <row r="28">
      <c r="A28" s="249"/>
      <c r="B28" s="249"/>
      <c r="C28" s="249"/>
      <c r="D28" s="249"/>
      <c r="E28" s="249"/>
      <c r="F28" s="249"/>
      <c r="G28" s="249"/>
      <c r="H28" s="249"/>
      <c r="I28" s="249"/>
      <c r="J28" s="249"/>
      <c r="K28" s="249"/>
      <c r="L28" s="249"/>
      <c r="M28" s="249"/>
    </row>
    <row r="29">
      <c r="A29" s="249"/>
      <c r="B29" s="249"/>
      <c r="C29" s="249"/>
      <c r="D29" s="249"/>
      <c r="E29" s="249"/>
      <c r="F29" s="249"/>
      <c r="G29" s="249"/>
      <c r="H29" s="249"/>
      <c r="I29" s="249"/>
      <c r="J29" s="249"/>
      <c r="K29" s="249"/>
      <c r="L29" s="249"/>
      <c r="M29" s="249"/>
    </row>
    <row r="30" ht="15">
      <c r="A30" s="428" t="s">
        <v>160</v>
      </c>
      <c r="B30" s="428"/>
      <c r="C30" s="428"/>
      <c r="D30" s="249"/>
      <c r="E30" s="249"/>
      <c r="F30" s="249"/>
      <c r="G30" s="249"/>
      <c r="H30" s="429"/>
      <c r="I30" s="249"/>
      <c r="J30" s="428" t="s">
        <v>161</v>
      </c>
      <c r="K30" s="428"/>
      <c r="L30" s="428"/>
      <c r="M30" s="428"/>
    </row>
    <row r="38" ht="15" customHeight="1"/>
  </sheetData>
  <mergeCells>
    <mergeCell ref="A17:A19"/>
    <mergeCell ref="A30:C30"/>
    <mergeCell ref="A23:M23"/>
    <mergeCell ref="J30:M30"/>
    <mergeCell ref="D10:G10"/>
    <mergeCell ref="H10:I10"/>
    <mergeCell ref="J10:K10"/>
    <mergeCell ref="L10:M10"/>
    <mergeCell ref="B17:B19"/>
    <mergeCell ref="C17:F17"/>
    <mergeCell ref="H17:J19"/>
    <mergeCell ref="L17:M17"/>
    <mergeCell ref="C18:F18"/>
    <mergeCell ref="L18:M18"/>
    <mergeCell ref="C19:F19"/>
    <mergeCell ref="L19:M19"/>
    <mergeCell ref="A1:M1"/>
    <mergeCell ref="A2:C2"/>
    <mergeCell ref="A3:C3"/>
    <mergeCell ref="A4:C4"/>
    <mergeCell ref="A5:C5"/>
    <mergeCell ref="E2:M2"/>
    <mergeCell ref="E3:M3"/>
    <mergeCell ref="E4:M4"/>
    <mergeCell ref="E5:M5"/>
    <mergeCell ref="A6:C6"/>
    <mergeCell ref="A7:C7"/>
    <mergeCell ref="A8:C8"/>
    <mergeCell ref="E8:M8"/>
    <mergeCell ref="B10:B11"/>
    <mergeCell ref="C10:C11"/>
    <mergeCell ref="A10:A11"/>
    <mergeCell ref="E6:M6"/>
    <mergeCell ref="E7:M7"/>
    <mergeCell ref="A9:M9"/>
  </mergeCells>
  <printOptions horizontalCentered="1"/>
  <pageMargins left="0.25" right="0.25" top="0.75" bottom="0.75" header="0.3" footer="0.3"/>
  <pageSetup scale="84" orientation="landscape"/>
  <headerFooter>
    <oddFooter>&amp;C_x000D_&amp;1#&amp;"Calibri"&amp;10&amp;K000000 Classified -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2C736-DA0B-448B-9450-3112D30FE499}">
  <dimension ref="A1:L16"/>
  <sheetViews>
    <sheetView tabSelected="1" zoomScale="90" zoomScaleNormal="90" workbookViewId="0">
      <selection activeCell="E6" sqref="E6"/>
    </sheetView>
  </sheetViews>
  <sheetFormatPr defaultRowHeight="12.75" x14ac:dyDescent="0.2"/>
  <cols>
    <col min="1" max="1" width="7.140625" customWidth="1"/>
    <col min="2" max="2" width="18.42578125" customWidth="1"/>
    <col min="3" max="12" width="12.5703125" customWidth="1"/>
  </cols>
  <sheetData>
    <row r="1" ht="21">
      <c r="A1" s="430" t="s">
        <v>162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</row>
    <row r="2" ht="21">
      <c r="A2" s="430" t="s">
        <v>163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L2" s="430"/>
    </row>
    <row r="3" ht="18.75">
      <c r="A3" s="431" t="str">
        <f>('working sheet'!B5)</f>
        <v>01 Oct 2025 To 31 Oct 2025</v>
      </c>
      <c r="B3" s="431"/>
      <c r="C3" s="431"/>
      <c r="D3" s="431"/>
      <c r="E3" s="431"/>
      <c r="F3" s="431"/>
      <c r="G3" s="431"/>
      <c r="H3" s="431"/>
      <c r="I3" s="431"/>
      <c r="J3" s="431"/>
      <c r="K3" s="431"/>
      <c r="L3" s="431"/>
    </row>
    <row r="4" ht="18.75">
      <c r="A4" s="432" t="s">
        <v>164</v>
      </c>
      <c r="B4" s="432"/>
      <c r="C4" s="432"/>
      <c r="D4" s="432"/>
      <c r="E4" s="432"/>
      <c r="F4" s="432"/>
      <c r="G4" s="432"/>
      <c r="H4" s="432"/>
      <c r="I4" s="432"/>
      <c r="J4" s="432"/>
      <c r="K4" s="432"/>
      <c r="L4" s="432"/>
    </row>
    <row r="5" ht="18.75">
      <c r="A5" s="432"/>
      <c r="B5" s="432"/>
      <c r="C5" s="432"/>
      <c r="D5" s="432"/>
      <c r="E5" s="432"/>
      <c r="F5" s="432"/>
      <c r="G5" s="432"/>
      <c r="H5" s="432"/>
      <c r="I5" s="432"/>
      <c r="J5" s="432"/>
      <c r="K5" s="432"/>
      <c r="L5" s="432"/>
    </row>
    <row r="6" ht="64.5" customHeight="1">
      <c r="A6" s="433" t="s">
        <v>165</v>
      </c>
      <c r="B6" s="433" t="s">
        <v>166</v>
      </c>
      <c r="C6" s="434" t="s">
        <v>167</v>
      </c>
      <c r="D6" s="434" t="s">
        <v>168</v>
      </c>
      <c r="E6" s="434" t="str">
        <f>'working sheet'!E2</f>
        <v>OLD WAGES AS ON 01.04.2025</v>
      </c>
      <c r="F6" s="434" t="str">
        <f>'working sheet'!F2</f>
        <v>NEW WAGES AS ON 01.10.2025</v>
      </c>
      <c r="G6" s="434" t="s">
        <v>169</v>
      </c>
      <c r="H6" s="434" t="s">
        <v>170</v>
      </c>
      <c r="I6" s="434" t="s">
        <v>171</v>
      </c>
      <c r="J6" s="434" t="s">
        <v>172</v>
      </c>
      <c r="K6" s="434" t="s">
        <v>173</v>
      </c>
      <c r="L6" s="434" t="s">
        <v>174</v>
      </c>
    </row>
    <row r="7" ht="39.95" customHeight="1">
      <c r="A7" s="274">
        <v>1</v>
      </c>
      <c r="B7" s="435" t="s">
        <v>175</v>
      </c>
      <c r="C7" s="274" t="s">
        <v>176</v>
      </c>
      <c r="D7" s="436">
        <v>2</v>
      </c>
      <c r="E7" s="436">
        <f>'working sheet'!E3</f>
        <v>695</v>
      </c>
      <c r="F7" s="436">
        <f>'working sheet'!F3</f>
        <v>760</v>
      </c>
      <c r="G7" s="436">
        <f>F7-E7</f>
        <v>65</v>
      </c>
      <c r="H7" s="436">
        <f>'FORM B-(Wage Reg.)'!F25</f>
        <v>52</v>
      </c>
      <c r="I7" s="436">
        <f>G7*H7</f>
        <v>3380</v>
      </c>
      <c r="J7" s="436">
        <f>I7*13%</f>
        <v>439.40000000000003</v>
      </c>
      <c r="K7" s="436">
        <f>I7*3.25%</f>
        <v>109.85000000000001</v>
      </c>
      <c r="L7" s="437">
        <f>+I7+J7+K7</f>
        <v>3929.25</v>
      </c>
    </row>
    <row r="8" ht="39.95" customHeight="1">
      <c r="A8" s="438" t="s">
        <v>177</v>
      </c>
      <c r="B8" s="439"/>
      <c r="C8" s="439"/>
      <c r="D8" s="439"/>
      <c r="E8" s="439"/>
      <c r="F8" s="439"/>
      <c r="G8" s="439"/>
      <c r="H8" s="439"/>
      <c r="I8" s="439"/>
      <c r="J8" s="439"/>
      <c r="K8" s="440"/>
      <c r="L8" s="441">
        <f>SUM(L7:L7)</f>
        <v>3929.25</v>
      </c>
    </row>
    <row r="9" ht="15.75">
      <c r="A9" s="250"/>
      <c r="B9" s="250"/>
      <c r="C9" s="250"/>
      <c r="D9" s="250"/>
      <c r="E9" s="250"/>
      <c r="F9" s="250"/>
      <c r="G9" s="250"/>
      <c r="H9" s="250"/>
      <c r="I9" s="250"/>
      <c r="J9" s="250"/>
      <c r="K9" s="250"/>
      <c r="L9" s="250"/>
    </row>
    <row r="10" ht="15.75">
      <c r="A10" s="250"/>
      <c r="B10" s="250"/>
      <c r="C10" s="250"/>
      <c r="D10" s="250"/>
      <c r="E10" s="250"/>
      <c r="F10" s="250"/>
      <c r="G10" s="250"/>
      <c r="H10" s="250"/>
      <c r="I10" s="250"/>
      <c r="J10" s="250"/>
      <c r="K10" s="250"/>
      <c r="L10" s="250"/>
    </row>
    <row r="11" ht="15.75">
      <c r="A11" s="250"/>
      <c r="B11" s="442" t="s">
        <v>178</v>
      </c>
      <c r="C11" s="442"/>
      <c r="D11" s="442"/>
      <c r="E11" s="443">
        <f>L8</f>
        <v>3929.25</v>
      </c>
      <c r="F11" s="250"/>
      <c r="G11" s="250"/>
      <c r="H11" s="250"/>
      <c r="I11" s="250"/>
      <c r="J11" s="250"/>
      <c r="K11" s="250"/>
      <c r="L11" s="250"/>
    </row>
    <row r="12" ht="15.75">
      <c r="A12" s="250"/>
      <c r="B12" s="442" t="s">
        <v>179</v>
      </c>
      <c r="C12" s="442"/>
      <c r="D12" s="442"/>
      <c r="E12" s="444">
        <v>0</v>
      </c>
      <c r="F12" s="250"/>
      <c r="G12" s="250"/>
      <c r="H12" s="250"/>
      <c r="I12" s="250"/>
      <c r="J12" s="250"/>
      <c r="K12" s="250"/>
      <c r="L12" s="250"/>
    </row>
    <row r="13" ht="15.75">
      <c r="A13" s="250"/>
      <c r="B13" s="442" t="s">
        <v>180</v>
      </c>
      <c r="C13" s="442"/>
      <c r="D13" s="442"/>
      <c r="E13" s="444">
        <v>0</v>
      </c>
      <c r="F13" s="250"/>
      <c r="G13" s="250"/>
      <c r="H13" s="250"/>
      <c r="I13" s="250"/>
      <c r="J13" s="250"/>
      <c r="K13" s="250"/>
      <c r="L13" s="250"/>
    </row>
    <row r="14" ht="15.75">
      <c r="A14" s="250"/>
      <c r="B14" s="445" t="s">
        <v>181</v>
      </c>
      <c r="C14" s="445"/>
      <c r="D14" s="445"/>
      <c r="E14" s="446">
        <f>SUM(E11:E12)</f>
        <v>3929.25</v>
      </c>
      <c r="F14" s="250"/>
      <c r="G14" s="250"/>
      <c r="H14" s="250"/>
      <c r="I14" s="250"/>
      <c r="J14" s="250"/>
      <c r="K14" s="250"/>
      <c r="L14" s="250"/>
    </row>
    <row r="15" ht="15.75">
      <c r="A15" s="250"/>
      <c r="B15" s="250"/>
      <c r="C15" s="250"/>
      <c r="D15" s="250"/>
      <c r="E15" s="250"/>
      <c r="F15" s="250"/>
      <c r="G15" s="250"/>
      <c r="H15" s="250"/>
      <c r="I15" s="250"/>
      <c r="J15" s="250"/>
      <c r="K15" s="250"/>
      <c r="L15" s="250"/>
    </row>
    <row r="16" ht="15.75">
      <c r="A16" s="447" t="s">
        <v>160</v>
      </c>
      <c r="B16" s="447"/>
      <c r="C16" s="447"/>
      <c r="D16" s="448"/>
      <c r="E16" s="448"/>
      <c r="F16" s="448"/>
      <c r="G16" s="448"/>
      <c r="H16" s="448"/>
      <c r="I16" s="447" t="s">
        <v>182</v>
      </c>
      <c r="J16" s="447"/>
      <c r="K16" s="447"/>
      <c r="L16" s="447"/>
    </row>
  </sheetData>
  <mergeCells>
    <mergeCell ref="A16:C16"/>
    <mergeCell ref="I16:L16"/>
    <mergeCell ref="A1:L1"/>
    <mergeCell ref="A2:L2"/>
    <mergeCell ref="B11:D11"/>
    <mergeCell ref="B12:D12"/>
    <mergeCell ref="B14:D14"/>
    <mergeCell ref="A4:L4"/>
    <mergeCell ref="A3:L3"/>
    <mergeCell ref="A8:K8"/>
    <mergeCell ref="B13:D13"/>
  </mergeCells>
  <printOptions horizontalCentered="1"/>
  <pageMargins left="0.25" right="0.25" top="0.75" bottom="0.75" header="0.3" footer="0.3"/>
  <pageSetup scale="89" orientation="landscape"/>
  <headerFooter>
    <oddFooter>&amp;C_x000D_&amp;1#&amp;"Calibri"&amp;10&amp;K000000 Classified - 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F42AC-25D1-4F11-8C0E-7089D6EDE023}">
  <dimension ref="E7:M14"/>
  <sheetViews>
    <sheetView workbookViewId="0">
      <selection activeCell="K14" sqref="K14"/>
    </sheetView>
  </sheetViews>
  <sheetFormatPr defaultRowHeight="12.75" x14ac:dyDescent="0.2"/>
  <sheetData>
    <row r="7">
      <c r="E7" s="0">
        <v>44891.63</v>
      </c>
    </row>
    <row r="9">
      <c r="J9" s="449" t="s">
        <v>183</v>
      </c>
      <c r="K9" s="449" t="s">
        <v>184</v>
      </c>
      <c r="L9" s="449"/>
      <c r="M9" s="449" t="s">
        <v>185</v>
      </c>
    </row>
    <row r="10">
      <c r="E10" s="450">
        <v>26</v>
      </c>
      <c r="F10" s="450">
        <v>695</v>
      </c>
      <c r="G10" s="450">
        <f>F10*E10</f>
        <v>18070</v>
      </c>
      <c r="H10" s="450">
        <v>1950</v>
      </c>
      <c r="I10" s="451">
        <f>G10*3.25%</f>
        <v>587.275</v>
      </c>
      <c r="J10" s="452">
        <f>G10*8.33%</f>
        <v>1505.231</v>
      </c>
      <c r="K10" s="452">
        <f>G10*4.81%</f>
        <v>869.1669999999999</v>
      </c>
      <c r="L10" s="452">
        <f>SUM(G10:K10)</f>
        <v>22981.673000000003</v>
      </c>
      <c r="M10" s="0">
        <f>L10*8%</f>
        <v>1838.5338400000003</v>
      </c>
    </row>
    <row r="13">
      <c r="K13" s="452">
        <f>G10+H10+I10+M10</f>
        <v>22445.80884</v>
      </c>
    </row>
    <row r="14">
      <c r="K14" s="0">
        <f>K13*2</f>
        <v>44891.61768</v>
      </c>
    </row>
  </sheetData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02528-703D-45AE-8B1B-4D99412F8DEE}">
  <dimension ref="A1:AJ27"/>
  <sheetViews>
    <sheetView topLeftCell="A12" zoomScale="85" zoomScaleNormal="85" workbookViewId="0">
      <selection activeCell="G23" sqref="G23"/>
    </sheetView>
  </sheetViews>
  <sheetFormatPr defaultRowHeight="12.75" x14ac:dyDescent="0.2"/>
  <cols>
    <col min="1" max="1" width="9.7109375" customWidth="1"/>
    <col min="2" max="2" width="13.42578125" customWidth="1"/>
    <col min="3" max="3" width="26" customWidth="1"/>
    <col min="4" max="4" width="10.42578125" customWidth="1"/>
    <col min="5" max="5" width="8.7109375" customWidth="1"/>
    <col min="6" max="6" width="7" customWidth="1"/>
    <col min="7" max="7" width="7.140625" customWidth="1"/>
    <col min="8" max="8" width="9.5703125" customWidth="1"/>
    <col min="9" max="9" width="7.42578125" customWidth="1"/>
    <col min="10" max="10" width="6" customWidth="1"/>
    <col min="11" max="11" width="5.42578125" customWidth="1"/>
    <col min="12" max="12" bestFit="1" width="7.140625" customWidth="1"/>
    <col min="13" max="17" width="7.85546875" customWidth="1"/>
    <col min="18" max="18" width="12" customWidth="1"/>
    <col min="19" max="19" bestFit="1" width="7.5703125" customWidth="1"/>
    <col min="20" max="20" bestFit="1" width="6" customWidth="1"/>
    <col min="21" max="21" bestFit="1" width="4.140625" customWidth="1"/>
    <col min="22" max="22" bestFit="1" width="7.140625" customWidth="1"/>
    <col min="23" max="23" bestFit="1" width="4.140625" customWidth="1"/>
    <col min="24" max="24" bestFit="1" width="8" customWidth="1"/>
    <col min="25" max="25" width="6.5703125" customWidth="1"/>
    <col min="26" max="26" width="8.42578125" customWidth="1"/>
    <col min="27" max="27" width="12.28515625" customWidth="1"/>
    <col min="28" max="30" width="8.42578125" customWidth="1"/>
    <col min="31" max="31" width="17.42578125" customWidth="1"/>
    <col min="32" max="32" width="14.7109375" customWidth="1"/>
    <col min="33" max="33" bestFit="1" width="8.42578125" customWidth="1"/>
    <col min="34" max="35" width="17.5703125" customWidth="1"/>
    <col min="257" max="258" width="9.7109375" customWidth="1"/>
    <col min="259" max="259" width="26" customWidth="1"/>
    <col min="262" max="262" width="7" customWidth="1"/>
    <col min="263" max="263" width="7.140625" customWidth="1"/>
    <col min="264" max="264" width="9.5703125" customWidth="1"/>
    <col min="265" max="265" width="7.42578125" customWidth="1"/>
    <col min="266" max="266" width="6" customWidth="1"/>
    <col min="267" max="267" width="5.42578125" customWidth="1"/>
    <col min="268" max="268" bestFit="1" width="7" customWidth="1"/>
    <col min="269" max="273" width="7.85546875" customWidth="1"/>
    <col min="274" max="274" width="12" customWidth="1"/>
    <col min="275" max="275" bestFit="1" width="5.85546875" customWidth="1"/>
    <col min="276" max="276" bestFit="1" width="4.7109375" customWidth="1"/>
    <col min="277" max="277" bestFit="1" width="4" customWidth="1"/>
    <col min="278" max="278" bestFit="1" width="7" customWidth="1"/>
    <col min="279" max="279" bestFit="1" width="4" customWidth="1"/>
    <col min="280" max="280" bestFit="1" width="7.85546875" customWidth="1"/>
    <col min="281" max="281" width="6.5703125" customWidth="1"/>
    <col min="282" max="282" width="8.42578125" customWidth="1"/>
    <col min="283" max="283" width="12.28515625" customWidth="1"/>
    <col min="284" max="285" width="8.42578125" customWidth="1"/>
    <col min="286" max="287" width="10.28515625" customWidth="1"/>
    <col min="288" max="288" width="8.5703125" customWidth="1"/>
    <col min="289" max="289" bestFit="1" width="8.42578125" customWidth="1"/>
    <col min="290" max="291" width="17.5703125" customWidth="1"/>
    <col min="513" max="514" width="9.7109375" customWidth="1"/>
    <col min="515" max="515" width="26" customWidth="1"/>
    <col min="518" max="518" width="7" customWidth="1"/>
    <col min="519" max="519" width="7.140625" customWidth="1"/>
    <col min="520" max="520" width="9.5703125" customWidth="1"/>
    <col min="521" max="521" width="7.42578125" customWidth="1"/>
    <col min="522" max="522" width="6" customWidth="1"/>
    <col min="523" max="523" width="5.42578125" customWidth="1"/>
    <col min="524" max="524" bestFit="1" width="7" customWidth="1"/>
    <col min="525" max="529" width="7.85546875" customWidth="1"/>
    <col min="530" max="530" width="12" customWidth="1"/>
    <col min="531" max="531" bestFit="1" width="5.85546875" customWidth="1"/>
    <col min="532" max="532" bestFit="1" width="4.7109375" customWidth="1"/>
    <col min="533" max="533" bestFit="1" width="4" customWidth="1"/>
    <col min="534" max="534" bestFit="1" width="7" customWidth="1"/>
    <col min="535" max="535" bestFit="1" width="4" customWidth="1"/>
    <col min="536" max="536" bestFit="1" width="7.85546875" customWidth="1"/>
    <col min="537" max="537" width="6.5703125" customWidth="1"/>
    <col min="538" max="538" width="8.42578125" customWidth="1"/>
    <col min="539" max="539" width="12.28515625" customWidth="1"/>
    <col min="540" max="541" width="8.42578125" customWidth="1"/>
    <col min="542" max="543" width="10.28515625" customWidth="1"/>
    <col min="544" max="544" width="8.5703125" customWidth="1"/>
    <col min="545" max="545" bestFit="1" width="8.42578125" customWidth="1"/>
    <col min="546" max="547" width="17.5703125" customWidth="1"/>
    <col min="769" max="770" width="9.7109375" customWidth="1"/>
    <col min="771" max="771" width="26" customWidth="1"/>
    <col min="774" max="774" width="7" customWidth="1"/>
    <col min="775" max="775" width="7.140625" customWidth="1"/>
    <col min="776" max="776" width="9.5703125" customWidth="1"/>
    <col min="777" max="777" width="7.42578125" customWidth="1"/>
    <col min="778" max="778" width="6" customWidth="1"/>
    <col min="779" max="779" width="5.42578125" customWidth="1"/>
    <col min="780" max="780" bestFit="1" width="7" customWidth="1"/>
    <col min="781" max="785" width="7.85546875" customWidth="1"/>
    <col min="786" max="786" width="12" customWidth="1"/>
    <col min="787" max="787" bestFit="1" width="5.85546875" customWidth="1"/>
    <col min="788" max="788" bestFit="1" width="4.7109375" customWidth="1"/>
    <col min="789" max="789" bestFit="1" width="4" customWidth="1"/>
    <col min="790" max="790" bestFit="1" width="7" customWidth="1"/>
    <col min="791" max="791" bestFit="1" width="4" customWidth="1"/>
    <col min="792" max="792" bestFit="1" width="7.85546875" customWidth="1"/>
    <col min="793" max="793" width="6.5703125" customWidth="1"/>
    <col min="794" max="794" width="8.42578125" customWidth="1"/>
    <col min="795" max="795" width="12.28515625" customWidth="1"/>
    <col min="796" max="797" width="8.42578125" customWidth="1"/>
    <col min="798" max="799" width="10.28515625" customWidth="1"/>
    <col min="800" max="800" width="8.5703125" customWidth="1"/>
    <col min="801" max="801" bestFit="1" width="8.42578125" customWidth="1"/>
    <col min="802" max="803" width="17.5703125" customWidth="1"/>
    <col min="1025" max="1026" width="9.7109375" customWidth="1"/>
    <col min="1027" max="1027" width="26" customWidth="1"/>
    <col min="1030" max="1030" width="7" customWidth="1"/>
    <col min="1031" max="1031" width="7.140625" customWidth="1"/>
    <col min="1032" max="1032" width="9.5703125" customWidth="1"/>
    <col min="1033" max="1033" width="7.42578125" customWidth="1"/>
    <col min="1034" max="1034" width="6" customWidth="1"/>
    <col min="1035" max="1035" width="5.42578125" customWidth="1"/>
    <col min="1036" max="1036" bestFit="1" width="7" customWidth="1"/>
    <col min="1037" max="1041" width="7.85546875" customWidth="1"/>
    <col min="1042" max="1042" width="12" customWidth="1"/>
    <col min="1043" max="1043" bestFit="1" width="5.85546875" customWidth="1"/>
    <col min="1044" max="1044" bestFit="1" width="4.7109375" customWidth="1"/>
    <col min="1045" max="1045" bestFit="1" width="4" customWidth="1"/>
    <col min="1046" max="1046" bestFit="1" width="7" customWidth="1"/>
    <col min="1047" max="1047" bestFit="1" width="4" customWidth="1"/>
    <col min="1048" max="1048" bestFit="1" width="7.85546875" customWidth="1"/>
    <col min="1049" max="1049" width="6.5703125" customWidth="1"/>
    <col min="1050" max="1050" width="8.42578125" customWidth="1"/>
    <col min="1051" max="1051" width="12.28515625" customWidth="1"/>
    <col min="1052" max="1053" width="8.42578125" customWidth="1"/>
    <col min="1054" max="1055" width="10.28515625" customWidth="1"/>
    <col min="1056" max="1056" width="8.5703125" customWidth="1"/>
    <col min="1057" max="1057" bestFit="1" width="8.42578125" customWidth="1"/>
    <col min="1058" max="1059" width="17.5703125" customWidth="1"/>
    <col min="1281" max="1282" width="9.7109375" customWidth="1"/>
    <col min="1283" max="1283" width="26" customWidth="1"/>
    <col min="1286" max="1286" width="7" customWidth="1"/>
    <col min="1287" max="1287" width="7.140625" customWidth="1"/>
    <col min="1288" max="1288" width="9.5703125" customWidth="1"/>
    <col min="1289" max="1289" width="7.42578125" customWidth="1"/>
    <col min="1290" max="1290" width="6" customWidth="1"/>
    <col min="1291" max="1291" width="5.42578125" customWidth="1"/>
    <col min="1292" max="1292" bestFit="1" width="7" customWidth="1"/>
    <col min="1293" max="1297" width="7.85546875" customWidth="1"/>
    <col min="1298" max="1298" width="12" customWidth="1"/>
    <col min="1299" max="1299" bestFit="1" width="5.85546875" customWidth="1"/>
    <col min="1300" max="1300" bestFit="1" width="4.7109375" customWidth="1"/>
    <col min="1301" max="1301" bestFit="1" width="4" customWidth="1"/>
    <col min="1302" max="1302" bestFit="1" width="7" customWidth="1"/>
    <col min="1303" max="1303" bestFit="1" width="4" customWidth="1"/>
    <col min="1304" max="1304" bestFit="1" width="7.85546875" customWidth="1"/>
    <col min="1305" max="1305" width="6.5703125" customWidth="1"/>
    <col min="1306" max="1306" width="8.42578125" customWidth="1"/>
    <col min="1307" max="1307" width="12.28515625" customWidth="1"/>
    <col min="1308" max="1309" width="8.42578125" customWidth="1"/>
    <col min="1310" max="1311" width="10.28515625" customWidth="1"/>
    <col min="1312" max="1312" width="8.5703125" customWidth="1"/>
    <col min="1313" max="1313" bestFit="1" width="8.42578125" customWidth="1"/>
    <col min="1314" max="1315" width="17.5703125" customWidth="1"/>
    <col min="1537" max="1538" width="9.7109375" customWidth="1"/>
    <col min="1539" max="1539" width="26" customWidth="1"/>
    <col min="1542" max="1542" width="7" customWidth="1"/>
    <col min="1543" max="1543" width="7.140625" customWidth="1"/>
    <col min="1544" max="1544" width="9.5703125" customWidth="1"/>
    <col min="1545" max="1545" width="7.42578125" customWidth="1"/>
    <col min="1546" max="1546" width="6" customWidth="1"/>
    <col min="1547" max="1547" width="5.42578125" customWidth="1"/>
    <col min="1548" max="1548" bestFit="1" width="7" customWidth="1"/>
    <col min="1549" max="1553" width="7.85546875" customWidth="1"/>
    <col min="1554" max="1554" width="12" customWidth="1"/>
    <col min="1555" max="1555" bestFit="1" width="5.85546875" customWidth="1"/>
    <col min="1556" max="1556" bestFit="1" width="4.7109375" customWidth="1"/>
    <col min="1557" max="1557" bestFit="1" width="4" customWidth="1"/>
    <col min="1558" max="1558" bestFit="1" width="7" customWidth="1"/>
    <col min="1559" max="1559" bestFit="1" width="4" customWidth="1"/>
    <col min="1560" max="1560" bestFit="1" width="7.85546875" customWidth="1"/>
    <col min="1561" max="1561" width="6.5703125" customWidth="1"/>
    <col min="1562" max="1562" width="8.42578125" customWidth="1"/>
    <col min="1563" max="1563" width="12.28515625" customWidth="1"/>
    <col min="1564" max="1565" width="8.42578125" customWidth="1"/>
    <col min="1566" max="1567" width="10.28515625" customWidth="1"/>
    <col min="1568" max="1568" width="8.5703125" customWidth="1"/>
    <col min="1569" max="1569" bestFit="1" width="8.42578125" customWidth="1"/>
    <col min="1570" max="1571" width="17.5703125" customWidth="1"/>
    <col min="1793" max="1794" width="9.7109375" customWidth="1"/>
    <col min="1795" max="1795" width="26" customWidth="1"/>
    <col min="1798" max="1798" width="7" customWidth="1"/>
    <col min="1799" max="1799" width="7.140625" customWidth="1"/>
    <col min="1800" max="1800" width="9.5703125" customWidth="1"/>
    <col min="1801" max="1801" width="7.42578125" customWidth="1"/>
    <col min="1802" max="1802" width="6" customWidth="1"/>
    <col min="1803" max="1803" width="5.42578125" customWidth="1"/>
    <col min="1804" max="1804" bestFit="1" width="7" customWidth="1"/>
    <col min="1805" max="1809" width="7.85546875" customWidth="1"/>
    <col min="1810" max="1810" width="12" customWidth="1"/>
    <col min="1811" max="1811" bestFit="1" width="5.85546875" customWidth="1"/>
    <col min="1812" max="1812" bestFit="1" width="4.7109375" customWidth="1"/>
    <col min="1813" max="1813" bestFit="1" width="4" customWidth="1"/>
    <col min="1814" max="1814" bestFit="1" width="7" customWidth="1"/>
    <col min="1815" max="1815" bestFit="1" width="4" customWidth="1"/>
    <col min="1816" max="1816" bestFit="1" width="7.85546875" customWidth="1"/>
    <col min="1817" max="1817" width="6.5703125" customWidth="1"/>
    <col min="1818" max="1818" width="8.42578125" customWidth="1"/>
    <col min="1819" max="1819" width="12.28515625" customWidth="1"/>
    <col min="1820" max="1821" width="8.42578125" customWidth="1"/>
    <col min="1822" max="1823" width="10.28515625" customWidth="1"/>
    <col min="1824" max="1824" width="8.5703125" customWidth="1"/>
    <col min="1825" max="1825" bestFit="1" width="8.42578125" customWidth="1"/>
    <col min="1826" max="1827" width="17.5703125" customWidth="1"/>
    <col min="2049" max="2050" width="9.7109375" customWidth="1"/>
    <col min="2051" max="2051" width="26" customWidth="1"/>
    <col min="2054" max="2054" width="7" customWidth="1"/>
    <col min="2055" max="2055" width="7.140625" customWidth="1"/>
    <col min="2056" max="2056" width="9.5703125" customWidth="1"/>
    <col min="2057" max="2057" width="7.42578125" customWidth="1"/>
    <col min="2058" max="2058" width="6" customWidth="1"/>
    <col min="2059" max="2059" width="5.42578125" customWidth="1"/>
    <col min="2060" max="2060" bestFit="1" width="7" customWidth="1"/>
    <col min="2061" max="2065" width="7.85546875" customWidth="1"/>
    <col min="2066" max="2066" width="12" customWidth="1"/>
    <col min="2067" max="2067" bestFit="1" width="5.85546875" customWidth="1"/>
    <col min="2068" max="2068" bestFit="1" width="4.7109375" customWidth="1"/>
    <col min="2069" max="2069" bestFit="1" width="4" customWidth="1"/>
    <col min="2070" max="2070" bestFit="1" width="7" customWidth="1"/>
    <col min="2071" max="2071" bestFit="1" width="4" customWidth="1"/>
    <col min="2072" max="2072" bestFit="1" width="7.85546875" customWidth="1"/>
    <col min="2073" max="2073" width="6.5703125" customWidth="1"/>
    <col min="2074" max="2074" width="8.42578125" customWidth="1"/>
    <col min="2075" max="2075" width="12.28515625" customWidth="1"/>
    <col min="2076" max="2077" width="8.42578125" customWidth="1"/>
    <col min="2078" max="2079" width="10.28515625" customWidth="1"/>
    <col min="2080" max="2080" width="8.5703125" customWidth="1"/>
    <col min="2081" max="2081" bestFit="1" width="8.42578125" customWidth="1"/>
    <col min="2082" max="2083" width="17.5703125" customWidth="1"/>
    <col min="2305" max="2306" width="9.7109375" customWidth="1"/>
    <col min="2307" max="2307" width="26" customWidth="1"/>
    <col min="2310" max="2310" width="7" customWidth="1"/>
    <col min="2311" max="2311" width="7.140625" customWidth="1"/>
    <col min="2312" max="2312" width="9.5703125" customWidth="1"/>
    <col min="2313" max="2313" width="7.42578125" customWidth="1"/>
    <col min="2314" max="2314" width="6" customWidth="1"/>
    <col min="2315" max="2315" width="5.42578125" customWidth="1"/>
    <col min="2316" max="2316" bestFit="1" width="7" customWidth="1"/>
    <col min="2317" max="2321" width="7.85546875" customWidth="1"/>
    <col min="2322" max="2322" width="12" customWidth="1"/>
    <col min="2323" max="2323" bestFit="1" width="5.85546875" customWidth="1"/>
    <col min="2324" max="2324" bestFit="1" width="4.7109375" customWidth="1"/>
    <col min="2325" max="2325" bestFit="1" width="4" customWidth="1"/>
    <col min="2326" max="2326" bestFit="1" width="7" customWidth="1"/>
    <col min="2327" max="2327" bestFit="1" width="4" customWidth="1"/>
    <col min="2328" max="2328" bestFit="1" width="7.85546875" customWidth="1"/>
    <col min="2329" max="2329" width="6.5703125" customWidth="1"/>
    <col min="2330" max="2330" width="8.42578125" customWidth="1"/>
    <col min="2331" max="2331" width="12.28515625" customWidth="1"/>
    <col min="2332" max="2333" width="8.42578125" customWidth="1"/>
    <col min="2334" max="2335" width="10.28515625" customWidth="1"/>
    <col min="2336" max="2336" width="8.5703125" customWidth="1"/>
    <col min="2337" max="2337" bestFit="1" width="8.42578125" customWidth="1"/>
    <col min="2338" max="2339" width="17.5703125" customWidth="1"/>
    <col min="2561" max="2562" width="9.7109375" customWidth="1"/>
    <col min="2563" max="2563" width="26" customWidth="1"/>
    <col min="2566" max="2566" width="7" customWidth="1"/>
    <col min="2567" max="2567" width="7.140625" customWidth="1"/>
    <col min="2568" max="2568" width="9.5703125" customWidth="1"/>
    <col min="2569" max="2569" width="7.42578125" customWidth="1"/>
    <col min="2570" max="2570" width="6" customWidth="1"/>
    <col min="2571" max="2571" width="5.42578125" customWidth="1"/>
    <col min="2572" max="2572" bestFit="1" width="7" customWidth="1"/>
    <col min="2573" max="2577" width="7.85546875" customWidth="1"/>
    <col min="2578" max="2578" width="12" customWidth="1"/>
    <col min="2579" max="2579" bestFit="1" width="5.85546875" customWidth="1"/>
    <col min="2580" max="2580" bestFit="1" width="4.7109375" customWidth="1"/>
    <col min="2581" max="2581" bestFit="1" width="4" customWidth="1"/>
    <col min="2582" max="2582" bestFit="1" width="7" customWidth="1"/>
    <col min="2583" max="2583" bestFit="1" width="4" customWidth="1"/>
    <col min="2584" max="2584" bestFit="1" width="7.85546875" customWidth="1"/>
    <col min="2585" max="2585" width="6.5703125" customWidth="1"/>
    <col min="2586" max="2586" width="8.42578125" customWidth="1"/>
    <col min="2587" max="2587" width="12.28515625" customWidth="1"/>
    <col min="2588" max="2589" width="8.42578125" customWidth="1"/>
    <col min="2590" max="2591" width="10.28515625" customWidth="1"/>
    <col min="2592" max="2592" width="8.5703125" customWidth="1"/>
    <col min="2593" max="2593" bestFit="1" width="8.42578125" customWidth="1"/>
    <col min="2594" max="2595" width="17.5703125" customWidth="1"/>
    <col min="2817" max="2818" width="9.7109375" customWidth="1"/>
    <col min="2819" max="2819" width="26" customWidth="1"/>
    <col min="2822" max="2822" width="7" customWidth="1"/>
    <col min="2823" max="2823" width="7.140625" customWidth="1"/>
    <col min="2824" max="2824" width="9.5703125" customWidth="1"/>
    <col min="2825" max="2825" width="7.42578125" customWidth="1"/>
    <col min="2826" max="2826" width="6" customWidth="1"/>
    <col min="2827" max="2827" width="5.42578125" customWidth="1"/>
    <col min="2828" max="2828" bestFit="1" width="7" customWidth="1"/>
    <col min="2829" max="2833" width="7.85546875" customWidth="1"/>
    <col min="2834" max="2834" width="12" customWidth="1"/>
    <col min="2835" max="2835" bestFit="1" width="5.85546875" customWidth="1"/>
    <col min="2836" max="2836" bestFit="1" width="4.7109375" customWidth="1"/>
    <col min="2837" max="2837" bestFit="1" width="4" customWidth="1"/>
    <col min="2838" max="2838" bestFit="1" width="7" customWidth="1"/>
    <col min="2839" max="2839" bestFit="1" width="4" customWidth="1"/>
    <col min="2840" max="2840" bestFit="1" width="7.85546875" customWidth="1"/>
    <col min="2841" max="2841" width="6.5703125" customWidth="1"/>
    <col min="2842" max="2842" width="8.42578125" customWidth="1"/>
    <col min="2843" max="2843" width="12.28515625" customWidth="1"/>
    <col min="2844" max="2845" width="8.42578125" customWidth="1"/>
    <col min="2846" max="2847" width="10.28515625" customWidth="1"/>
    <col min="2848" max="2848" width="8.5703125" customWidth="1"/>
    <col min="2849" max="2849" bestFit="1" width="8.42578125" customWidth="1"/>
    <col min="2850" max="2851" width="17.5703125" customWidth="1"/>
    <col min="3073" max="3074" width="9.7109375" customWidth="1"/>
    <col min="3075" max="3075" width="26" customWidth="1"/>
    <col min="3078" max="3078" width="7" customWidth="1"/>
    <col min="3079" max="3079" width="7.140625" customWidth="1"/>
    <col min="3080" max="3080" width="9.5703125" customWidth="1"/>
    <col min="3081" max="3081" width="7.42578125" customWidth="1"/>
    <col min="3082" max="3082" width="6" customWidth="1"/>
    <col min="3083" max="3083" width="5.42578125" customWidth="1"/>
    <col min="3084" max="3084" bestFit="1" width="7" customWidth="1"/>
    <col min="3085" max="3089" width="7.85546875" customWidth="1"/>
    <col min="3090" max="3090" width="12" customWidth="1"/>
    <col min="3091" max="3091" bestFit="1" width="5.85546875" customWidth="1"/>
    <col min="3092" max="3092" bestFit="1" width="4.7109375" customWidth="1"/>
    <col min="3093" max="3093" bestFit="1" width="4" customWidth="1"/>
    <col min="3094" max="3094" bestFit="1" width="7" customWidth="1"/>
    <col min="3095" max="3095" bestFit="1" width="4" customWidth="1"/>
    <col min="3096" max="3096" bestFit="1" width="7.85546875" customWidth="1"/>
    <col min="3097" max="3097" width="6.5703125" customWidth="1"/>
    <col min="3098" max="3098" width="8.42578125" customWidth="1"/>
    <col min="3099" max="3099" width="12.28515625" customWidth="1"/>
    <col min="3100" max="3101" width="8.42578125" customWidth="1"/>
    <col min="3102" max="3103" width="10.28515625" customWidth="1"/>
    <col min="3104" max="3104" width="8.5703125" customWidth="1"/>
    <col min="3105" max="3105" bestFit="1" width="8.42578125" customWidth="1"/>
    <col min="3106" max="3107" width="17.5703125" customWidth="1"/>
    <col min="3329" max="3330" width="9.7109375" customWidth="1"/>
    <col min="3331" max="3331" width="26" customWidth="1"/>
    <col min="3334" max="3334" width="7" customWidth="1"/>
    <col min="3335" max="3335" width="7.140625" customWidth="1"/>
    <col min="3336" max="3336" width="9.5703125" customWidth="1"/>
    <col min="3337" max="3337" width="7.42578125" customWidth="1"/>
    <col min="3338" max="3338" width="6" customWidth="1"/>
    <col min="3339" max="3339" width="5.42578125" customWidth="1"/>
    <col min="3340" max="3340" bestFit="1" width="7" customWidth="1"/>
    <col min="3341" max="3345" width="7.85546875" customWidth="1"/>
    <col min="3346" max="3346" width="12" customWidth="1"/>
    <col min="3347" max="3347" bestFit="1" width="5.85546875" customWidth="1"/>
    <col min="3348" max="3348" bestFit="1" width="4.7109375" customWidth="1"/>
    <col min="3349" max="3349" bestFit="1" width="4" customWidth="1"/>
    <col min="3350" max="3350" bestFit="1" width="7" customWidth="1"/>
    <col min="3351" max="3351" bestFit="1" width="4" customWidth="1"/>
    <col min="3352" max="3352" bestFit="1" width="7.85546875" customWidth="1"/>
    <col min="3353" max="3353" width="6.5703125" customWidth="1"/>
    <col min="3354" max="3354" width="8.42578125" customWidth="1"/>
    <col min="3355" max="3355" width="12.28515625" customWidth="1"/>
    <col min="3356" max="3357" width="8.42578125" customWidth="1"/>
    <col min="3358" max="3359" width="10.28515625" customWidth="1"/>
    <col min="3360" max="3360" width="8.5703125" customWidth="1"/>
    <col min="3361" max="3361" bestFit="1" width="8.42578125" customWidth="1"/>
    <col min="3362" max="3363" width="17.5703125" customWidth="1"/>
    <col min="3585" max="3586" width="9.7109375" customWidth="1"/>
    <col min="3587" max="3587" width="26" customWidth="1"/>
    <col min="3590" max="3590" width="7" customWidth="1"/>
    <col min="3591" max="3591" width="7.140625" customWidth="1"/>
    <col min="3592" max="3592" width="9.5703125" customWidth="1"/>
    <col min="3593" max="3593" width="7.42578125" customWidth="1"/>
    <col min="3594" max="3594" width="6" customWidth="1"/>
    <col min="3595" max="3595" width="5.42578125" customWidth="1"/>
    <col min="3596" max="3596" bestFit="1" width="7" customWidth="1"/>
    <col min="3597" max="3601" width="7.85546875" customWidth="1"/>
    <col min="3602" max="3602" width="12" customWidth="1"/>
    <col min="3603" max="3603" bestFit="1" width="5.85546875" customWidth="1"/>
    <col min="3604" max="3604" bestFit="1" width="4.7109375" customWidth="1"/>
    <col min="3605" max="3605" bestFit="1" width="4" customWidth="1"/>
    <col min="3606" max="3606" bestFit="1" width="7" customWidth="1"/>
    <col min="3607" max="3607" bestFit="1" width="4" customWidth="1"/>
    <col min="3608" max="3608" bestFit="1" width="7.85546875" customWidth="1"/>
    <col min="3609" max="3609" width="6.5703125" customWidth="1"/>
    <col min="3610" max="3610" width="8.42578125" customWidth="1"/>
    <col min="3611" max="3611" width="12.28515625" customWidth="1"/>
    <col min="3612" max="3613" width="8.42578125" customWidth="1"/>
    <col min="3614" max="3615" width="10.28515625" customWidth="1"/>
    <col min="3616" max="3616" width="8.5703125" customWidth="1"/>
    <col min="3617" max="3617" bestFit="1" width="8.42578125" customWidth="1"/>
    <col min="3618" max="3619" width="17.5703125" customWidth="1"/>
    <col min="3841" max="3842" width="9.7109375" customWidth="1"/>
    <col min="3843" max="3843" width="26" customWidth="1"/>
    <col min="3846" max="3846" width="7" customWidth="1"/>
    <col min="3847" max="3847" width="7.140625" customWidth="1"/>
    <col min="3848" max="3848" width="9.5703125" customWidth="1"/>
    <col min="3849" max="3849" width="7.42578125" customWidth="1"/>
    <col min="3850" max="3850" width="6" customWidth="1"/>
    <col min="3851" max="3851" width="5.42578125" customWidth="1"/>
    <col min="3852" max="3852" bestFit="1" width="7" customWidth="1"/>
    <col min="3853" max="3857" width="7.85546875" customWidth="1"/>
    <col min="3858" max="3858" width="12" customWidth="1"/>
    <col min="3859" max="3859" bestFit="1" width="5.85546875" customWidth="1"/>
    <col min="3860" max="3860" bestFit="1" width="4.7109375" customWidth="1"/>
    <col min="3861" max="3861" bestFit="1" width="4" customWidth="1"/>
    <col min="3862" max="3862" bestFit="1" width="7" customWidth="1"/>
    <col min="3863" max="3863" bestFit="1" width="4" customWidth="1"/>
    <col min="3864" max="3864" bestFit="1" width="7.85546875" customWidth="1"/>
    <col min="3865" max="3865" width="6.5703125" customWidth="1"/>
    <col min="3866" max="3866" width="8.42578125" customWidth="1"/>
    <col min="3867" max="3867" width="12.28515625" customWidth="1"/>
    <col min="3868" max="3869" width="8.42578125" customWidth="1"/>
    <col min="3870" max="3871" width="10.28515625" customWidth="1"/>
    <col min="3872" max="3872" width="8.5703125" customWidth="1"/>
    <col min="3873" max="3873" bestFit="1" width="8.42578125" customWidth="1"/>
    <col min="3874" max="3875" width="17.5703125" customWidth="1"/>
    <col min="4097" max="4098" width="9.7109375" customWidth="1"/>
    <col min="4099" max="4099" width="26" customWidth="1"/>
    <col min="4102" max="4102" width="7" customWidth="1"/>
    <col min="4103" max="4103" width="7.140625" customWidth="1"/>
    <col min="4104" max="4104" width="9.5703125" customWidth="1"/>
    <col min="4105" max="4105" width="7.42578125" customWidth="1"/>
    <col min="4106" max="4106" width="6" customWidth="1"/>
    <col min="4107" max="4107" width="5.42578125" customWidth="1"/>
    <col min="4108" max="4108" bestFit="1" width="7" customWidth="1"/>
    <col min="4109" max="4113" width="7.85546875" customWidth="1"/>
    <col min="4114" max="4114" width="12" customWidth="1"/>
    <col min="4115" max="4115" bestFit="1" width="5.85546875" customWidth="1"/>
    <col min="4116" max="4116" bestFit="1" width="4.7109375" customWidth="1"/>
    <col min="4117" max="4117" bestFit="1" width="4" customWidth="1"/>
    <col min="4118" max="4118" bestFit="1" width="7" customWidth="1"/>
    <col min="4119" max="4119" bestFit="1" width="4" customWidth="1"/>
    <col min="4120" max="4120" bestFit="1" width="7.85546875" customWidth="1"/>
    <col min="4121" max="4121" width="6.5703125" customWidth="1"/>
    <col min="4122" max="4122" width="8.42578125" customWidth="1"/>
    <col min="4123" max="4123" width="12.28515625" customWidth="1"/>
    <col min="4124" max="4125" width="8.42578125" customWidth="1"/>
    <col min="4126" max="4127" width="10.28515625" customWidth="1"/>
    <col min="4128" max="4128" width="8.5703125" customWidth="1"/>
    <col min="4129" max="4129" bestFit="1" width="8.42578125" customWidth="1"/>
    <col min="4130" max="4131" width="17.5703125" customWidth="1"/>
    <col min="4353" max="4354" width="9.7109375" customWidth="1"/>
    <col min="4355" max="4355" width="26" customWidth="1"/>
    <col min="4358" max="4358" width="7" customWidth="1"/>
    <col min="4359" max="4359" width="7.140625" customWidth="1"/>
    <col min="4360" max="4360" width="9.5703125" customWidth="1"/>
    <col min="4361" max="4361" width="7.42578125" customWidth="1"/>
    <col min="4362" max="4362" width="6" customWidth="1"/>
    <col min="4363" max="4363" width="5.42578125" customWidth="1"/>
    <col min="4364" max="4364" bestFit="1" width="7" customWidth="1"/>
    <col min="4365" max="4369" width="7.85546875" customWidth="1"/>
    <col min="4370" max="4370" width="12" customWidth="1"/>
    <col min="4371" max="4371" bestFit="1" width="5.85546875" customWidth="1"/>
    <col min="4372" max="4372" bestFit="1" width="4.7109375" customWidth="1"/>
    <col min="4373" max="4373" bestFit="1" width="4" customWidth="1"/>
    <col min="4374" max="4374" bestFit="1" width="7" customWidth="1"/>
    <col min="4375" max="4375" bestFit="1" width="4" customWidth="1"/>
    <col min="4376" max="4376" bestFit="1" width="7.85546875" customWidth="1"/>
    <col min="4377" max="4377" width="6.5703125" customWidth="1"/>
    <col min="4378" max="4378" width="8.42578125" customWidth="1"/>
    <col min="4379" max="4379" width="12.28515625" customWidth="1"/>
    <col min="4380" max="4381" width="8.42578125" customWidth="1"/>
    <col min="4382" max="4383" width="10.28515625" customWidth="1"/>
    <col min="4384" max="4384" width="8.5703125" customWidth="1"/>
    <col min="4385" max="4385" bestFit="1" width="8.42578125" customWidth="1"/>
    <col min="4386" max="4387" width="17.5703125" customWidth="1"/>
    <col min="4609" max="4610" width="9.7109375" customWidth="1"/>
    <col min="4611" max="4611" width="26" customWidth="1"/>
    <col min="4614" max="4614" width="7" customWidth="1"/>
    <col min="4615" max="4615" width="7.140625" customWidth="1"/>
    <col min="4616" max="4616" width="9.5703125" customWidth="1"/>
    <col min="4617" max="4617" width="7.42578125" customWidth="1"/>
    <col min="4618" max="4618" width="6" customWidth="1"/>
    <col min="4619" max="4619" width="5.42578125" customWidth="1"/>
    <col min="4620" max="4620" bestFit="1" width="7" customWidth="1"/>
    <col min="4621" max="4625" width="7.85546875" customWidth="1"/>
    <col min="4626" max="4626" width="12" customWidth="1"/>
    <col min="4627" max="4627" bestFit="1" width="5.85546875" customWidth="1"/>
    <col min="4628" max="4628" bestFit="1" width="4.7109375" customWidth="1"/>
    <col min="4629" max="4629" bestFit="1" width="4" customWidth="1"/>
    <col min="4630" max="4630" bestFit="1" width="7" customWidth="1"/>
    <col min="4631" max="4631" bestFit="1" width="4" customWidth="1"/>
    <col min="4632" max="4632" bestFit="1" width="7.85546875" customWidth="1"/>
    <col min="4633" max="4633" width="6.5703125" customWidth="1"/>
    <col min="4634" max="4634" width="8.42578125" customWidth="1"/>
    <col min="4635" max="4635" width="12.28515625" customWidth="1"/>
    <col min="4636" max="4637" width="8.42578125" customWidth="1"/>
    <col min="4638" max="4639" width="10.28515625" customWidth="1"/>
    <col min="4640" max="4640" width="8.5703125" customWidth="1"/>
    <col min="4641" max="4641" bestFit="1" width="8.42578125" customWidth="1"/>
    <col min="4642" max="4643" width="17.5703125" customWidth="1"/>
    <col min="4865" max="4866" width="9.7109375" customWidth="1"/>
    <col min="4867" max="4867" width="26" customWidth="1"/>
    <col min="4870" max="4870" width="7" customWidth="1"/>
    <col min="4871" max="4871" width="7.140625" customWidth="1"/>
    <col min="4872" max="4872" width="9.5703125" customWidth="1"/>
    <col min="4873" max="4873" width="7.42578125" customWidth="1"/>
    <col min="4874" max="4874" width="6" customWidth="1"/>
    <col min="4875" max="4875" width="5.42578125" customWidth="1"/>
    <col min="4876" max="4876" bestFit="1" width="7" customWidth="1"/>
    <col min="4877" max="4881" width="7.85546875" customWidth="1"/>
    <col min="4882" max="4882" width="12" customWidth="1"/>
    <col min="4883" max="4883" bestFit="1" width="5.85546875" customWidth="1"/>
    <col min="4884" max="4884" bestFit="1" width="4.7109375" customWidth="1"/>
    <col min="4885" max="4885" bestFit="1" width="4" customWidth="1"/>
    <col min="4886" max="4886" bestFit="1" width="7" customWidth="1"/>
    <col min="4887" max="4887" bestFit="1" width="4" customWidth="1"/>
    <col min="4888" max="4888" bestFit="1" width="7.85546875" customWidth="1"/>
    <col min="4889" max="4889" width="6.5703125" customWidth="1"/>
    <col min="4890" max="4890" width="8.42578125" customWidth="1"/>
    <col min="4891" max="4891" width="12.28515625" customWidth="1"/>
    <col min="4892" max="4893" width="8.42578125" customWidth="1"/>
    <col min="4894" max="4895" width="10.28515625" customWidth="1"/>
    <col min="4896" max="4896" width="8.5703125" customWidth="1"/>
    <col min="4897" max="4897" bestFit="1" width="8.42578125" customWidth="1"/>
    <col min="4898" max="4899" width="17.5703125" customWidth="1"/>
    <col min="5121" max="5122" width="9.7109375" customWidth="1"/>
    <col min="5123" max="5123" width="26" customWidth="1"/>
    <col min="5126" max="5126" width="7" customWidth="1"/>
    <col min="5127" max="5127" width="7.140625" customWidth="1"/>
    <col min="5128" max="5128" width="9.5703125" customWidth="1"/>
    <col min="5129" max="5129" width="7.42578125" customWidth="1"/>
    <col min="5130" max="5130" width="6" customWidth="1"/>
    <col min="5131" max="5131" width="5.42578125" customWidth="1"/>
    <col min="5132" max="5132" bestFit="1" width="7" customWidth="1"/>
    <col min="5133" max="5137" width="7.85546875" customWidth="1"/>
    <col min="5138" max="5138" width="12" customWidth="1"/>
    <col min="5139" max="5139" bestFit="1" width="5.85546875" customWidth="1"/>
    <col min="5140" max="5140" bestFit="1" width="4.7109375" customWidth="1"/>
    <col min="5141" max="5141" bestFit="1" width="4" customWidth="1"/>
    <col min="5142" max="5142" bestFit="1" width="7" customWidth="1"/>
    <col min="5143" max="5143" bestFit="1" width="4" customWidth="1"/>
    <col min="5144" max="5144" bestFit="1" width="7.85546875" customWidth="1"/>
    <col min="5145" max="5145" width="6.5703125" customWidth="1"/>
    <col min="5146" max="5146" width="8.42578125" customWidth="1"/>
    <col min="5147" max="5147" width="12.28515625" customWidth="1"/>
    <col min="5148" max="5149" width="8.42578125" customWidth="1"/>
    <col min="5150" max="5151" width="10.28515625" customWidth="1"/>
    <col min="5152" max="5152" width="8.5703125" customWidth="1"/>
    <col min="5153" max="5153" bestFit="1" width="8.42578125" customWidth="1"/>
    <col min="5154" max="5155" width="17.5703125" customWidth="1"/>
    <col min="5377" max="5378" width="9.7109375" customWidth="1"/>
    <col min="5379" max="5379" width="26" customWidth="1"/>
    <col min="5382" max="5382" width="7" customWidth="1"/>
    <col min="5383" max="5383" width="7.140625" customWidth="1"/>
    <col min="5384" max="5384" width="9.5703125" customWidth="1"/>
    <col min="5385" max="5385" width="7.42578125" customWidth="1"/>
    <col min="5386" max="5386" width="6" customWidth="1"/>
    <col min="5387" max="5387" width="5.42578125" customWidth="1"/>
    <col min="5388" max="5388" bestFit="1" width="7" customWidth="1"/>
    <col min="5389" max="5393" width="7.85546875" customWidth="1"/>
    <col min="5394" max="5394" width="12" customWidth="1"/>
    <col min="5395" max="5395" bestFit="1" width="5.85546875" customWidth="1"/>
    <col min="5396" max="5396" bestFit="1" width="4.7109375" customWidth="1"/>
    <col min="5397" max="5397" bestFit="1" width="4" customWidth="1"/>
    <col min="5398" max="5398" bestFit="1" width="7" customWidth="1"/>
    <col min="5399" max="5399" bestFit="1" width="4" customWidth="1"/>
    <col min="5400" max="5400" bestFit="1" width="7.85546875" customWidth="1"/>
    <col min="5401" max="5401" width="6.5703125" customWidth="1"/>
    <col min="5402" max="5402" width="8.42578125" customWidth="1"/>
    <col min="5403" max="5403" width="12.28515625" customWidth="1"/>
    <col min="5404" max="5405" width="8.42578125" customWidth="1"/>
    <col min="5406" max="5407" width="10.28515625" customWidth="1"/>
    <col min="5408" max="5408" width="8.5703125" customWidth="1"/>
    <col min="5409" max="5409" bestFit="1" width="8.42578125" customWidth="1"/>
    <col min="5410" max="5411" width="17.5703125" customWidth="1"/>
    <col min="5633" max="5634" width="9.7109375" customWidth="1"/>
    <col min="5635" max="5635" width="26" customWidth="1"/>
    <col min="5638" max="5638" width="7" customWidth="1"/>
    <col min="5639" max="5639" width="7.140625" customWidth="1"/>
    <col min="5640" max="5640" width="9.5703125" customWidth="1"/>
    <col min="5641" max="5641" width="7.42578125" customWidth="1"/>
    <col min="5642" max="5642" width="6" customWidth="1"/>
    <col min="5643" max="5643" width="5.42578125" customWidth="1"/>
    <col min="5644" max="5644" bestFit="1" width="7" customWidth="1"/>
    <col min="5645" max="5649" width="7.85546875" customWidth="1"/>
    <col min="5650" max="5650" width="12" customWidth="1"/>
    <col min="5651" max="5651" bestFit="1" width="5.85546875" customWidth="1"/>
    <col min="5652" max="5652" bestFit="1" width="4.7109375" customWidth="1"/>
    <col min="5653" max="5653" bestFit="1" width="4" customWidth="1"/>
    <col min="5654" max="5654" bestFit="1" width="7" customWidth="1"/>
    <col min="5655" max="5655" bestFit="1" width="4" customWidth="1"/>
    <col min="5656" max="5656" bestFit="1" width="7.85546875" customWidth="1"/>
    <col min="5657" max="5657" width="6.5703125" customWidth="1"/>
    <col min="5658" max="5658" width="8.42578125" customWidth="1"/>
    <col min="5659" max="5659" width="12.28515625" customWidth="1"/>
    <col min="5660" max="5661" width="8.42578125" customWidth="1"/>
    <col min="5662" max="5663" width="10.28515625" customWidth="1"/>
    <col min="5664" max="5664" width="8.5703125" customWidth="1"/>
    <col min="5665" max="5665" bestFit="1" width="8.42578125" customWidth="1"/>
    <col min="5666" max="5667" width="17.5703125" customWidth="1"/>
    <col min="5889" max="5890" width="9.7109375" customWidth="1"/>
    <col min="5891" max="5891" width="26" customWidth="1"/>
    <col min="5894" max="5894" width="7" customWidth="1"/>
    <col min="5895" max="5895" width="7.140625" customWidth="1"/>
    <col min="5896" max="5896" width="9.5703125" customWidth="1"/>
    <col min="5897" max="5897" width="7.42578125" customWidth="1"/>
    <col min="5898" max="5898" width="6" customWidth="1"/>
    <col min="5899" max="5899" width="5.42578125" customWidth="1"/>
    <col min="5900" max="5900" bestFit="1" width="7" customWidth="1"/>
    <col min="5901" max="5905" width="7.85546875" customWidth="1"/>
    <col min="5906" max="5906" width="12" customWidth="1"/>
    <col min="5907" max="5907" bestFit="1" width="5.85546875" customWidth="1"/>
    <col min="5908" max="5908" bestFit="1" width="4.7109375" customWidth="1"/>
    <col min="5909" max="5909" bestFit="1" width="4" customWidth="1"/>
    <col min="5910" max="5910" bestFit="1" width="7" customWidth="1"/>
    <col min="5911" max="5911" bestFit="1" width="4" customWidth="1"/>
    <col min="5912" max="5912" bestFit="1" width="7.85546875" customWidth="1"/>
    <col min="5913" max="5913" width="6.5703125" customWidth="1"/>
    <col min="5914" max="5914" width="8.42578125" customWidth="1"/>
    <col min="5915" max="5915" width="12.28515625" customWidth="1"/>
    <col min="5916" max="5917" width="8.42578125" customWidth="1"/>
    <col min="5918" max="5919" width="10.28515625" customWidth="1"/>
    <col min="5920" max="5920" width="8.5703125" customWidth="1"/>
    <col min="5921" max="5921" bestFit="1" width="8.42578125" customWidth="1"/>
    <col min="5922" max="5923" width="17.5703125" customWidth="1"/>
    <col min="6145" max="6146" width="9.7109375" customWidth="1"/>
    <col min="6147" max="6147" width="26" customWidth="1"/>
    <col min="6150" max="6150" width="7" customWidth="1"/>
    <col min="6151" max="6151" width="7.140625" customWidth="1"/>
    <col min="6152" max="6152" width="9.5703125" customWidth="1"/>
    <col min="6153" max="6153" width="7.42578125" customWidth="1"/>
    <col min="6154" max="6154" width="6" customWidth="1"/>
    <col min="6155" max="6155" width="5.42578125" customWidth="1"/>
    <col min="6156" max="6156" bestFit="1" width="7" customWidth="1"/>
    <col min="6157" max="6161" width="7.85546875" customWidth="1"/>
    <col min="6162" max="6162" width="12" customWidth="1"/>
    <col min="6163" max="6163" bestFit="1" width="5.85546875" customWidth="1"/>
    <col min="6164" max="6164" bestFit="1" width="4.7109375" customWidth="1"/>
    <col min="6165" max="6165" bestFit="1" width="4" customWidth="1"/>
    <col min="6166" max="6166" bestFit="1" width="7" customWidth="1"/>
    <col min="6167" max="6167" bestFit="1" width="4" customWidth="1"/>
    <col min="6168" max="6168" bestFit="1" width="7.85546875" customWidth="1"/>
    <col min="6169" max="6169" width="6.5703125" customWidth="1"/>
    <col min="6170" max="6170" width="8.42578125" customWidth="1"/>
    <col min="6171" max="6171" width="12.28515625" customWidth="1"/>
    <col min="6172" max="6173" width="8.42578125" customWidth="1"/>
    <col min="6174" max="6175" width="10.28515625" customWidth="1"/>
    <col min="6176" max="6176" width="8.5703125" customWidth="1"/>
    <col min="6177" max="6177" bestFit="1" width="8.42578125" customWidth="1"/>
    <col min="6178" max="6179" width="17.5703125" customWidth="1"/>
    <col min="6401" max="6402" width="9.7109375" customWidth="1"/>
    <col min="6403" max="6403" width="26" customWidth="1"/>
    <col min="6406" max="6406" width="7" customWidth="1"/>
    <col min="6407" max="6407" width="7.140625" customWidth="1"/>
    <col min="6408" max="6408" width="9.5703125" customWidth="1"/>
    <col min="6409" max="6409" width="7.42578125" customWidth="1"/>
    <col min="6410" max="6410" width="6" customWidth="1"/>
    <col min="6411" max="6411" width="5.42578125" customWidth="1"/>
    <col min="6412" max="6412" bestFit="1" width="7" customWidth="1"/>
    <col min="6413" max="6417" width="7.85546875" customWidth="1"/>
    <col min="6418" max="6418" width="12" customWidth="1"/>
    <col min="6419" max="6419" bestFit="1" width="5.85546875" customWidth="1"/>
    <col min="6420" max="6420" bestFit="1" width="4.7109375" customWidth="1"/>
    <col min="6421" max="6421" bestFit="1" width="4" customWidth="1"/>
    <col min="6422" max="6422" bestFit="1" width="7" customWidth="1"/>
    <col min="6423" max="6423" bestFit="1" width="4" customWidth="1"/>
    <col min="6424" max="6424" bestFit="1" width="7.85546875" customWidth="1"/>
    <col min="6425" max="6425" width="6.5703125" customWidth="1"/>
    <col min="6426" max="6426" width="8.42578125" customWidth="1"/>
    <col min="6427" max="6427" width="12.28515625" customWidth="1"/>
    <col min="6428" max="6429" width="8.42578125" customWidth="1"/>
    <col min="6430" max="6431" width="10.28515625" customWidth="1"/>
    <col min="6432" max="6432" width="8.5703125" customWidth="1"/>
    <col min="6433" max="6433" bestFit="1" width="8.42578125" customWidth="1"/>
    <col min="6434" max="6435" width="17.5703125" customWidth="1"/>
    <col min="6657" max="6658" width="9.7109375" customWidth="1"/>
    <col min="6659" max="6659" width="26" customWidth="1"/>
    <col min="6662" max="6662" width="7" customWidth="1"/>
    <col min="6663" max="6663" width="7.140625" customWidth="1"/>
    <col min="6664" max="6664" width="9.5703125" customWidth="1"/>
    <col min="6665" max="6665" width="7.42578125" customWidth="1"/>
    <col min="6666" max="6666" width="6" customWidth="1"/>
    <col min="6667" max="6667" width="5.42578125" customWidth="1"/>
    <col min="6668" max="6668" bestFit="1" width="7" customWidth="1"/>
    <col min="6669" max="6673" width="7.85546875" customWidth="1"/>
    <col min="6674" max="6674" width="12" customWidth="1"/>
    <col min="6675" max="6675" bestFit="1" width="5.85546875" customWidth="1"/>
    <col min="6676" max="6676" bestFit="1" width="4.7109375" customWidth="1"/>
    <col min="6677" max="6677" bestFit="1" width="4" customWidth="1"/>
    <col min="6678" max="6678" bestFit="1" width="7" customWidth="1"/>
    <col min="6679" max="6679" bestFit="1" width="4" customWidth="1"/>
    <col min="6680" max="6680" bestFit="1" width="7.85546875" customWidth="1"/>
    <col min="6681" max="6681" width="6.5703125" customWidth="1"/>
    <col min="6682" max="6682" width="8.42578125" customWidth="1"/>
    <col min="6683" max="6683" width="12.28515625" customWidth="1"/>
    <col min="6684" max="6685" width="8.42578125" customWidth="1"/>
    <col min="6686" max="6687" width="10.28515625" customWidth="1"/>
    <col min="6688" max="6688" width="8.5703125" customWidth="1"/>
    <col min="6689" max="6689" bestFit="1" width="8.42578125" customWidth="1"/>
    <col min="6690" max="6691" width="17.5703125" customWidth="1"/>
    <col min="6913" max="6914" width="9.7109375" customWidth="1"/>
    <col min="6915" max="6915" width="26" customWidth="1"/>
    <col min="6918" max="6918" width="7" customWidth="1"/>
    <col min="6919" max="6919" width="7.140625" customWidth="1"/>
    <col min="6920" max="6920" width="9.5703125" customWidth="1"/>
    <col min="6921" max="6921" width="7.42578125" customWidth="1"/>
    <col min="6922" max="6922" width="6" customWidth="1"/>
    <col min="6923" max="6923" width="5.42578125" customWidth="1"/>
    <col min="6924" max="6924" bestFit="1" width="7" customWidth="1"/>
    <col min="6925" max="6929" width="7.85546875" customWidth="1"/>
    <col min="6930" max="6930" width="12" customWidth="1"/>
    <col min="6931" max="6931" bestFit="1" width="5.85546875" customWidth="1"/>
    <col min="6932" max="6932" bestFit="1" width="4.7109375" customWidth="1"/>
    <col min="6933" max="6933" bestFit="1" width="4" customWidth="1"/>
    <col min="6934" max="6934" bestFit="1" width="7" customWidth="1"/>
    <col min="6935" max="6935" bestFit="1" width="4" customWidth="1"/>
    <col min="6936" max="6936" bestFit="1" width="7.85546875" customWidth="1"/>
    <col min="6937" max="6937" width="6.5703125" customWidth="1"/>
    <col min="6938" max="6938" width="8.42578125" customWidth="1"/>
    <col min="6939" max="6939" width="12.28515625" customWidth="1"/>
    <col min="6940" max="6941" width="8.42578125" customWidth="1"/>
    <col min="6942" max="6943" width="10.28515625" customWidth="1"/>
    <col min="6944" max="6944" width="8.5703125" customWidth="1"/>
    <col min="6945" max="6945" bestFit="1" width="8.42578125" customWidth="1"/>
    <col min="6946" max="6947" width="17.5703125" customWidth="1"/>
    <col min="7169" max="7170" width="9.7109375" customWidth="1"/>
    <col min="7171" max="7171" width="26" customWidth="1"/>
    <col min="7174" max="7174" width="7" customWidth="1"/>
    <col min="7175" max="7175" width="7.140625" customWidth="1"/>
    <col min="7176" max="7176" width="9.5703125" customWidth="1"/>
    <col min="7177" max="7177" width="7.42578125" customWidth="1"/>
    <col min="7178" max="7178" width="6" customWidth="1"/>
    <col min="7179" max="7179" width="5.42578125" customWidth="1"/>
    <col min="7180" max="7180" bestFit="1" width="7" customWidth="1"/>
    <col min="7181" max="7185" width="7.85546875" customWidth="1"/>
    <col min="7186" max="7186" width="12" customWidth="1"/>
    <col min="7187" max="7187" bestFit="1" width="5.85546875" customWidth="1"/>
    <col min="7188" max="7188" bestFit="1" width="4.7109375" customWidth="1"/>
    <col min="7189" max="7189" bestFit="1" width="4" customWidth="1"/>
    <col min="7190" max="7190" bestFit="1" width="7" customWidth="1"/>
    <col min="7191" max="7191" bestFit="1" width="4" customWidth="1"/>
    <col min="7192" max="7192" bestFit="1" width="7.85546875" customWidth="1"/>
    <col min="7193" max="7193" width="6.5703125" customWidth="1"/>
    <col min="7194" max="7194" width="8.42578125" customWidth="1"/>
    <col min="7195" max="7195" width="12.28515625" customWidth="1"/>
    <col min="7196" max="7197" width="8.42578125" customWidth="1"/>
    <col min="7198" max="7199" width="10.28515625" customWidth="1"/>
    <col min="7200" max="7200" width="8.5703125" customWidth="1"/>
    <col min="7201" max="7201" bestFit="1" width="8.42578125" customWidth="1"/>
    <col min="7202" max="7203" width="17.5703125" customWidth="1"/>
    <col min="7425" max="7426" width="9.7109375" customWidth="1"/>
    <col min="7427" max="7427" width="26" customWidth="1"/>
    <col min="7430" max="7430" width="7" customWidth="1"/>
    <col min="7431" max="7431" width="7.140625" customWidth="1"/>
    <col min="7432" max="7432" width="9.5703125" customWidth="1"/>
    <col min="7433" max="7433" width="7.42578125" customWidth="1"/>
    <col min="7434" max="7434" width="6" customWidth="1"/>
    <col min="7435" max="7435" width="5.42578125" customWidth="1"/>
    <col min="7436" max="7436" bestFit="1" width="7" customWidth="1"/>
    <col min="7437" max="7441" width="7.85546875" customWidth="1"/>
    <col min="7442" max="7442" width="12" customWidth="1"/>
    <col min="7443" max="7443" bestFit="1" width="5.85546875" customWidth="1"/>
    <col min="7444" max="7444" bestFit="1" width="4.7109375" customWidth="1"/>
    <col min="7445" max="7445" bestFit="1" width="4" customWidth="1"/>
    <col min="7446" max="7446" bestFit="1" width="7" customWidth="1"/>
    <col min="7447" max="7447" bestFit="1" width="4" customWidth="1"/>
    <col min="7448" max="7448" bestFit="1" width="7.85546875" customWidth="1"/>
    <col min="7449" max="7449" width="6.5703125" customWidth="1"/>
    <col min="7450" max="7450" width="8.42578125" customWidth="1"/>
    <col min="7451" max="7451" width="12.28515625" customWidth="1"/>
    <col min="7452" max="7453" width="8.42578125" customWidth="1"/>
    <col min="7454" max="7455" width="10.28515625" customWidth="1"/>
    <col min="7456" max="7456" width="8.5703125" customWidth="1"/>
    <col min="7457" max="7457" bestFit="1" width="8.42578125" customWidth="1"/>
    <col min="7458" max="7459" width="17.5703125" customWidth="1"/>
    <col min="7681" max="7682" width="9.7109375" customWidth="1"/>
    <col min="7683" max="7683" width="26" customWidth="1"/>
    <col min="7686" max="7686" width="7" customWidth="1"/>
    <col min="7687" max="7687" width="7.140625" customWidth="1"/>
    <col min="7688" max="7688" width="9.5703125" customWidth="1"/>
    <col min="7689" max="7689" width="7.42578125" customWidth="1"/>
    <col min="7690" max="7690" width="6" customWidth="1"/>
    <col min="7691" max="7691" width="5.42578125" customWidth="1"/>
    <col min="7692" max="7692" bestFit="1" width="7" customWidth="1"/>
    <col min="7693" max="7697" width="7.85546875" customWidth="1"/>
    <col min="7698" max="7698" width="12" customWidth="1"/>
    <col min="7699" max="7699" bestFit="1" width="5.85546875" customWidth="1"/>
    <col min="7700" max="7700" bestFit="1" width="4.7109375" customWidth="1"/>
    <col min="7701" max="7701" bestFit="1" width="4" customWidth="1"/>
    <col min="7702" max="7702" bestFit="1" width="7" customWidth="1"/>
    <col min="7703" max="7703" bestFit="1" width="4" customWidth="1"/>
    <col min="7704" max="7704" bestFit="1" width="7.85546875" customWidth="1"/>
    <col min="7705" max="7705" width="6.5703125" customWidth="1"/>
    <col min="7706" max="7706" width="8.42578125" customWidth="1"/>
    <col min="7707" max="7707" width="12.28515625" customWidth="1"/>
    <col min="7708" max="7709" width="8.42578125" customWidth="1"/>
    <col min="7710" max="7711" width="10.28515625" customWidth="1"/>
    <col min="7712" max="7712" width="8.5703125" customWidth="1"/>
    <col min="7713" max="7713" bestFit="1" width="8.42578125" customWidth="1"/>
    <col min="7714" max="7715" width="17.5703125" customWidth="1"/>
    <col min="7937" max="7938" width="9.7109375" customWidth="1"/>
    <col min="7939" max="7939" width="26" customWidth="1"/>
    <col min="7942" max="7942" width="7" customWidth="1"/>
    <col min="7943" max="7943" width="7.140625" customWidth="1"/>
    <col min="7944" max="7944" width="9.5703125" customWidth="1"/>
    <col min="7945" max="7945" width="7.42578125" customWidth="1"/>
    <col min="7946" max="7946" width="6" customWidth="1"/>
    <col min="7947" max="7947" width="5.42578125" customWidth="1"/>
    <col min="7948" max="7948" bestFit="1" width="7" customWidth="1"/>
    <col min="7949" max="7953" width="7.85546875" customWidth="1"/>
    <col min="7954" max="7954" width="12" customWidth="1"/>
    <col min="7955" max="7955" bestFit="1" width="5.85546875" customWidth="1"/>
    <col min="7956" max="7956" bestFit="1" width="4.7109375" customWidth="1"/>
    <col min="7957" max="7957" bestFit="1" width="4" customWidth="1"/>
    <col min="7958" max="7958" bestFit="1" width="7" customWidth="1"/>
    <col min="7959" max="7959" bestFit="1" width="4" customWidth="1"/>
    <col min="7960" max="7960" bestFit="1" width="7.85546875" customWidth="1"/>
    <col min="7961" max="7961" width="6.5703125" customWidth="1"/>
    <col min="7962" max="7962" width="8.42578125" customWidth="1"/>
    <col min="7963" max="7963" width="12.28515625" customWidth="1"/>
    <col min="7964" max="7965" width="8.42578125" customWidth="1"/>
    <col min="7966" max="7967" width="10.28515625" customWidth="1"/>
    <col min="7968" max="7968" width="8.5703125" customWidth="1"/>
    <col min="7969" max="7969" bestFit="1" width="8.42578125" customWidth="1"/>
    <col min="7970" max="7971" width="17.5703125" customWidth="1"/>
    <col min="8193" max="8194" width="9.7109375" customWidth="1"/>
    <col min="8195" max="8195" width="26" customWidth="1"/>
    <col min="8198" max="8198" width="7" customWidth="1"/>
    <col min="8199" max="8199" width="7.140625" customWidth="1"/>
    <col min="8200" max="8200" width="9.5703125" customWidth="1"/>
    <col min="8201" max="8201" width="7.42578125" customWidth="1"/>
    <col min="8202" max="8202" width="6" customWidth="1"/>
    <col min="8203" max="8203" width="5.42578125" customWidth="1"/>
    <col min="8204" max="8204" bestFit="1" width="7" customWidth="1"/>
    <col min="8205" max="8209" width="7.85546875" customWidth="1"/>
    <col min="8210" max="8210" width="12" customWidth="1"/>
    <col min="8211" max="8211" bestFit="1" width="5.85546875" customWidth="1"/>
    <col min="8212" max="8212" bestFit="1" width="4.7109375" customWidth="1"/>
    <col min="8213" max="8213" bestFit="1" width="4" customWidth="1"/>
    <col min="8214" max="8214" bestFit="1" width="7" customWidth="1"/>
    <col min="8215" max="8215" bestFit="1" width="4" customWidth="1"/>
    <col min="8216" max="8216" bestFit="1" width="7.85546875" customWidth="1"/>
    <col min="8217" max="8217" width="6.5703125" customWidth="1"/>
    <col min="8218" max="8218" width="8.42578125" customWidth="1"/>
    <col min="8219" max="8219" width="12.28515625" customWidth="1"/>
    <col min="8220" max="8221" width="8.42578125" customWidth="1"/>
    <col min="8222" max="8223" width="10.28515625" customWidth="1"/>
    <col min="8224" max="8224" width="8.5703125" customWidth="1"/>
    <col min="8225" max="8225" bestFit="1" width="8.42578125" customWidth="1"/>
    <col min="8226" max="8227" width="17.5703125" customWidth="1"/>
    <col min="8449" max="8450" width="9.7109375" customWidth="1"/>
    <col min="8451" max="8451" width="26" customWidth="1"/>
    <col min="8454" max="8454" width="7" customWidth="1"/>
    <col min="8455" max="8455" width="7.140625" customWidth="1"/>
    <col min="8456" max="8456" width="9.5703125" customWidth="1"/>
    <col min="8457" max="8457" width="7.42578125" customWidth="1"/>
    <col min="8458" max="8458" width="6" customWidth="1"/>
    <col min="8459" max="8459" width="5.42578125" customWidth="1"/>
    <col min="8460" max="8460" bestFit="1" width="7" customWidth="1"/>
    <col min="8461" max="8465" width="7.85546875" customWidth="1"/>
    <col min="8466" max="8466" width="12" customWidth="1"/>
    <col min="8467" max="8467" bestFit="1" width="5.85546875" customWidth="1"/>
    <col min="8468" max="8468" bestFit="1" width="4.7109375" customWidth="1"/>
    <col min="8469" max="8469" bestFit="1" width="4" customWidth="1"/>
    <col min="8470" max="8470" bestFit="1" width="7" customWidth="1"/>
    <col min="8471" max="8471" bestFit="1" width="4" customWidth="1"/>
    <col min="8472" max="8472" bestFit="1" width="7.85546875" customWidth="1"/>
    <col min="8473" max="8473" width="6.5703125" customWidth="1"/>
    <col min="8474" max="8474" width="8.42578125" customWidth="1"/>
    <col min="8475" max="8475" width="12.28515625" customWidth="1"/>
    <col min="8476" max="8477" width="8.42578125" customWidth="1"/>
    <col min="8478" max="8479" width="10.28515625" customWidth="1"/>
    <col min="8480" max="8480" width="8.5703125" customWidth="1"/>
    <col min="8481" max="8481" bestFit="1" width="8.42578125" customWidth="1"/>
    <col min="8482" max="8483" width="17.5703125" customWidth="1"/>
    <col min="8705" max="8706" width="9.7109375" customWidth="1"/>
    <col min="8707" max="8707" width="26" customWidth="1"/>
    <col min="8710" max="8710" width="7" customWidth="1"/>
    <col min="8711" max="8711" width="7.140625" customWidth="1"/>
    <col min="8712" max="8712" width="9.5703125" customWidth="1"/>
    <col min="8713" max="8713" width="7.42578125" customWidth="1"/>
    <col min="8714" max="8714" width="6" customWidth="1"/>
    <col min="8715" max="8715" width="5.42578125" customWidth="1"/>
    <col min="8716" max="8716" bestFit="1" width="7" customWidth="1"/>
    <col min="8717" max="8721" width="7.85546875" customWidth="1"/>
    <col min="8722" max="8722" width="12" customWidth="1"/>
    <col min="8723" max="8723" bestFit="1" width="5.85546875" customWidth="1"/>
    <col min="8724" max="8724" bestFit="1" width="4.7109375" customWidth="1"/>
    <col min="8725" max="8725" bestFit="1" width="4" customWidth="1"/>
    <col min="8726" max="8726" bestFit="1" width="7" customWidth="1"/>
    <col min="8727" max="8727" bestFit="1" width="4" customWidth="1"/>
    <col min="8728" max="8728" bestFit="1" width="7.85546875" customWidth="1"/>
    <col min="8729" max="8729" width="6.5703125" customWidth="1"/>
    <col min="8730" max="8730" width="8.42578125" customWidth="1"/>
    <col min="8731" max="8731" width="12.28515625" customWidth="1"/>
    <col min="8732" max="8733" width="8.42578125" customWidth="1"/>
    <col min="8734" max="8735" width="10.28515625" customWidth="1"/>
    <col min="8736" max="8736" width="8.5703125" customWidth="1"/>
    <col min="8737" max="8737" bestFit="1" width="8.42578125" customWidth="1"/>
    <col min="8738" max="8739" width="17.5703125" customWidth="1"/>
    <col min="8961" max="8962" width="9.7109375" customWidth="1"/>
    <col min="8963" max="8963" width="26" customWidth="1"/>
    <col min="8966" max="8966" width="7" customWidth="1"/>
    <col min="8967" max="8967" width="7.140625" customWidth="1"/>
    <col min="8968" max="8968" width="9.5703125" customWidth="1"/>
    <col min="8969" max="8969" width="7.42578125" customWidth="1"/>
    <col min="8970" max="8970" width="6" customWidth="1"/>
    <col min="8971" max="8971" width="5.42578125" customWidth="1"/>
    <col min="8972" max="8972" bestFit="1" width="7" customWidth="1"/>
    <col min="8973" max="8977" width="7.85546875" customWidth="1"/>
    <col min="8978" max="8978" width="12" customWidth="1"/>
    <col min="8979" max="8979" bestFit="1" width="5.85546875" customWidth="1"/>
    <col min="8980" max="8980" bestFit="1" width="4.7109375" customWidth="1"/>
    <col min="8981" max="8981" bestFit="1" width="4" customWidth="1"/>
    <col min="8982" max="8982" bestFit="1" width="7" customWidth="1"/>
    <col min="8983" max="8983" bestFit="1" width="4" customWidth="1"/>
    <col min="8984" max="8984" bestFit="1" width="7.85546875" customWidth="1"/>
    <col min="8985" max="8985" width="6.5703125" customWidth="1"/>
    <col min="8986" max="8986" width="8.42578125" customWidth="1"/>
    <col min="8987" max="8987" width="12.28515625" customWidth="1"/>
    <col min="8988" max="8989" width="8.42578125" customWidth="1"/>
    <col min="8990" max="8991" width="10.28515625" customWidth="1"/>
    <col min="8992" max="8992" width="8.5703125" customWidth="1"/>
    <col min="8993" max="8993" bestFit="1" width="8.42578125" customWidth="1"/>
    <col min="8994" max="8995" width="17.5703125" customWidth="1"/>
    <col min="9217" max="9218" width="9.7109375" customWidth="1"/>
    <col min="9219" max="9219" width="26" customWidth="1"/>
    <col min="9222" max="9222" width="7" customWidth="1"/>
    <col min="9223" max="9223" width="7.140625" customWidth="1"/>
    <col min="9224" max="9224" width="9.5703125" customWidth="1"/>
    <col min="9225" max="9225" width="7.42578125" customWidth="1"/>
    <col min="9226" max="9226" width="6" customWidth="1"/>
    <col min="9227" max="9227" width="5.42578125" customWidth="1"/>
    <col min="9228" max="9228" bestFit="1" width="7" customWidth="1"/>
    <col min="9229" max="9233" width="7.85546875" customWidth="1"/>
    <col min="9234" max="9234" width="12" customWidth="1"/>
    <col min="9235" max="9235" bestFit="1" width="5.85546875" customWidth="1"/>
    <col min="9236" max="9236" bestFit="1" width="4.7109375" customWidth="1"/>
    <col min="9237" max="9237" bestFit="1" width="4" customWidth="1"/>
    <col min="9238" max="9238" bestFit="1" width="7" customWidth="1"/>
    <col min="9239" max="9239" bestFit="1" width="4" customWidth="1"/>
    <col min="9240" max="9240" bestFit="1" width="7.85546875" customWidth="1"/>
    <col min="9241" max="9241" width="6.5703125" customWidth="1"/>
    <col min="9242" max="9242" width="8.42578125" customWidth="1"/>
    <col min="9243" max="9243" width="12.28515625" customWidth="1"/>
    <col min="9244" max="9245" width="8.42578125" customWidth="1"/>
    <col min="9246" max="9247" width="10.28515625" customWidth="1"/>
    <col min="9248" max="9248" width="8.5703125" customWidth="1"/>
    <col min="9249" max="9249" bestFit="1" width="8.42578125" customWidth="1"/>
    <col min="9250" max="9251" width="17.5703125" customWidth="1"/>
    <col min="9473" max="9474" width="9.7109375" customWidth="1"/>
    <col min="9475" max="9475" width="26" customWidth="1"/>
    <col min="9478" max="9478" width="7" customWidth="1"/>
    <col min="9479" max="9479" width="7.140625" customWidth="1"/>
    <col min="9480" max="9480" width="9.5703125" customWidth="1"/>
    <col min="9481" max="9481" width="7.42578125" customWidth="1"/>
    <col min="9482" max="9482" width="6" customWidth="1"/>
    <col min="9483" max="9483" width="5.42578125" customWidth="1"/>
    <col min="9484" max="9484" bestFit="1" width="7" customWidth="1"/>
    <col min="9485" max="9489" width="7.85546875" customWidth="1"/>
    <col min="9490" max="9490" width="12" customWidth="1"/>
    <col min="9491" max="9491" bestFit="1" width="5.85546875" customWidth="1"/>
    <col min="9492" max="9492" bestFit="1" width="4.7109375" customWidth="1"/>
    <col min="9493" max="9493" bestFit="1" width="4" customWidth="1"/>
    <col min="9494" max="9494" bestFit="1" width="7" customWidth="1"/>
    <col min="9495" max="9495" bestFit="1" width="4" customWidth="1"/>
    <col min="9496" max="9496" bestFit="1" width="7.85546875" customWidth="1"/>
    <col min="9497" max="9497" width="6.5703125" customWidth="1"/>
    <col min="9498" max="9498" width="8.42578125" customWidth="1"/>
    <col min="9499" max="9499" width="12.28515625" customWidth="1"/>
    <col min="9500" max="9501" width="8.42578125" customWidth="1"/>
    <col min="9502" max="9503" width="10.28515625" customWidth="1"/>
    <col min="9504" max="9504" width="8.5703125" customWidth="1"/>
    <col min="9505" max="9505" bestFit="1" width="8.42578125" customWidth="1"/>
    <col min="9506" max="9507" width="17.5703125" customWidth="1"/>
    <col min="9729" max="9730" width="9.7109375" customWidth="1"/>
    <col min="9731" max="9731" width="26" customWidth="1"/>
    <col min="9734" max="9734" width="7" customWidth="1"/>
    <col min="9735" max="9735" width="7.140625" customWidth="1"/>
    <col min="9736" max="9736" width="9.5703125" customWidth="1"/>
    <col min="9737" max="9737" width="7.42578125" customWidth="1"/>
    <col min="9738" max="9738" width="6" customWidth="1"/>
    <col min="9739" max="9739" width="5.42578125" customWidth="1"/>
    <col min="9740" max="9740" bestFit="1" width="7" customWidth="1"/>
    <col min="9741" max="9745" width="7.85546875" customWidth="1"/>
    <col min="9746" max="9746" width="12" customWidth="1"/>
    <col min="9747" max="9747" bestFit="1" width="5.85546875" customWidth="1"/>
    <col min="9748" max="9748" bestFit="1" width="4.7109375" customWidth="1"/>
    <col min="9749" max="9749" bestFit="1" width="4" customWidth="1"/>
    <col min="9750" max="9750" bestFit="1" width="7" customWidth="1"/>
    <col min="9751" max="9751" bestFit="1" width="4" customWidth="1"/>
    <col min="9752" max="9752" bestFit="1" width="7.85546875" customWidth="1"/>
    <col min="9753" max="9753" width="6.5703125" customWidth="1"/>
    <col min="9754" max="9754" width="8.42578125" customWidth="1"/>
    <col min="9755" max="9755" width="12.28515625" customWidth="1"/>
    <col min="9756" max="9757" width="8.42578125" customWidth="1"/>
    <col min="9758" max="9759" width="10.28515625" customWidth="1"/>
    <col min="9760" max="9760" width="8.5703125" customWidth="1"/>
    <col min="9761" max="9761" bestFit="1" width="8.42578125" customWidth="1"/>
    <col min="9762" max="9763" width="17.5703125" customWidth="1"/>
    <col min="9985" max="9986" width="9.7109375" customWidth="1"/>
    <col min="9987" max="9987" width="26" customWidth="1"/>
    <col min="9990" max="9990" width="7" customWidth="1"/>
    <col min="9991" max="9991" width="7.140625" customWidth="1"/>
    <col min="9992" max="9992" width="9.5703125" customWidth="1"/>
    <col min="9993" max="9993" width="7.42578125" customWidth="1"/>
    <col min="9994" max="9994" width="6" customWidth="1"/>
    <col min="9995" max="9995" width="5.42578125" customWidth="1"/>
    <col min="9996" max="9996" bestFit="1" width="7" customWidth="1"/>
    <col min="9997" max="10001" width="7.85546875" customWidth="1"/>
    <col min="10002" max="10002" width="12" customWidth="1"/>
    <col min="10003" max="10003" bestFit="1" width="5.85546875" customWidth="1"/>
    <col min="10004" max="10004" bestFit="1" width="4.7109375" customWidth="1"/>
    <col min="10005" max="10005" bestFit="1" width="4" customWidth="1"/>
    <col min="10006" max="10006" bestFit="1" width="7" customWidth="1"/>
    <col min="10007" max="10007" bestFit="1" width="4" customWidth="1"/>
    <col min="10008" max="10008" bestFit="1" width="7.85546875" customWidth="1"/>
    <col min="10009" max="10009" width="6.5703125" customWidth="1"/>
    <col min="10010" max="10010" width="8.42578125" customWidth="1"/>
    <col min="10011" max="10011" width="12.28515625" customWidth="1"/>
    <col min="10012" max="10013" width="8.42578125" customWidth="1"/>
    <col min="10014" max="10015" width="10.28515625" customWidth="1"/>
    <col min="10016" max="10016" width="8.5703125" customWidth="1"/>
    <col min="10017" max="10017" bestFit="1" width="8.42578125" customWidth="1"/>
    <col min="10018" max="10019" width="17.5703125" customWidth="1"/>
    <col min="10241" max="10242" width="9.7109375" customWidth="1"/>
    <col min="10243" max="10243" width="26" customWidth="1"/>
    <col min="10246" max="10246" width="7" customWidth="1"/>
    <col min="10247" max="10247" width="7.140625" customWidth="1"/>
    <col min="10248" max="10248" width="9.5703125" customWidth="1"/>
    <col min="10249" max="10249" width="7.42578125" customWidth="1"/>
    <col min="10250" max="10250" width="6" customWidth="1"/>
    <col min="10251" max="10251" width="5.42578125" customWidth="1"/>
    <col min="10252" max="10252" bestFit="1" width="7" customWidth="1"/>
    <col min="10253" max="10257" width="7.85546875" customWidth="1"/>
    <col min="10258" max="10258" width="12" customWidth="1"/>
    <col min="10259" max="10259" bestFit="1" width="5.85546875" customWidth="1"/>
    <col min="10260" max="10260" bestFit="1" width="4.7109375" customWidth="1"/>
    <col min="10261" max="10261" bestFit="1" width="4" customWidth="1"/>
    <col min="10262" max="10262" bestFit="1" width="7" customWidth="1"/>
    <col min="10263" max="10263" bestFit="1" width="4" customWidth="1"/>
    <col min="10264" max="10264" bestFit="1" width="7.85546875" customWidth="1"/>
    <col min="10265" max="10265" width="6.5703125" customWidth="1"/>
    <col min="10266" max="10266" width="8.42578125" customWidth="1"/>
    <col min="10267" max="10267" width="12.28515625" customWidth="1"/>
    <col min="10268" max="10269" width="8.42578125" customWidth="1"/>
    <col min="10270" max="10271" width="10.28515625" customWidth="1"/>
    <col min="10272" max="10272" width="8.5703125" customWidth="1"/>
    <col min="10273" max="10273" bestFit="1" width="8.42578125" customWidth="1"/>
    <col min="10274" max="10275" width="17.5703125" customWidth="1"/>
    <col min="10497" max="10498" width="9.7109375" customWidth="1"/>
    <col min="10499" max="10499" width="26" customWidth="1"/>
    <col min="10502" max="10502" width="7" customWidth="1"/>
    <col min="10503" max="10503" width="7.140625" customWidth="1"/>
    <col min="10504" max="10504" width="9.5703125" customWidth="1"/>
    <col min="10505" max="10505" width="7.42578125" customWidth="1"/>
    <col min="10506" max="10506" width="6" customWidth="1"/>
    <col min="10507" max="10507" width="5.42578125" customWidth="1"/>
    <col min="10508" max="10508" bestFit="1" width="7" customWidth="1"/>
    <col min="10509" max="10513" width="7.85546875" customWidth="1"/>
    <col min="10514" max="10514" width="12" customWidth="1"/>
    <col min="10515" max="10515" bestFit="1" width="5.85546875" customWidth="1"/>
    <col min="10516" max="10516" bestFit="1" width="4.7109375" customWidth="1"/>
    <col min="10517" max="10517" bestFit="1" width="4" customWidth="1"/>
    <col min="10518" max="10518" bestFit="1" width="7" customWidth="1"/>
    <col min="10519" max="10519" bestFit="1" width="4" customWidth="1"/>
    <col min="10520" max="10520" bestFit="1" width="7.85546875" customWidth="1"/>
    <col min="10521" max="10521" width="6.5703125" customWidth="1"/>
    <col min="10522" max="10522" width="8.42578125" customWidth="1"/>
    <col min="10523" max="10523" width="12.28515625" customWidth="1"/>
    <col min="10524" max="10525" width="8.42578125" customWidth="1"/>
    <col min="10526" max="10527" width="10.28515625" customWidth="1"/>
    <col min="10528" max="10528" width="8.5703125" customWidth="1"/>
    <col min="10529" max="10529" bestFit="1" width="8.42578125" customWidth="1"/>
    <col min="10530" max="10531" width="17.5703125" customWidth="1"/>
    <col min="10753" max="10754" width="9.7109375" customWidth="1"/>
    <col min="10755" max="10755" width="26" customWidth="1"/>
    <col min="10758" max="10758" width="7" customWidth="1"/>
    <col min="10759" max="10759" width="7.140625" customWidth="1"/>
    <col min="10760" max="10760" width="9.5703125" customWidth="1"/>
    <col min="10761" max="10761" width="7.42578125" customWidth="1"/>
    <col min="10762" max="10762" width="6" customWidth="1"/>
    <col min="10763" max="10763" width="5.42578125" customWidth="1"/>
    <col min="10764" max="10764" bestFit="1" width="7" customWidth="1"/>
    <col min="10765" max="10769" width="7.85546875" customWidth="1"/>
    <col min="10770" max="10770" width="12" customWidth="1"/>
    <col min="10771" max="10771" bestFit="1" width="5.85546875" customWidth="1"/>
    <col min="10772" max="10772" bestFit="1" width="4.7109375" customWidth="1"/>
    <col min="10773" max="10773" bestFit="1" width="4" customWidth="1"/>
    <col min="10774" max="10774" bestFit="1" width="7" customWidth="1"/>
    <col min="10775" max="10775" bestFit="1" width="4" customWidth="1"/>
    <col min="10776" max="10776" bestFit="1" width="7.85546875" customWidth="1"/>
    <col min="10777" max="10777" width="6.5703125" customWidth="1"/>
    <col min="10778" max="10778" width="8.42578125" customWidth="1"/>
    <col min="10779" max="10779" width="12.28515625" customWidth="1"/>
    <col min="10780" max="10781" width="8.42578125" customWidth="1"/>
    <col min="10782" max="10783" width="10.28515625" customWidth="1"/>
    <col min="10784" max="10784" width="8.5703125" customWidth="1"/>
    <col min="10785" max="10785" bestFit="1" width="8.42578125" customWidth="1"/>
    <col min="10786" max="10787" width="17.5703125" customWidth="1"/>
    <col min="11009" max="11010" width="9.7109375" customWidth="1"/>
    <col min="11011" max="11011" width="26" customWidth="1"/>
    <col min="11014" max="11014" width="7" customWidth="1"/>
    <col min="11015" max="11015" width="7.140625" customWidth="1"/>
    <col min="11016" max="11016" width="9.5703125" customWidth="1"/>
    <col min="11017" max="11017" width="7.42578125" customWidth="1"/>
    <col min="11018" max="11018" width="6" customWidth="1"/>
    <col min="11019" max="11019" width="5.42578125" customWidth="1"/>
    <col min="11020" max="11020" bestFit="1" width="7" customWidth="1"/>
    <col min="11021" max="11025" width="7.85546875" customWidth="1"/>
    <col min="11026" max="11026" width="12" customWidth="1"/>
    <col min="11027" max="11027" bestFit="1" width="5.85546875" customWidth="1"/>
    <col min="11028" max="11028" bestFit="1" width="4.7109375" customWidth="1"/>
    <col min="11029" max="11029" bestFit="1" width="4" customWidth="1"/>
    <col min="11030" max="11030" bestFit="1" width="7" customWidth="1"/>
    <col min="11031" max="11031" bestFit="1" width="4" customWidth="1"/>
    <col min="11032" max="11032" bestFit="1" width="7.85546875" customWidth="1"/>
    <col min="11033" max="11033" width="6.5703125" customWidth="1"/>
    <col min="11034" max="11034" width="8.42578125" customWidth="1"/>
    <col min="11035" max="11035" width="12.28515625" customWidth="1"/>
    <col min="11036" max="11037" width="8.42578125" customWidth="1"/>
    <col min="11038" max="11039" width="10.28515625" customWidth="1"/>
    <col min="11040" max="11040" width="8.5703125" customWidth="1"/>
    <col min="11041" max="11041" bestFit="1" width="8.42578125" customWidth="1"/>
    <col min="11042" max="11043" width="17.5703125" customWidth="1"/>
    <col min="11265" max="11266" width="9.7109375" customWidth="1"/>
    <col min="11267" max="11267" width="26" customWidth="1"/>
    <col min="11270" max="11270" width="7" customWidth="1"/>
    <col min="11271" max="11271" width="7.140625" customWidth="1"/>
    <col min="11272" max="11272" width="9.5703125" customWidth="1"/>
    <col min="11273" max="11273" width="7.42578125" customWidth="1"/>
    <col min="11274" max="11274" width="6" customWidth="1"/>
    <col min="11275" max="11275" width="5.42578125" customWidth="1"/>
    <col min="11276" max="11276" bestFit="1" width="7" customWidth="1"/>
    <col min="11277" max="11281" width="7.85546875" customWidth="1"/>
    <col min="11282" max="11282" width="12" customWidth="1"/>
    <col min="11283" max="11283" bestFit="1" width="5.85546875" customWidth="1"/>
    <col min="11284" max="11284" bestFit="1" width="4.7109375" customWidth="1"/>
    <col min="11285" max="11285" bestFit="1" width="4" customWidth="1"/>
    <col min="11286" max="11286" bestFit="1" width="7" customWidth="1"/>
    <col min="11287" max="11287" bestFit="1" width="4" customWidth="1"/>
    <col min="11288" max="11288" bestFit="1" width="7.85546875" customWidth="1"/>
    <col min="11289" max="11289" width="6.5703125" customWidth="1"/>
    <col min="11290" max="11290" width="8.42578125" customWidth="1"/>
    <col min="11291" max="11291" width="12.28515625" customWidth="1"/>
    <col min="11292" max="11293" width="8.42578125" customWidth="1"/>
    <col min="11294" max="11295" width="10.28515625" customWidth="1"/>
    <col min="11296" max="11296" width="8.5703125" customWidth="1"/>
    <col min="11297" max="11297" bestFit="1" width="8.42578125" customWidth="1"/>
    <col min="11298" max="11299" width="17.5703125" customWidth="1"/>
    <col min="11521" max="11522" width="9.7109375" customWidth="1"/>
    <col min="11523" max="11523" width="26" customWidth="1"/>
    <col min="11526" max="11526" width="7" customWidth="1"/>
    <col min="11527" max="11527" width="7.140625" customWidth="1"/>
    <col min="11528" max="11528" width="9.5703125" customWidth="1"/>
    <col min="11529" max="11529" width="7.42578125" customWidth="1"/>
    <col min="11530" max="11530" width="6" customWidth="1"/>
    <col min="11531" max="11531" width="5.42578125" customWidth="1"/>
    <col min="11532" max="11532" bestFit="1" width="7" customWidth="1"/>
    <col min="11533" max="11537" width="7.85546875" customWidth="1"/>
    <col min="11538" max="11538" width="12" customWidth="1"/>
    <col min="11539" max="11539" bestFit="1" width="5.85546875" customWidth="1"/>
    <col min="11540" max="11540" bestFit="1" width="4.7109375" customWidth="1"/>
    <col min="11541" max="11541" bestFit="1" width="4" customWidth="1"/>
    <col min="11542" max="11542" bestFit="1" width="7" customWidth="1"/>
    <col min="11543" max="11543" bestFit="1" width="4" customWidth="1"/>
    <col min="11544" max="11544" bestFit="1" width="7.85546875" customWidth="1"/>
    <col min="11545" max="11545" width="6.5703125" customWidth="1"/>
    <col min="11546" max="11546" width="8.42578125" customWidth="1"/>
    <col min="11547" max="11547" width="12.28515625" customWidth="1"/>
    <col min="11548" max="11549" width="8.42578125" customWidth="1"/>
    <col min="11550" max="11551" width="10.28515625" customWidth="1"/>
    <col min="11552" max="11552" width="8.5703125" customWidth="1"/>
    <col min="11553" max="11553" bestFit="1" width="8.42578125" customWidth="1"/>
    <col min="11554" max="11555" width="17.5703125" customWidth="1"/>
    <col min="11777" max="11778" width="9.7109375" customWidth="1"/>
    <col min="11779" max="11779" width="26" customWidth="1"/>
    <col min="11782" max="11782" width="7" customWidth="1"/>
    <col min="11783" max="11783" width="7.140625" customWidth="1"/>
    <col min="11784" max="11784" width="9.5703125" customWidth="1"/>
    <col min="11785" max="11785" width="7.42578125" customWidth="1"/>
    <col min="11786" max="11786" width="6" customWidth="1"/>
    <col min="11787" max="11787" width="5.42578125" customWidth="1"/>
    <col min="11788" max="11788" bestFit="1" width="7" customWidth="1"/>
    <col min="11789" max="11793" width="7.85546875" customWidth="1"/>
    <col min="11794" max="11794" width="12" customWidth="1"/>
    <col min="11795" max="11795" bestFit="1" width="5.85546875" customWidth="1"/>
    <col min="11796" max="11796" bestFit="1" width="4.7109375" customWidth="1"/>
    <col min="11797" max="11797" bestFit="1" width="4" customWidth="1"/>
    <col min="11798" max="11798" bestFit="1" width="7" customWidth="1"/>
    <col min="11799" max="11799" bestFit="1" width="4" customWidth="1"/>
    <col min="11800" max="11800" bestFit="1" width="7.85546875" customWidth="1"/>
    <col min="11801" max="11801" width="6.5703125" customWidth="1"/>
    <col min="11802" max="11802" width="8.42578125" customWidth="1"/>
    <col min="11803" max="11803" width="12.28515625" customWidth="1"/>
    <col min="11804" max="11805" width="8.42578125" customWidth="1"/>
    <col min="11806" max="11807" width="10.28515625" customWidth="1"/>
    <col min="11808" max="11808" width="8.5703125" customWidth="1"/>
    <col min="11809" max="11809" bestFit="1" width="8.42578125" customWidth="1"/>
    <col min="11810" max="11811" width="17.5703125" customWidth="1"/>
    <col min="12033" max="12034" width="9.7109375" customWidth="1"/>
    <col min="12035" max="12035" width="26" customWidth="1"/>
    <col min="12038" max="12038" width="7" customWidth="1"/>
    <col min="12039" max="12039" width="7.140625" customWidth="1"/>
    <col min="12040" max="12040" width="9.5703125" customWidth="1"/>
    <col min="12041" max="12041" width="7.42578125" customWidth="1"/>
    <col min="12042" max="12042" width="6" customWidth="1"/>
    <col min="12043" max="12043" width="5.42578125" customWidth="1"/>
    <col min="12044" max="12044" bestFit="1" width="7" customWidth="1"/>
    <col min="12045" max="12049" width="7.85546875" customWidth="1"/>
    <col min="12050" max="12050" width="12" customWidth="1"/>
    <col min="12051" max="12051" bestFit="1" width="5.85546875" customWidth="1"/>
    <col min="12052" max="12052" bestFit="1" width="4.7109375" customWidth="1"/>
    <col min="12053" max="12053" bestFit="1" width="4" customWidth="1"/>
    <col min="12054" max="12054" bestFit="1" width="7" customWidth="1"/>
    <col min="12055" max="12055" bestFit="1" width="4" customWidth="1"/>
    <col min="12056" max="12056" bestFit="1" width="7.85546875" customWidth="1"/>
    <col min="12057" max="12057" width="6.5703125" customWidth="1"/>
    <col min="12058" max="12058" width="8.42578125" customWidth="1"/>
    <col min="12059" max="12059" width="12.28515625" customWidth="1"/>
    <col min="12060" max="12061" width="8.42578125" customWidth="1"/>
    <col min="12062" max="12063" width="10.28515625" customWidth="1"/>
    <col min="12064" max="12064" width="8.5703125" customWidth="1"/>
    <col min="12065" max="12065" bestFit="1" width="8.42578125" customWidth="1"/>
    <col min="12066" max="12067" width="17.5703125" customWidth="1"/>
    <col min="12289" max="12290" width="9.7109375" customWidth="1"/>
    <col min="12291" max="12291" width="26" customWidth="1"/>
    <col min="12294" max="12294" width="7" customWidth="1"/>
    <col min="12295" max="12295" width="7.140625" customWidth="1"/>
    <col min="12296" max="12296" width="9.5703125" customWidth="1"/>
    <col min="12297" max="12297" width="7.42578125" customWidth="1"/>
    <col min="12298" max="12298" width="6" customWidth="1"/>
    <col min="12299" max="12299" width="5.42578125" customWidth="1"/>
    <col min="12300" max="12300" bestFit="1" width="7" customWidth="1"/>
    <col min="12301" max="12305" width="7.85546875" customWidth="1"/>
    <col min="12306" max="12306" width="12" customWidth="1"/>
    <col min="12307" max="12307" bestFit="1" width="5.85546875" customWidth="1"/>
    <col min="12308" max="12308" bestFit="1" width="4.7109375" customWidth="1"/>
    <col min="12309" max="12309" bestFit="1" width="4" customWidth="1"/>
    <col min="12310" max="12310" bestFit="1" width="7" customWidth="1"/>
    <col min="12311" max="12311" bestFit="1" width="4" customWidth="1"/>
    <col min="12312" max="12312" bestFit="1" width="7.85546875" customWidth="1"/>
    <col min="12313" max="12313" width="6.5703125" customWidth="1"/>
    <col min="12314" max="12314" width="8.42578125" customWidth="1"/>
    <col min="12315" max="12315" width="12.28515625" customWidth="1"/>
    <col min="12316" max="12317" width="8.42578125" customWidth="1"/>
    <col min="12318" max="12319" width="10.28515625" customWidth="1"/>
    <col min="12320" max="12320" width="8.5703125" customWidth="1"/>
    <col min="12321" max="12321" bestFit="1" width="8.42578125" customWidth="1"/>
    <col min="12322" max="12323" width="17.5703125" customWidth="1"/>
    <col min="12545" max="12546" width="9.7109375" customWidth="1"/>
    <col min="12547" max="12547" width="26" customWidth="1"/>
    <col min="12550" max="12550" width="7" customWidth="1"/>
    <col min="12551" max="12551" width="7.140625" customWidth="1"/>
    <col min="12552" max="12552" width="9.5703125" customWidth="1"/>
    <col min="12553" max="12553" width="7.42578125" customWidth="1"/>
    <col min="12554" max="12554" width="6" customWidth="1"/>
    <col min="12555" max="12555" width="5.42578125" customWidth="1"/>
    <col min="12556" max="12556" bestFit="1" width="7" customWidth="1"/>
    <col min="12557" max="12561" width="7.85546875" customWidth="1"/>
    <col min="12562" max="12562" width="12" customWidth="1"/>
    <col min="12563" max="12563" bestFit="1" width="5.85546875" customWidth="1"/>
    <col min="12564" max="12564" bestFit="1" width="4.7109375" customWidth="1"/>
    <col min="12565" max="12565" bestFit="1" width="4" customWidth="1"/>
    <col min="12566" max="12566" bestFit="1" width="7" customWidth="1"/>
    <col min="12567" max="12567" bestFit="1" width="4" customWidth="1"/>
    <col min="12568" max="12568" bestFit="1" width="7.85546875" customWidth="1"/>
    <col min="12569" max="12569" width="6.5703125" customWidth="1"/>
    <col min="12570" max="12570" width="8.42578125" customWidth="1"/>
    <col min="12571" max="12571" width="12.28515625" customWidth="1"/>
    <col min="12572" max="12573" width="8.42578125" customWidth="1"/>
    <col min="12574" max="12575" width="10.28515625" customWidth="1"/>
    <col min="12576" max="12576" width="8.5703125" customWidth="1"/>
    <col min="12577" max="12577" bestFit="1" width="8.42578125" customWidth="1"/>
    <col min="12578" max="12579" width="17.5703125" customWidth="1"/>
    <col min="12801" max="12802" width="9.7109375" customWidth="1"/>
    <col min="12803" max="12803" width="26" customWidth="1"/>
    <col min="12806" max="12806" width="7" customWidth="1"/>
    <col min="12807" max="12807" width="7.140625" customWidth="1"/>
    <col min="12808" max="12808" width="9.5703125" customWidth="1"/>
    <col min="12809" max="12809" width="7.42578125" customWidth="1"/>
    <col min="12810" max="12810" width="6" customWidth="1"/>
    <col min="12811" max="12811" width="5.42578125" customWidth="1"/>
    <col min="12812" max="12812" bestFit="1" width="7" customWidth="1"/>
    <col min="12813" max="12817" width="7.85546875" customWidth="1"/>
    <col min="12818" max="12818" width="12" customWidth="1"/>
    <col min="12819" max="12819" bestFit="1" width="5.85546875" customWidth="1"/>
    <col min="12820" max="12820" bestFit="1" width="4.7109375" customWidth="1"/>
    <col min="12821" max="12821" bestFit="1" width="4" customWidth="1"/>
    <col min="12822" max="12822" bestFit="1" width="7" customWidth="1"/>
    <col min="12823" max="12823" bestFit="1" width="4" customWidth="1"/>
    <col min="12824" max="12824" bestFit="1" width="7.85546875" customWidth="1"/>
    <col min="12825" max="12825" width="6.5703125" customWidth="1"/>
    <col min="12826" max="12826" width="8.42578125" customWidth="1"/>
    <col min="12827" max="12827" width="12.28515625" customWidth="1"/>
    <col min="12828" max="12829" width="8.42578125" customWidth="1"/>
    <col min="12830" max="12831" width="10.28515625" customWidth="1"/>
    <col min="12832" max="12832" width="8.5703125" customWidth="1"/>
    <col min="12833" max="12833" bestFit="1" width="8.42578125" customWidth="1"/>
    <col min="12834" max="12835" width="17.5703125" customWidth="1"/>
    <col min="13057" max="13058" width="9.7109375" customWidth="1"/>
    <col min="13059" max="13059" width="26" customWidth="1"/>
    <col min="13062" max="13062" width="7" customWidth="1"/>
    <col min="13063" max="13063" width="7.140625" customWidth="1"/>
    <col min="13064" max="13064" width="9.5703125" customWidth="1"/>
    <col min="13065" max="13065" width="7.42578125" customWidth="1"/>
    <col min="13066" max="13066" width="6" customWidth="1"/>
    <col min="13067" max="13067" width="5.42578125" customWidth="1"/>
    <col min="13068" max="13068" bestFit="1" width="7" customWidth="1"/>
    <col min="13069" max="13073" width="7.85546875" customWidth="1"/>
    <col min="13074" max="13074" width="12" customWidth="1"/>
    <col min="13075" max="13075" bestFit="1" width="5.85546875" customWidth="1"/>
    <col min="13076" max="13076" bestFit="1" width="4.7109375" customWidth="1"/>
    <col min="13077" max="13077" bestFit="1" width="4" customWidth="1"/>
    <col min="13078" max="13078" bestFit="1" width="7" customWidth="1"/>
    <col min="13079" max="13079" bestFit="1" width="4" customWidth="1"/>
    <col min="13080" max="13080" bestFit="1" width="7.85546875" customWidth="1"/>
    <col min="13081" max="13081" width="6.5703125" customWidth="1"/>
    <col min="13082" max="13082" width="8.42578125" customWidth="1"/>
    <col min="13083" max="13083" width="12.28515625" customWidth="1"/>
    <col min="13084" max="13085" width="8.42578125" customWidth="1"/>
    <col min="13086" max="13087" width="10.28515625" customWidth="1"/>
    <col min="13088" max="13088" width="8.5703125" customWidth="1"/>
    <col min="13089" max="13089" bestFit="1" width="8.42578125" customWidth="1"/>
    <col min="13090" max="13091" width="17.5703125" customWidth="1"/>
    <col min="13313" max="13314" width="9.7109375" customWidth="1"/>
    <col min="13315" max="13315" width="26" customWidth="1"/>
    <col min="13318" max="13318" width="7" customWidth="1"/>
    <col min="13319" max="13319" width="7.140625" customWidth="1"/>
    <col min="13320" max="13320" width="9.5703125" customWidth="1"/>
    <col min="13321" max="13321" width="7.42578125" customWidth="1"/>
    <col min="13322" max="13322" width="6" customWidth="1"/>
    <col min="13323" max="13323" width="5.42578125" customWidth="1"/>
    <col min="13324" max="13324" bestFit="1" width="7" customWidth="1"/>
    <col min="13325" max="13329" width="7.85546875" customWidth="1"/>
    <col min="13330" max="13330" width="12" customWidth="1"/>
    <col min="13331" max="13331" bestFit="1" width="5.85546875" customWidth="1"/>
    <col min="13332" max="13332" bestFit="1" width="4.7109375" customWidth="1"/>
    <col min="13333" max="13333" bestFit="1" width="4" customWidth="1"/>
    <col min="13334" max="13334" bestFit="1" width="7" customWidth="1"/>
    <col min="13335" max="13335" bestFit="1" width="4" customWidth="1"/>
    <col min="13336" max="13336" bestFit="1" width="7.85546875" customWidth="1"/>
    <col min="13337" max="13337" width="6.5703125" customWidth="1"/>
    <col min="13338" max="13338" width="8.42578125" customWidth="1"/>
    <col min="13339" max="13339" width="12.28515625" customWidth="1"/>
    <col min="13340" max="13341" width="8.42578125" customWidth="1"/>
    <col min="13342" max="13343" width="10.28515625" customWidth="1"/>
    <col min="13344" max="13344" width="8.5703125" customWidth="1"/>
    <col min="13345" max="13345" bestFit="1" width="8.42578125" customWidth="1"/>
    <col min="13346" max="13347" width="17.5703125" customWidth="1"/>
    <col min="13569" max="13570" width="9.7109375" customWidth="1"/>
    <col min="13571" max="13571" width="26" customWidth="1"/>
    <col min="13574" max="13574" width="7" customWidth="1"/>
    <col min="13575" max="13575" width="7.140625" customWidth="1"/>
    <col min="13576" max="13576" width="9.5703125" customWidth="1"/>
    <col min="13577" max="13577" width="7.42578125" customWidth="1"/>
    <col min="13578" max="13578" width="6" customWidth="1"/>
    <col min="13579" max="13579" width="5.42578125" customWidth="1"/>
    <col min="13580" max="13580" bestFit="1" width="7" customWidth="1"/>
    <col min="13581" max="13585" width="7.85546875" customWidth="1"/>
    <col min="13586" max="13586" width="12" customWidth="1"/>
    <col min="13587" max="13587" bestFit="1" width="5.85546875" customWidth="1"/>
    <col min="13588" max="13588" bestFit="1" width="4.7109375" customWidth="1"/>
    <col min="13589" max="13589" bestFit="1" width="4" customWidth="1"/>
    <col min="13590" max="13590" bestFit="1" width="7" customWidth="1"/>
    <col min="13591" max="13591" bestFit="1" width="4" customWidth="1"/>
    <col min="13592" max="13592" bestFit="1" width="7.85546875" customWidth="1"/>
    <col min="13593" max="13593" width="6.5703125" customWidth="1"/>
    <col min="13594" max="13594" width="8.42578125" customWidth="1"/>
    <col min="13595" max="13595" width="12.28515625" customWidth="1"/>
    <col min="13596" max="13597" width="8.42578125" customWidth="1"/>
    <col min="13598" max="13599" width="10.28515625" customWidth="1"/>
    <col min="13600" max="13600" width="8.5703125" customWidth="1"/>
    <col min="13601" max="13601" bestFit="1" width="8.42578125" customWidth="1"/>
    <col min="13602" max="13603" width="17.5703125" customWidth="1"/>
    <col min="13825" max="13826" width="9.7109375" customWidth="1"/>
    <col min="13827" max="13827" width="26" customWidth="1"/>
    <col min="13830" max="13830" width="7" customWidth="1"/>
    <col min="13831" max="13831" width="7.140625" customWidth="1"/>
    <col min="13832" max="13832" width="9.5703125" customWidth="1"/>
    <col min="13833" max="13833" width="7.42578125" customWidth="1"/>
    <col min="13834" max="13834" width="6" customWidth="1"/>
    <col min="13835" max="13835" width="5.42578125" customWidth="1"/>
    <col min="13836" max="13836" bestFit="1" width="7" customWidth="1"/>
    <col min="13837" max="13841" width="7.85546875" customWidth="1"/>
    <col min="13842" max="13842" width="12" customWidth="1"/>
    <col min="13843" max="13843" bestFit="1" width="5.85546875" customWidth="1"/>
    <col min="13844" max="13844" bestFit="1" width="4.7109375" customWidth="1"/>
    <col min="13845" max="13845" bestFit="1" width="4" customWidth="1"/>
    <col min="13846" max="13846" bestFit="1" width="7" customWidth="1"/>
    <col min="13847" max="13847" bestFit="1" width="4" customWidth="1"/>
    <col min="13848" max="13848" bestFit="1" width="7.85546875" customWidth="1"/>
    <col min="13849" max="13849" width="6.5703125" customWidth="1"/>
    <col min="13850" max="13850" width="8.42578125" customWidth="1"/>
    <col min="13851" max="13851" width="12.28515625" customWidth="1"/>
    <col min="13852" max="13853" width="8.42578125" customWidth="1"/>
    <col min="13854" max="13855" width="10.28515625" customWidth="1"/>
    <col min="13856" max="13856" width="8.5703125" customWidth="1"/>
    <col min="13857" max="13857" bestFit="1" width="8.42578125" customWidth="1"/>
    <col min="13858" max="13859" width="17.5703125" customWidth="1"/>
    <col min="14081" max="14082" width="9.7109375" customWidth="1"/>
    <col min="14083" max="14083" width="26" customWidth="1"/>
    <col min="14086" max="14086" width="7" customWidth="1"/>
    <col min="14087" max="14087" width="7.140625" customWidth="1"/>
    <col min="14088" max="14088" width="9.5703125" customWidth="1"/>
    <col min="14089" max="14089" width="7.42578125" customWidth="1"/>
    <col min="14090" max="14090" width="6" customWidth="1"/>
    <col min="14091" max="14091" width="5.42578125" customWidth="1"/>
    <col min="14092" max="14092" bestFit="1" width="7" customWidth="1"/>
    <col min="14093" max="14097" width="7.85546875" customWidth="1"/>
    <col min="14098" max="14098" width="12" customWidth="1"/>
    <col min="14099" max="14099" bestFit="1" width="5.85546875" customWidth="1"/>
    <col min="14100" max="14100" bestFit="1" width="4.7109375" customWidth="1"/>
    <col min="14101" max="14101" bestFit="1" width="4" customWidth="1"/>
    <col min="14102" max="14102" bestFit="1" width="7" customWidth="1"/>
    <col min="14103" max="14103" bestFit="1" width="4" customWidth="1"/>
    <col min="14104" max="14104" bestFit="1" width="7.85546875" customWidth="1"/>
    <col min="14105" max="14105" width="6.5703125" customWidth="1"/>
    <col min="14106" max="14106" width="8.42578125" customWidth="1"/>
    <col min="14107" max="14107" width="12.28515625" customWidth="1"/>
    <col min="14108" max="14109" width="8.42578125" customWidth="1"/>
    <col min="14110" max="14111" width="10.28515625" customWidth="1"/>
    <col min="14112" max="14112" width="8.5703125" customWidth="1"/>
    <col min="14113" max="14113" bestFit="1" width="8.42578125" customWidth="1"/>
    <col min="14114" max="14115" width="17.5703125" customWidth="1"/>
    <col min="14337" max="14338" width="9.7109375" customWidth="1"/>
    <col min="14339" max="14339" width="26" customWidth="1"/>
    <col min="14342" max="14342" width="7" customWidth="1"/>
    <col min="14343" max="14343" width="7.140625" customWidth="1"/>
    <col min="14344" max="14344" width="9.5703125" customWidth="1"/>
    <col min="14345" max="14345" width="7.42578125" customWidth="1"/>
    <col min="14346" max="14346" width="6" customWidth="1"/>
    <col min="14347" max="14347" width="5.42578125" customWidth="1"/>
    <col min="14348" max="14348" bestFit="1" width="7" customWidth="1"/>
    <col min="14349" max="14353" width="7.85546875" customWidth="1"/>
    <col min="14354" max="14354" width="12" customWidth="1"/>
    <col min="14355" max="14355" bestFit="1" width="5.85546875" customWidth="1"/>
    <col min="14356" max="14356" bestFit="1" width="4.7109375" customWidth="1"/>
    <col min="14357" max="14357" bestFit="1" width="4" customWidth="1"/>
    <col min="14358" max="14358" bestFit="1" width="7" customWidth="1"/>
    <col min="14359" max="14359" bestFit="1" width="4" customWidth="1"/>
    <col min="14360" max="14360" bestFit="1" width="7.85546875" customWidth="1"/>
    <col min="14361" max="14361" width="6.5703125" customWidth="1"/>
    <col min="14362" max="14362" width="8.42578125" customWidth="1"/>
    <col min="14363" max="14363" width="12.28515625" customWidth="1"/>
    <col min="14364" max="14365" width="8.42578125" customWidth="1"/>
    <col min="14366" max="14367" width="10.28515625" customWidth="1"/>
    <col min="14368" max="14368" width="8.5703125" customWidth="1"/>
    <col min="14369" max="14369" bestFit="1" width="8.42578125" customWidth="1"/>
    <col min="14370" max="14371" width="17.5703125" customWidth="1"/>
    <col min="14593" max="14594" width="9.7109375" customWidth="1"/>
    <col min="14595" max="14595" width="26" customWidth="1"/>
    <col min="14598" max="14598" width="7" customWidth="1"/>
    <col min="14599" max="14599" width="7.140625" customWidth="1"/>
    <col min="14600" max="14600" width="9.5703125" customWidth="1"/>
    <col min="14601" max="14601" width="7.42578125" customWidth="1"/>
    <col min="14602" max="14602" width="6" customWidth="1"/>
    <col min="14603" max="14603" width="5.42578125" customWidth="1"/>
    <col min="14604" max="14604" bestFit="1" width="7" customWidth="1"/>
    <col min="14605" max="14609" width="7.85546875" customWidth="1"/>
    <col min="14610" max="14610" width="12" customWidth="1"/>
    <col min="14611" max="14611" bestFit="1" width="5.85546875" customWidth="1"/>
    <col min="14612" max="14612" bestFit="1" width="4.7109375" customWidth="1"/>
    <col min="14613" max="14613" bestFit="1" width="4" customWidth="1"/>
    <col min="14614" max="14614" bestFit="1" width="7" customWidth="1"/>
    <col min="14615" max="14615" bestFit="1" width="4" customWidth="1"/>
    <col min="14616" max="14616" bestFit="1" width="7.85546875" customWidth="1"/>
    <col min="14617" max="14617" width="6.5703125" customWidth="1"/>
    <col min="14618" max="14618" width="8.42578125" customWidth="1"/>
    <col min="14619" max="14619" width="12.28515625" customWidth="1"/>
    <col min="14620" max="14621" width="8.42578125" customWidth="1"/>
    <col min="14622" max="14623" width="10.28515625" customWidth="1"/>
    <col min="14624" max="14624" width="8.5703125" customWidth="1"/>
    <col min="14625" max="14625" bestFit="1" width="8.42578125" customWidth="1"/>
    <col min="14626" max="14627" width="17.5703125" customWidth="1"/>
    <col min="14849" max="14850" width="9.7109375" customWidth="1"/>
    <col min="14851" max="14851" width="26" customWidth="1"/>
    <col min="14854" max="14854" width="7" customWidth="1"/>
    <col min="14855" max="14855" width="7.140625" customWidth="1"/>
    <col min="14856" max="14856" width="9.5703125" customWidth="1"/>
    <col min="14857" max="14857" width="7.42578125" customWidth="1"/>
    <col min="14858" max="14858" width="6" customWidth="1"/>
    <col min="14859" max="14859" width="5.42578125" customWidth="1"/>
    <col min="14860" max="14860" bestFit="1" width="7" customWidth="1"/>
    <col min="14861" max="14865" width="7.85546875" customWidth="1"/>
    <col min="14866" max="14866" width="12" customWidth="1"/>
    <col min="14867" max="14867" bestFit="1" width="5.85546875" customWidth="1"/>
    <col min="14868" max="14868" bestFit="1" width="4.7109375" customWidth="1"/>
    <col min="14869" max="14869" bestFit="1" width="4" customWidth="1"/>
    <col min="14870" max="14870" bestFit="1" width="7" customWidth="1"/>
    <col min="14871" max="14871" bestFit="1" width="4" customWidth="1"/>
    <col min="14872" max="14872" bestFit="1" width="7.85546875" customWidth="1"/>
    <col min="14873" max="14873" width="6.5703125" customWidth="1"/>
    <col min="14874" max="14874" width="8.42578125" customWidth="1"/>
    <col min="14875" max="14875" width="12.28515625" customWidth="1"/>
    <col min="14876" max="14877" width="8.42578125" customWidth="1"/>
    <col min="14878" max="14879" width="10.28515625" customWidth="1"/>
    <col min="14880" max="14880" width="8.5703125" customWidth="1"/>
    <col min="14881" max="14881" bestFit="1" width="8.42578125" customWidth="1"/>
    <col min="14882" max="14883" width="17.5703125" customWidth="1"/>
    <col min="15105" max="15106" width="9.7109375" customWidth="1"/>
    <col min="15107" max="15107" width="26" customWidth="1"/>
    <col min="15110" max="15110" width="7" customWidth="1"/>
    <col min="15111" max="15111" width="7.140625" customWidth="1"/>
    <col min="15112" max="15112" width="9.5703125" customWidth="1"/>
    <col min="15113" max="15113" width="7.42578125" customWidth="1"/>
    <col min="15114" max="15114" width="6" customWidth="1"/>
    <col min="15115" max="15115" width="5.42578125" customWidth="1"/>
    <col min="15116" max="15116" bestFit="1" width="7" customWidth="1"/>
    <col min="15117" max="15121" width="7.85546875" customWidth="1"/>
    <col min="15122" max="15122" width="12" customWidth="1"/>
    <col min="15123" max="15123" bestFit="1" width="5.85546875" customWidth="1"/>
    <col min="15124" max="15124" bestFit="1" width="4.7109375" customWidth="1"/>
    <col min="15125" max="15125" bestFit="1" width="4" customWidth="1"/>
    <col min="15126" max="15126" bestFit="1" width="7" customWidth="1"/>
    <col min="15127" max="15127" bestFit="1" width="4" customWidth="1"/>
    <col min="15128" max="15128" bestFit="1" width="7.85546875" customWidth="1"/>
    <col min="15129" max="15129" width="6.5703125" customWidth="1"/>
    <col min="15130" max="15130" width="8.42578125" customWidth="1"/>
    <col min="15131" max="15131" width="12.28515625" customWidth="1"/>
    <col min="15132" max="15133" width="8.42578125" customWidth="1"/>
    <col min="15134" max="15135" width="10.28515625" customWidth="1"/>
    <col min="15136" max="15136" width="8.5703125" customWidth="1"/>
    <col min="15137" max="15137" bestFit="1" width="8.42578125" customWidth="1"/>
    <col min="15138" max="15139" width="17.5703125" customWidth="1"/>
    <col min="15361" max="15362" width="9.7109375" customWidth="1"/>
    <col min="15363" max="15363" width="26" customWidth="1"/>
    <col min="15366" max="15366" width="7" customWidth="1"/>
    <col min="15367" max="15367" width="7.140625" customWidth="1"/>
    <col min="15368" max="15368" width="9.5703125" customWidth="1"/>
    <col min="15369" max="15369" width="7.42578125" customWidth="1"/>
    <col min="15370" max="15370" width="6" customWidth="1"/>
    <col min="15371" max="15371" width="5.42578125" customWidth="1"/>
    <col min="15372" max="15372" bestFit="1" width="7" customWidth="1"/>
    <col min="15373" max="15377" width="7.85546875" customWidth="1"/>
    <col min="15378" max="15378" width="12" customWidth="1"/>
    <col min="15379" max="15379" bestFit="1" width="5.85546875" customWidth="1"/>
    <col min="15380" max="15380" bestFit="1" width="4.7109375" customWidth="1"/>
    <col min="15381" max="15381" bestFit="1" width="4" customWidth="1"/>
    <col min="15382" max="15382" bestFit="1" width="7" customWidth="1"/>
    <col min="15383" max="15383" bestFit="1" width="4" customWidth="1"/>
    <col min="15384" max="15384" bestFit="1" width="7.85546875" customWidth="1"/>
    <col min="15385" max="15385" width="6.5703125" customWidth="1"/>
    <col min="15386" max="15386" width="8.42578125" customWidth="1"/>
    <col min="15387" max="15387" width="12.28515625" customWidth="1"/>
    <col min="15388" max="15389" width="8.42578125" customWidth="1"/>
    <col min="15390" max="15391" width="10.28515625" customWidth="1"/>
    <col min="15392" max="15392" width="8.5703125" customWidth="1"/>
    <col min="15393" max="15393" bestFit="1" width="8.42578125" customWidth="1"/>
    <col min="15394" max="15395" width="17.5703125" customWidth="1"/>
    <col min="15617" max="15618" width="9.7109375" customWidth="1"/>
    <col min="15619" max="15619" width="26" customWidth="1"/>
    <col min="15622" max="15622" width="7" customWidth="1"/>
    <col min="15623" max="15623" width="7.140625" customWidth="1"/>
    <col min="15624" max="15624" width="9.5703125" customWidth="1"/>
    <col min="15625" max="15625" width="7.42578125" customWidth="1"/>
    <col min="15626" max="15626" width="6" customWidth="1"/>
    <col min="15627" max="15627" width="5.42578125" customWidth="1"/>
    <col min="15628" max="15628" bestFit="1" width="7" customWidth="1"/>
    <col min="15629" max="15633" width="7.85546875" customWidth="1"/>
    <col min="15634" max="15634" width="12" customWidth="1"/>
    <col min="15635" max="15635" bestFit="1" width="5.85546875" customWidth="1"/>
    <col min="15636" max="15636" bestFit="1" width="4.7109375" customWidth="1"/>
    <col min="15637" max="15637" bestFit="1" width="4" customWidth="1"/>
    <col min="15638" max="15638" bestFit="1" width="7" customWidth="1"/>
    <col min="15639" max="15639" bestFit="1" width="4" customWidth="1"/>
    <col min="15640" max="15640" bestFit="1" width="7.85546875" customWidth="1"/>
    <col min="15641" max="15641" width="6.5703125" customWidth="1"/>
    <col min="15642" max="15642" width="8.42578125" customWidth="1"/>
    <col min="15643" max="15643" width="12.28515625" customWidth="1"/>
    <col min="15644" max="15645" width="8.42578125" customWidth="1"/>
    <col min="15646" max="15647" width="10.28515625" customWidth="1"/>
    <col min="15648" max="15648" width="8.5703125" customWidth="1"/>
    <col min="15649" max="15649" bestFit="1" width="8.42578125" customWidth="1"/>
    <col min="15650" max="15651" width="17.5703125" customWidth="1"/>
    <col min="15873" max="15874" width="9.7109375" customWidth="1"/>
    <col min="15875" max="15875" width="26" customWidth="1"/>
    <col min="15878" max="15878" width="7" customWidth="1"/>
    <col min="15879" max="15879" width="7.140625" customWidth="1"/>
    <col min="15880" max="15880" width="9.5703125" customWidth="1"/>
    <col min="15881" max="15881" width="7.42578125" customWidth="1"/>
    <col min="15882" max="15882" width="6" customWidth="1"/>
    <col min="15883" max="15883" width="5.42578125" customWidth="1"/>
    <col min="15884" max="15884" bestFit="1" width="7" customWidth="1"/>
    <col min="15885" max="15889" width="7.85546875" customWidth="1"/>
    <col min="15890" max="15890" width="12" customWidth="1"/>
    <col min="15891" max="15891" bestFit="1" width="5.85546875" customWidth="1"/>
    <col min="15892" max="15892" bestFit="1" width="4.7109375" customWidth="1"/>
    <col min="15893" max="15893" bestFit="1" width="4" customWidth="1"/>
    <col min="15894" max="15894" bestFit="1" width="7" customWidth="1"/>
    <col min="15895" max="15895" bestFit="1" width="4" customWidth="1"/>
    <col min="15896" max="15896" bestFit="1" width="7.85546875" customWidth="1"/>
    <col min="15897" max="15897" width="6.5703125" customWidth="1"/>
    <col min="15898" max="15898" width="8.42578125" customWidth="1"/>
    <col min="15899" max="15899" width="12.28515625" customWidth="1"/>
    <col min="15900" max="15901" width="8.42578125" customWidth="1"/>
    <col min="15902" max="15903" width="10.28515625" customWidth="1"/>
    <col min="15904" max="15904" width="8.5703125" customWidth="1"/>
    <col min="15905" max="15905" bestFit="1" width="8.42578125" customWidth="1"/>
    <col min="15906" max="15907" width="17.5703125" customWidth="1"/>
    <col min="16129" max="16130" width="9.7109375" customWidth="1"/>
    <col min="16131" max="16131" width="26" customWidth="1"/>
    <col min="16134" max="16134" width="7" customWidth="1"/>
    <col min="16135" max="16135" width="7.140625" customWidth="1"/>
    <col min="16136" max="16136" width="9.5703125" customWidth="1"/>
    <col min="16137" max="16137" width="7.42578125" customWidth="1"/>
    <col min="16138" max="16138" width="6" customWidth="1"/>
    <col min="16139" max="16139" width="5.42578125" customWidth="1"/>
    <col min="16140" max="16140" bestFit="1" width="7" customWidth="1"/>
    <col min="16141" max="16145" width="7.85546875" customWidth="1"/>
    <col min="16146" max="16146" width="12" customWidth="1"/>
    <col min="16147" max="16147" bestFit="1" width="5.85546875" customWidth="1"/>
    <col min="16148" max="16148" bestFit="1" width="4.7109375" customWidth="1"/>
    <col min="16149" max="16149" bestFit="1" width="4" customWidth="1"/>
    <col min="16150" max="16150" bestFit="1" width="7" customWidth="1"/>
    <col min="16151" max="16151" bestFit="1" width="4" customWidth="1"/>
    <col min="16152" max="16152" bestFit="1" width="7.85546875" customWidth="1"/>
    <col min="16153" max="16153" width="6.5703125" customWidth="1"/>
    <col min="16154" max="16154" width="8.42578125" customWidth="1"/>
    <col min="16155" max="16155" width="12.28515625" customWidth="1"/>
    <col min="16156" max="16157" width="8.42578125" customWidth="1"/>
    <col min="16158" max="16159" width="10.28515625" customWidth="1"/>
    <col min="16160" max="16160" width="8.5703125" customWidth="1"/>
    <col min="16161" max="16161" bestFit="1" width="8.42578125" customWidth="1"/>
    <col min="16162" max="16163" width="17.5703125" customWidth="1"/>
  </cols>
  <sheetData>
    <row r="1" ht="21.75" customHeight="1">
      <c r="A1" s="453" t="s">
        <v>186</v>
      </c>
      <c r="B1" s="453"/>
      <c r="C1" s="453"/>
      <c r="D1" s="453"/>
      <c r="E1" s="453"/>
      <c r="F1" s="453"/>
      <c r="G1" s="453"/>
      <c r="H1" s="453"/>
      <c r="I1" s="453"/>
      <c r="J1" s="453"/>
      <c r="K1" s="453"/>
      <c r="L1" s="453"/>
      <c r="M1" s="453"/>
      <c r="N1" s="453"/>
      <c r="O1" s="453"/>
      <c r="P1" s="453"/>
      <c r="Q1" s="453"/>
      <c r="R1" s="453"/>
      <c r="S1" s="453"/>
      <c r="T1" s="453"/>
      <c r="U1" s="453"/>
      <c r="V1" s="453"/>
      <c r="W1" s="453"/>
      <c r="X1" s="453"/>
      <c r="Y1" s="453"/>
      <c r="Z1" s="453"/>
      <c r="AA1" s="453"/>
      <c r="AB1" s="453"/>
      <c r="AC1" s="453"/>
      <c r="AD1" s="453"/>
      <c r="AE1" s="453"/>
      <c r="AF1" s="453"/>
      <c r="AI1" s="454" t="s">
        <v>187</v>
      </c>
      <c r="AJ1" s="454"/>
    </row>
    <row r="2" ht="21.75" customHeight="1">
      <c r="A2" s="453" t="s">
        <v>188</v>
      </c>
      <c r="B2" s="453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/>
      <c r="R2" s="453"/>
      <c r="S2" s="453"/>
      <c r="T2" s="453"/>
      <c r="U2" s="453"/>
      <c r="V2" s="453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I2" s="454"/>
      <c r="AJ2" s="454"/>
    </row>
    <row r="3" ht="10.5" customHeight="1">
      <c r="A3" s="455"/>
      <c r="B3" s="455"/>
      <c r="C3" s="453"/>
      <c r="D3" s="453"/>
      <c r="E3" s="453"/>
      <c r="F3" s="453"/>
      <c r="G3" s="453"/>
      <c r="H3" s="453"/>
      <c r="I3" s="453"/>
      <c r="J3" s="453"/>
      <c r="K3" s="453"/>
      <c r="L3" s="453"/>
      <c r="M3" s="453"/>
      <c r="N3" s="453"/>
      <c r="O3" s="453"/>
      <c r="P3" s="453"/>
      <c r="Q3" s="453"/>
      <c r="R3" s="453"/>
      <c r="S3" s="453"/>
      <c r="T3" s="453"/>
      <c r="U3" s="453"/>
      <c r="V3" s="453"/>
      <c r="W3" s="453"/>
      <c r="X3" s="453"/>
      <c r="Y3" s="453"/>
      <c r="Z3" s="453"/>
      <c r="AA3" s="453"/>
      <c r="AB3" s="453"/>
      <c r="AC3" s="453"/>
      <c r="AD3" s="453"/>
      <c r="AE3" s="453"/>
      <c r="AF3" s="453"/>
      <c r="AI3" s="454"/>
      <c r="AJ3" s="454"/>
    </row>
    <row r="4" ht="30.75" customHeight="1" s="456" customFormat="1">
      <c r="A4" s="457" t="s">
        <v>189</v>
      </c>
      <c r="B4" s="457"/>
      <c r="C4" s="457"/>
      <c r="D4" s="457"/>
      <c r="E4" s="457"/>
      <c r="F4" s="457"/>
      <c r="G4" s="457"/>
      <c r="H4" s="457"/>
      <c r="I4" s="457"/>
      <c r="J4" s="457"/>
      <c r="K4" s="457"/>
      <c r="L4" s="457"/>
      <c r="M4" s="457"/>
      <c r="N4" s="457"/>
      <c r="O4" s="457"/>
      <c r="P4" s="457"/>
      <c r="Q4" s="457"/>
      <c r="R4" s="457"/>
      <c r="S4" s="457"/>
      <c r="T4" s="457"/>
      <c r="U4" s="457"/>
      <c r="V4" s="457"/>
      <c r="W4" s="457"/>
      <c r="X4" s="457"/>
      <c r="Y4" s="457"/>
      <c r="Z4" s="457"/>
      <c r="AA4" s="457"/>
      <c r="AB4" s="457"/>
      <c r="AC4" s="457"/>
      <c r="AD4" s="457"/>
      <c r="AE4" s="457"/>
      <c r="AF4" s="457"/>
      <c r="AI4" s="453">
        <v>1</v>
      </c>
      <c r="AJ4" s="333" t="s">
        <v>190</v>
      </c>
    </row>
    <row r="5" ht="22.5" customHeight="1" s="458" customFormat="1">
      <c r="A5" s="457"/>
      <c r="B5" s="457"/>
      <c r="C5" s="457"/>
      <c r="D5" s="457"/>
      <c r="E5" s="457"/>
      <c r="F5" s="457"/>
      <c r="G5" s="457"/>
      <c r="H5" s="459" t="s">
        <v>191</v>
      </c>
      <c r="I5" s="460"/>
      <c r="J5" s="460"/>
      <c r="K5" s="460"/>
      <c r="L5" s="460"/>
      <c r="M5" s="459" t="s">
        <v>192</v>
      </c>
      <c r="N5" s="460"/>
      <c r="O5" s="460"/>
      <c r="P5" s="460"/>
      <c r="Q5" s="460"/>
      <c r="R5" s="460"/>
      <c r="S5" s="460"/>
      <c r="T5" s="460"/>
      <c r="U5" s="461"/>
      <c r="V5" s="457" t="s">
        <v>193</v>
      </c>
      <c r="W5" s="457"/>
      <c r="X5" s="457"/>
      <c r="Y5" s="457"/>
      <c r="Z5" s="457"/>
      <c r="AA5" s="457" t="s">
        <v>194</v>
      </c>
      <c r="AB5" s="457"/>
      <c r="AC5" s="457"/>
      <c r="AD5" s="457"/>
      <c r="AE5" s="457"/>
      <c r="AF5" s="457"/>
      <c r="AI5" s="453">
        <v>2</v>
      </c>
      <c r="AJ5" s="333" t="s">
        <v>195</v>
      </c>
    </row>
    <row r="6" ht="22.5" customHeight="1" s="458" customFormat="1">
      <c r="A6" s="225" t="s">
        <v>196</v>
      </c>
      <c r="B6" s="225"/>
      <c r="C6" s="225"/>
      <c r="D6" s="225"/>
      <c r="E6" s="225"/>
      <c r="F6" s="225"/>
      <c r="G6" s="225"/>
      <c r="H6" s="462"/>
      <c r="I6" s="463"/>
      <c r="J6" s="463"/>
      <c r="K6" s="463"/>
      <c r="L6" s="463"/>
      <c r="M6" s="462" t="s">
        <v>197</v>
      </c>
      <c r="N6" s="463"/>
      <c r="O6" s="463"/>
      <c r="P6" s="463"/>
      <c r="Q6" s="463"/>
      <c r="R6" s="463"/>
      <c r="S6" s="463"/>
      <c r="T6" s="463"/>
      <c r="U6" s="464"/>
      <c r="V6" s="465"/>
      <c r="W6" s="465"/>
      <c r="X6" s="465"/>
      <c r="Y6" s="465"/>
      <c r="Z6" s="465"/>
      <c r="AA6" s="465"/>
      <c r="AB6" s="465"/>
      <c r="AC6" s="465"/>
      <c r="AD6" s="465"/>
      <c r="AE6" s="465"/>
      <c r="AF6" s="465"/>
      <c r="AI6" s="453">
        <v>3</v>
      </c>
      <c r="AJ6" s="333" t="s">
        <v>198</v>
      </c>
    </row>
    <row r="7" ht="22.5" customHeight="1" s="458" customFormat="1">
      <c r="A7" s="225" t="s">
        <v>199</v>
      </c>
      <c r="B7" s="225"/>
      <c r="C7" s="225"/>
      <c r="D7" s="225"/>
      <c r="E7" s="225"/>
      <c r="F7" s="225"/>
      <c r="G7" s="225"/>
      <c r="H7" s="466"/>
      <c r="I7" s="467"/>
      <c r="J7" s="467"/>
      <c r="K7" s="467"/>
      <c r="L7" s="467"/>
      <c r="M7" s="466"/>
      <c r="N7" s="467"/>
      <c r="O7" s="467"/>
      <c r="P7" s="467"/>
      <c r="Q7" s="467"/>
      <c r="R7" s="467"/>
      <c r="S7" s="467"/>
      <c r="T7" s="467"/>
      <c r="U7" s="468"/>
      <c r="V7" s="465"/>
      <c r="W7" s="465"/>
      <c r="X7" s="465"/>
      <c r="Y7" s="465"/>
      <c r="Z7" s="465"/>
      <c r="AA7" s="465"/>
      <c r="AB7" s="465"/>
      <c r="AC7" s="465"/>
      <c r="AD7" s="465"/>
      <c r="AE7" s="465"/>
      <c r="AF7" s="465"/>
      <c r="AI7" s="453">
        <v>4</v>
      </c>
      <c r="AJ7" s="333" t="s">
        <v>200</v>
      </c>
    </row>
    <row r="8" ht="22.5" customHeight="1" s="458" customFormat="1">
      <c r="A8" s="225" t="s">
        <v>201</v>
      </c>
      <c r="B8" s="225"/>
      <c r="C8" s="225"/>
      <c r="D8" s="225"/>
      <c r="E8" s="225"/>
      <c r="F8" s="225"/>
      <c r="G8" s="225"/>
      <c r="H8" s="469"/>
      <c r="I8" s="470"/>
      <c r="J8" s="470"/>
      <c r="K8" s="470"/>
      <c r="L8" s="470"/>
      <c r="M8" s="469"/>
      <c r="N8" s="470"/>
      <c r="O8" s="470"/>
      <c r="P8" s="470"/>
      <c r="Q8" s="470"/>
      <c r="R8" s="470"/>
      <c r="S8" s="470"/>
      <c r="T8" s="470"/>
      <c r="U8" s="471"/>
      <c r="V8" s="472"/>
      <c r="W8" s="457"/>
      <c r="X8" s="457"/>
      <c r="Y8" s="457"/>
      <c r="Z8" s="457"/>
      <c r="AA8" s="472"/>
      <c r="AB8" s="472"/>
      <c r="AC8" s="472"/>
      <c r="AD8" s="472"/>
      <c r="AE8" s="472"/>
      <c r="AF8" s="472"/>
      <c r="AI8" s="453">
        <v>5</v>
      </c>
      <c r="AJ8" s="333" t="s">
        <v>202</v>
      </c>
    </row>
    <row r="9" ht="13.5" customHeight="1" s="458" customFormat="1">
      <c r="A9" s="473"/>
      <c r="B9" s="473"/>
      <c r="C9" s="473"/>
      <c r="D9" s="473"/>
      <c r="E9" s="473"/>
      <c r="F9" s="473"/>
      <c r="G9" s="473"/>
      <c r="H9" s="474"/>
      <c r="I9" s="474"/>
      <c r="J9" s="474"/>
      <c r="K9" s="474"/>
      <c r="L9" s="474"/>
      <c r="M9" s="474"/>
      <c r="N9" s="474"/>
      <c r="O9" s="474"/>
      <c r="P9" s="474"/>
      <c r="Q9" s="474"/>
      <c r="R9" s="453"/>
      <c r="S9" s="453"/>
      <c r="T9" s="453"/>
      <c r="U9" s="453"/>
      <c r="V9" s="474"/>
      <c r="W9" s="453"/>
      <c r="X9" s="453"/>
      <c r="Y9" s="453"/>
      <c r="Z9" s="453"/>
      <c r="AA9" s="474"/>
      <c r="AB9" s="474"/>
      <c r="AC9" s="474"/>
      <c r="AD9" s="474"/>
      <c r="AE9" s="474"/>
      <c r="AF9" s="474"/>
      <c r="AI9" s="453"/>
      <c r="AJ9" s="333"/>
    </row>
    <row r="10" ht="30" customHeight="1" s="458" customFormat="1">
      <c r="A10" s="475" t="s">
        <v>203</v>
      </c>
      <c r="B10" s="475"/>
      <c r="C10" s="475"/>
      <c r="D10" s="475"/>
      <c r="E10" s="475"/>
      <c r="F10" s="475"/>
      <c r="G10" s="475"/>
      <c r="H10" s="475"/>
      <c r="I10" s="476" t="s">
        <v>204</v>
      </c>
      <c r="J10" s="475" t="s">
        <v>22</v>
      </c>
      <c r="K10" s="475"/>
      <c r="L10" s="475"/>
      <c r="M10" s="475"/>
      <c r="N10" s="475"/>
      <c r="O10" s="475"/>
      <c r="P10" s="475"/>
      <c r="Q10" s="475"/>
      <c r="R10" s="475"/>
      <c r="S10" s="475"/>
      <c r="T10" s="475"/>
      <c r="U10" s="475"/>
      <c r="V10" s="475"/>
      <c r="W10" s="475"/>
      <c r="X10" s="475"/>
      <c r="Y10" s="475"/>
      <c r="Z10" s="475"/>
      <c r="AA10" s="475"/>
      <c r="AB10" s="475"/>
      <c r="AC10" s="475"/>
      <c r="AD10" s="475"/>
      <c r="AE10" s="475"/>
      <c r="AF10" s="475"/>
      <c r="AI10" s="453">
        <v>6</v>
      </c>
      <c r="AJ10" s="333" t="s">
        <v>205</v>
      </c>
    </row>
    <row r="11" ht="11.25" customHeight="1" s="458" customFormat="1">
      <c r="A11" s="475"/>
      <c r="B11" s="475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75"/>
      <c r="R11" s="475"/>
      <c r="S11" s="477"/>
      <c r="T11" s="478"/>
      <c r="U11" s="478"/>
      <c r="V11" s="478"/>
      <c r="W11" s="478"/>
      <c r="X11" s="478"/>
      <c r="Y11" s="228"/>
      <c r="Z11" s="479"/>
      <c r="AA11" s="480"/>
      <c r="AB11" s="481"/>
      <c r="AC11" s="481"/>
      <c r="AD11" s="481"/>
      <c r="AE11" s="481"/>
      <c r="AF11" s="479"/>
      <c r="AI11" s="453"/>
      <c r="AJ11" s="333"/>
    </row>
    <row r="12" ht="30" customHeight="1" s="458" customFormat="1">
      <c r="A12" s="478" t="s">
        <v>206</v>
      </c>
      <c r="B12" s="478"/>
      <c r="C12" s="478"/>
      <c r="D12" s="478"/>
      <c r="E12" s="478"/>
      <c r="F12" s="478"/>
      <c r="G12" s="478"/>
      <c r="H12" s="478"/>
      <c r="I12" s="476" t="s">
        <v>204</v>
      </c>
      <c r="J12" s="475" t="s">
        <v>107</v>
      </c>
      <c r="K12" s="475"/>
      <c r="L12" s="475"/>
      <c r="M12" s="475"/>
      <c r="N12" s="475"/>
      <c r="O12" s="475"/>
      <c r="P12" s="475"/>
      <c r="Q12" s="475"/>
      <c r="R12" s="475"/>
      <c r="S12" s="475"/>
      <c r="T12" s="475"/>
      <c r="U12" s="475"/>
      <c r="V12" s="475"/>
      <c r="W12" s="475"/>
      <c r="X12" s="475"/>
      <c r="Y12" s="475"/>
      <c r="Z12" s="475"/>
      <c r="AA12" s="475"/>
      <c r="AB12" s="475"/>
      <c r="AC12" s="475"/>
      <c r="AD12" s="475"/>
      <c r="AE12" s="475"/>
      <c r="AF12" s="475"/>
      <c r="AI12" s="453">
        <v>7</v>
      </c>
      <c r="AJ12" s="333" t="s">
        <v>207</v>
      </c>
    </row>
    <row r="13" ht="8.25" customHeight="1" s="458" customFormat="1">
      <c r="A13" s="482"/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2"/>
      <c r="O13" s="482"/>
      <c r="P13" s="482"/>
      <c r="Q13" s="482"/>
      <c r="R13" s="482"/>
      <c r="S13" s="483"/>
      <c r="T13" s="483"/>
      <c r="U13" s="483"/>
      <c r="V13" s="483"/>
      <c r="W13" s="483"/>
      <c r="X13" s="483"/>
      <c r="Y13" s="483"/>
      <c r="Z13" s="483"/>
      <c r="AA13" s="483"/>
      <c r="AB13" s="483"/>
      <c r="AC13" s="483"/>
      <c r="AD13" s="483"/>
      <c r="AE13" s="483"/>
      <c r="AF13" s="483"/>
      <c r="AI13" s="453"/>
      <c r="AJ13" s="333"/>
    </row>
    <row r="14" ht="30" customHeight="1" s="458" customFormat="1">
      <c r="A14" s="475" t="s">
        <v>208</v>
      </c>
      <c r="B14" s="475"/>
      <c r="C14" s="475"/>
      <c r="D14" s="475"/>
      <c r="E14" s="475"/>
      <c r="F14" s="475"/>
      <c r="G14" s="475"/>
      <c r="H14" s="475"/>
      <c r="I14" s="476" t="s">
        <v>204</v>
      </c>
      <c r="J14" s="475" t="s">
        <v>209</v>
      </c>
      <c r="K14" s="475"/>
      <c r="L14" s="475"/>
      <c r="M14" s="475"/>
      <c r="N14" s="475"/>
      <c r="O14" s="475"/>
      <c r="P14" s="475"/>
      <c r="Q14" s="475"/>
      <c r="R14" s="475"/>
      <c r="S14" s="475"/>
      <c r="T14" s="475"/>
      <c r="U14" s="475"/>
      <c r="V14" s="475"/>
      <c r="W14" s="475"/>
      <c r="X14" s="475"/>
      <c r="Y14" s="475"/>
      <c r="Z14" s="475"/>
      <c r="AA14" s="475"/>
      <c r="AB14" s="475"/>
      <c r="AC14" s="475"/>
      <c r="AD14" s="475"/>
      <c r="AE14" s="475"/>
      <c r="AF14" s="475"/>
      <c r="AI14" s="453"/>
      <c r="AJ14" s="333"/>
    </row>
    <row r="15" ht="6" customHeight="1" s="458" customFormat="1">
      <c r="A15" s="482"/>
      <c r="B15" s="482"/>
      <c r="C15" s="482"/>
      <c r="D15" s="482"/>
      <c r="E15" s="482"/>
      <c r="F15" s="482"/>
      <c r="G15" s="482"/>
      <c r="H15" s="482"/>
      <c r="I15" s="482"/>
      <c r="J15" s="482"/>
      <c r="K15" s="482"/>
      <c r="L15" s="482"/>
      <c r="M15" s="482"/>
      <c r="N15" s="482"/>
      <c r="O15" s="482"/>
      <c r="P15" s="482"/>
      <c r="Q15" s="482"/>
      <c r="R15" s="482"/>
      <c r="S15" s="483"/>
      <c r="T15" s="483"/>
      <c r="U15" s="483"/>
      <c r="V15" s="483"/>
      <c r="W15" s="483"/>
      <c r="X15" s="483"/>
      <c r="Y15" s="483"/>
      <c r="Z15" s="483"/>
      <c r="AA15" s="483"/>
      <c r="AB15" s="483"/>
      <c r="AC15" s="483"/>
      <c r="AD15" s="483"/>
      <c r="AE15" s="483"/>
      <c r="AF15" s="483"/>
      <c r="AI15" s="453"/>
      <c r="AJ15" s="333"/>
    </row>
    <row r="16" ht="30" customHeight="1" s="458" customFormat="1">
      <c r="A16" s="475" t="s">
        <v>210</v>
      </c>
      <c r="B16" s="475"/>
      <c r="C16" s="475"/>
      <c r="D16" s="475"/>
      <c r="E16" s="475"/>
      <c r="F16" s="475"/>
      <c r="G16" s="475"/>
      <c r="H16" s="475"/>
      <c r="I16" s="476" t="s">
        <v>204</v>
      </c>
      <c r="J16" s="475"/>
      <c r="K16" s="475"/>
      <c r="L16" s="475"/>
      <c r="M16" s="475"/>
      <c r="N16" s="475"/>
      <c r="O16" s="475"/>
      <c r="P16" s="475"/>
      <c r="Q16" s="475"/>
      <c r="R16" s="475"/>
      <c r="S16" s="475"/>
      <c r="T16" s="475"/>
      <c r="U16" s="475"/>
      <c r="V16" s="475"/>
      <c r="W16" s="475"/>
      <c r="X16" s="475"/>
      <c r="Y16" s="484" t="s">
        <v>211</v>
      </c>
      <c r="Z16" s="484"/>
      <c r="AA16" s="484"/>
      <c r="AB16" s="485" t="s">
        <v>212</v>
      </c>
      <c r="AC16" s="485"/>
      <c r="AD16" s="485"/>
      <c r="AE16" s="485"/>
      <c r="AF16" s="484"/>
      <c r="AI16" s="453"/>
      <c r="AJ16" s="333"/>
    </row>
    <row r="17" ht="8.25" customHeight="1" s="458" customFormat="1">
      <c r="A17" s="478"/>
      <c r="B17" s="478"/>
      <c r="C17" s="478"/>
      <c r="D17" s="478"/>
      <c r="E17" s="478"/>
      <c r="F17" s="478"/>
      <c r="G17" s="478"/>
      <c r="H17" s="478"/>
      <c r="I17" s="478"/>
      <c r="J17" s="478"/>
      <c r="K17" s="478"/>
      <c r="L17" s="478"/>
      <c r="M17" s="478"/>
      <c r="N17" s="478"/>
      <c r="O17" s="478"/>
      <c r="P17" s="478"/>
      <c r="Q17" s="478"/>
      <c r="R17" s="478"/>
      <c r="S17" s="473"/>
      <c r="T17" s="473"/>
      <c r="U17" s="473"/>
      <c r="V17" s="473"/>
      <c r="W17" s="473"/>
      <c r="X17" s="483"/>
      <c r="Y17" s="479"/>
      <c r="Z17" s="483"/>
      <c r="AA17" s="483"/>
      <c r="AB17" s="483"/>
      <c r="AC17" s="483"/>
      <c r="AD17" s="483"/>
      <c r="AE17" s="483"/>
      <c r="AF17" s="483"/>
      <c r="AI17" s="453"/>
      <c r="AJ17" s="333"/>
    </row>
    <row r="18" ht="40.5" customHeight="1" s="458" customFormat="1">
      <c r="A18" s="475" t="s">
        <v>213</v>
      </c>
      <c r="B18" s="475"/>
      <c r="C18" s="475"/>
      <c r="D18" s="475"/>
      <c r="E18" s="475"/>
      <c r="F18" s="475"/>
      <c r="G18" s="475"/>
      <c r="H18" s="475"/>
      <c r="I18" s="476" t="s">
        <v>204</v>
      </c>
      <c r="J18" s="475" t="s">
        <v>214</v>
      </c>
      <c r="K18" s="475"/>
      <c r="L18" s="475"/>
      <c r="M18" s="475"/>
      <c r="N18" s="475"/>
      <c r="O18" s="475"/>
      <c r="P18" s="475"/>
      <c r="Q18" s="475"/>
      <c r="R18" s="475"/>
      <c r="S18" s="475"/>
      <c r="T18" s="475"/>
      <c r="U18" s="475"/>
      <c r="V18" s="475"/>
      <c r="W18" s="475"/>
      <c r="X18" s="475"/>
      <c r="Y18" s="483" t="s">
        <v>215</v>
      </c>
      <c r="Z18" s="476"/>
      <c r="AA18" s="476"/>
      <c r="AB18" s="476"/>
      <c r="AC18" s="476"/>
      <c r="AD18" s="476"/>
      <c r="AE18" s="476"/>
      <c r="AF18" s="476"/>
      <c r="AI18" s="453"/>
      <c r="AJ18" s="333"/>
    </row>
    <row r="19" ht="8.25" customHeight="1" s="458" customFormat="1">
      <c r="A19" s="482"/>
      <c r="B19" s="482"/>
      <c r="C19" s="482"/>
      <c r="D19" s="482"/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3"/>
      <c r="T19" s="483"/>
      <c r="U19" s="483"/>
      <c r="V19" s="483"/>
      <c r="W19" s="483"/>
      <c r="X19" s="483"/>
      <c r="Y19" s="483"/>
      <c r="Z19" s="483"/>
      <c r="AA19" s="483"/>
      <c r="AB19" s="483"/>
      <c r="AC19" s="483"/>
      <c r="AD19" s="483"/>
      <c r="AE19" s="483"/>
      <c r="AF19" s="483"/>
      <c r="AI19" s="453"/>
      <c r="AJ19" s="333"/>
    </row>
    <row r="20" ht="21" customHeight="1">
      <c r="A20" s="486" t="s">
        <v>139</v>
      </c>
      <c r="B20" s="486" t="s">
        <v>216</v>
      </c>
      <c r="C20" s="487" t="s">
        <v>217</v>
      </c>
      <c r="D20" s="486" t="s">
        <v>218</v>
      </c>
      <c r="E20" s="486" t="s">
        <v>219</v>
      </c>
      <c r="F20" s="487" t="s">
        <v>220</v>
      </c>
      <c r="G20" s="488" t="s">
        <v>221</v>
      </c>
      <c r="H20" s="486" t="s">
        <v>222</v>
      </c>
      <c r="I20" s="486" t="s">
        <v>199</v>
      </c>
      <c r="J20" s="488" t="s">
        <v>223</v>
      </c>
      <c r="K20" s="488" t="s">
        <v>224</v>
      </c>
      <c r="L20" s="489" t="s">
        <v>225</v>
      </c>
      <c r="M20" s="489" t="s">
        <v>226</v>
      </c>
      <c r="N20" s="488" t="s">
        <v>227</v>
      </c>
      <c r="O20" s="488" t="s">
        <v>228</v>
      </c>
      <c r="P20" s="488" t="s">
        <v>229</v>
      </c>
      <c r="Q20" s="488" t="s">
        <v>230</v>
      </c>
      <c r="R20" s="487" t="s">
        <v>231</v>
      </c>
      <c r="S20" s="490" t="s">
        <v>232</v>
      </c>
      <c r="T20" s="490"/>
      <c r="U20" s="490"/>
      <c r="V20" s="490"/>
      <c r="W20" s="490"/>
      <c r="X20" s="490"/>
      <c r="Y20" s="490"/>
      <c r="Z20" s="490"/>
      <c r="AA20" s="487" t="s">
        <v>233</v>
      </c>
      <c r="AB20" s="487" t="s">
        <v>234</v>
      </c>
      <c r="AC20" s="487" t="s">
        <v>235</v>
      </c>
      <c r="AD20" s="487" t="s">
        <v>236</v>
      </c>
      <c r="AE20" s="487" t="s">
        <v>237</v>
      </c>
      <c r="AF20" s="487" t="s">
        <v>238</v>
      </c>
      <c r="AI20" s="453"/>
      <c r="AJ20" s="333"/>
    </row>
    <row r="21" ht="114" customHeight="1">
      <c r="A21" s="491"/>
      <c r="B21" s="491"/>
      <c r="C21" s="487"/>
      <c r="D21" s="491"/>
      <c r="E21" s="491"/>
      <c r="F21" s="487"/>
      <c r="G21" s="492"/>
      <c r="H21" s="491"/>
      <c r="I21" s="491"/>
      <c r="J21" s="492"/>
      <c r="K21" s="492"/>
      <c r="L21" s="489"/>
      <c r="M21" s="489"/>
      <c r="N21" s="492"/>
      <c r="O21" s="492"/>
      <c r="P21" s="492"/>
      <c r="Q21" s="492"/>
      <c r="R21" s="487"/>
      <c r="S21" s="489" t="s">
        <v>239</v>
      </c>
      <c r="T21" s="489" t="s">
        <v>240</v>
      </c>
      <c r="U21" s="489" t="s">
        <v>241</v>
      </c>
      <c r="V21" s="489" t="s">
        <v>242</v>
      </c>
      <c r="W21" s="489" t="s">
        <v>243</v>
      </c>
      <c r="X21" s="487" t="s">
        <v>244</v>
      </c>
      <c r="Y21" s="489" t="s">
        <v>245</v>
      </c>
      <c r="Z21" s="487" t="s">
        <v>246</v>
      </c>
      <c r="AA21" s="487"/>
      <c r="AB21" s="487"/>
      <c r="AC21" s="487"/>
      <c r="AD21" s="487"/>
      <c r="AE21" s="487"/>
      <c r="AF21" s="487"/>
    </row>
    <row r="22" ht="22.5" customHeight="1" s="456" customFormat="1">
      <c r="A22" s="493">
        <v>1</v>
      </c>
      <c r="B22" s="493" t="s">
        <v>247</v>
      </c>
      <c r="C22" s="494">
        <v>2</v>
      </c>
      <c r="D22" s="495">
        <v>3</v>
      </c>
      <c r="E22" s="495" t="s">
        <v>248</v>
      </c>
      <c r="F22" s="494">
        <v>4</v>
      </c>
      <c r="G22" s="494">
        <v>5</v>
      </c>
      <c r="H22" s="494">
        <v>6</v>
      </c>
      <c r="I22" s="494">
        <v>7</v>
      </c>
      <c r="J22" s="494">
        <v>8</v>
      </c>
      <c r="K22" s="494">
        <v>9</v>
      </c>
      <c r="L22" s="494">
        <v>10</v>
      </c>
      <c r="M22" s="494" t="s">
        <v>249</v>
      </c>
      <c r="N22" s="494" t="s">
        <v>250</v>
      </c>
      <c r="O22" s="494" t="s">
        <v>251</v>
      </c>
      <c r="P22" s="494" t="s">
        <v>252</v>
      </c>
      <c r="Q22" s="494" t="s">
        <v>253</v>
      </c>
      <c r="R22" s="494">
        <v>11</v>
      </c>
      <c r="S22" s="494">
        <v>12</v>
      </c>
      <c r="T22" s="494">
        <v>13</v>
      </c>
      <c r="U22" s="494">
        <v>14</v>
      </c>
      <c r="V22" s="494">
        <v>15</v>
      </c>
      <c r="W22" s="494">
        <v>16</v>
      </c>
      <c r="X22" s="496">
        <v>17</v>
      </c>
      <c r="Y22" s="494">
        <v>18</v>
      </c>
      <c r="Z22" s="494">
        <v>19</v>
      </c>
      <c r="AA22" s="494">
        <v>20</v>
      </c>
      <c r="AB22" s="494">
        <v>21</v>
      </c>
      <c r="AC22" s="494">
        <v>22</v>
      </c>
      <c r="AD22" s="494">
        <v>23</v>
      </c>
      <c r="AE22" s="494">
        <v>24</v>
      </c>
      <c r="AF22" s="494">
        <v>25</v>
      </c>
    </row>
    <row r="23" ht="84" s="497" customFormat="1">
      <c r="A23" s="498">
        <v>1</v>
      </c>
      <c r="B23" s="498" t="s">
        <v>254</v>
      </c>
      <c r="C23" s="499" t="s">
        <v>255</v>
      </c>
      <c r="D23" s="500">
        <v>760</v>
      </c>
      <c r="E23" s="501">
        <v>19760</v>
      </c>
      <c r="F23" s="502">
        <v>26</v>
      </c>
      <c r="G23" s="503"/>
      <c r="H23" s="501">
        <v>19760</v>
      </c>
      <c r="I23" s="501"/>
      <c r="J23" s="498"/>
      <c r="K23" s="498"/>
      <c r="L23" s="498"/>
      <c r="M23" s="498"/>
      <c r="N23" s="498"/>
      <c r="O23" s="498"/>
      <c r="P23" s="498"/>
      <c r="Q23" s="498"/>
      <c r="R23" s="504">
        <v>19760</v>
      </c>
      <c r="S23" s="501">
        <v>1800</v>
      </c>
      <c r="T23" s="498">
        <v>149</v>
      </c>
      <c r="U23" s="498"/>
      <c r="V23" s="498"/>
      <c r="W23" s="498"/>
      <c r="X23" s="498"/>
      <c r="Y23" s="501"/>
      <c r="Z23" s="504">
        <v>1949</v>
      </c>
      <c r="AA23" s="505">
        <v>17811</v>
      </c>
      <c r="AB23" s="501">
        <f>IF(H23&gt;15000,15000*13%,H23*13%)</f>
        <v>1950</v>
      </c>
      <c r="AC23" s="501">
        <f>IF(H23&gt;21000,21000*3.25%,H23*3.25%)</f>
        <v>642.2</v>
      </c>
      <c r="AD23" s="506" t="s">
        <v>256</v>
      </c>
      <c r="AE23" s="506" t="s">
        <v>257</v>
      </c>
      <c r="AF23" s="507" t="s">
        <v>258</v>
      </c>
      <c r="AG23" s="508"/>
      <c r="AH23" s="508"/>
      <c r="AI23" s="508"/>
      <c r="AJ23" s="508"/>
    </row>
    <row r="24" ht="84.75" s="497" customFormat="1">
      <c r="A24" s="498">
        <v>2</v>
      </c>
      <c r="B24" s="498" t="s">
        <v>259</v>
      </c>
      <c r="C24" s="499" t="s">
        <v>260</v>
      </c>
      <c r="D24" s="500">
        <v>760</v>
      </c>
      <c r="E24" s="501">
        <v>19760</v>
      </c>
      <c r="F24" s="502">
        <v>26</v>
      </c>
      <c r="G24" s="503"/>
      <c r="H24" s="501">
        <v>19760</v>
      </c>
      <c r="I24" s="501"/>
      <c r="J24" s="498"/>
      <c r="K24" s="498"/>
      <c r="L24" s="498"/>
      <c r="M24" s="498"/>
      <c r="N24" s="498"/>
      <c r="O24" s="498"/>
      <c r="P24" s="498"/>
      <c r="Q24" s="498"/>
      <c r="R24" s="504">
        <v>19760</v>
      </c>
      <c r="S24" s="501">
        <v>1800</v>
      </c>
      <c r="T24" s="498">
        <v>149</v>
      </c>
      <c r="U24" s="498"/>
      <c r="V24" s="498"/>
      <c r="W24" s="498"/>
      <c r="X24" s="498"/>
      <c r="Y24" s="501"/>
      <c r="Z24" s="504">
        <v>1949</v>
      </c>
      <c r="AA24" s="505">
        <v>17811</v>
      </c>
      <c r="AB24" s="501">
        <f>IF(H24&gt;15000,15000*13%,H24*13%)</f>
        <v>1950</v>
      </c>
      <c r="AC24" s="501">
        <f>IF(H24&gt;21000,21000*3.25%,H24*3.25%)</f>
        <v>642.2</v>
      </c>
      <c r="AD24" s="506" t="s">
        <v>256</v>
      </c>
      <c r="AE24" s="506" t="s">
        <v>257</v>
      </c>
      <c r="AF24" s="507" t="s">
        <v>258</v>
      </c>
      <c r="AG24" s="508"/>
      <c r="AH24" s="508"/>
      <c r="AI24" s="508"/>
      <c r="AJ24" s="508"/>
    </row>
    <row r="25" ht="30" customHeight="1" s="509" customFormat="1">
      <c r="A25" s="510"/>
      <c r="B25" s="511"/>
      <c r="C25" s="512" t="s">
        <v>174</v>
      </c>
      <c r="D25" s="513">
        <f ref="D25:AC25" t="shared" si="0">SUM(D23:D24)</f>
        <v>1520</v>
      </c>
      <c r="E25" s="513">
        <f t="shared" si="0"/>
        <v>39520</v>
      </c>
      <c r="F25" s="513">
        <f t="shared" si="0"/>
        <v>52</v>
      </c>
      <c r="G25" s="513">
        <f t="shared" si="0"/>
        <v>0</v>
      </c>
      <c r="H25" s="513">
        <f t="shared" si="0"/>
        <v>39520</v>
      </c>
      <c r="I25" s="513">
        <f t="shared" si="0"/>
        <v>0</v>
      </c>
      <c r="J25" s="513">
        <f t="shared" si="0"/>
        <v>0</v>
      </c>
      <c r="K25" s="513">
        <f t="shared" si="0"/>
        <v>0</v>
      </c>
      <c r="L25" s="513">
        <f t="shared" si="0"/>
        <v>0</v>
      </c>
      <c r="M25" s="513">
        <f t="shared" si="0"/>
        <v>0</v>
      </c>
      <c r="N25" s="513">
        <f t="shared" si="0"/>
        <v>0</v>
      </c>
      <c r="O25" s="513">
        <f t="shared" si="0"/>
        <v>0</v>
      </c>
      <c r="P25" s="513">
        <f t="shared" si="0"/>
        <v>0</v>
      </c>
      <c r="Q25" s="513">
        <f t="shared" si="0"/>
        <v>0</v>
      </c>
      <c r="R25" s="513">
        <f t="shared" si="0"/>
        <v>39520</v>
      </c>
      <c r="S25" s="513">
        <f t="shared" si="0"/>
        <v>3600</v>
      </c>
      <c r="T25" s="513">
        <f t="shared" si="0"/>
        <v>298</v>
      </c>
      <c r="U25" s="513">
        <f t="shared" si="0"/>
        <v>0</v>
      </c>
      <c r="V25" s="513">
        <f t="shared" si="0"/>
        <v>0</v>
      </c>
      <c r="W25" s="513">
        <f t="shared" si="0"/>
        <v>0</v>
      </c>
      <c r="X25" s="513">
        <f t="shared" si="0"/>
        <v>0</v>
      </c>
      <c r="Y25" s="513">
        <f t="shared" si="0"/>
        <v>0</v>
      </c>
      <c r="Z25" s="513">
        <f t="shared" si="0"/>
        <v>3898</v>
      </c>
      <c r="AA25" s="513">
        <f t="shared" si="0"/>
        <v>35622</v>
      </c>
      <c r="AB25" s="513">
        <f t="shared" si="0"/>
        <v>3900</v>
      </c>
      <c r="AC25" s="513">
        <f t="shared" si="0"/>
        <v>1284.4</v>
      </c>
      <c r="AD25" s="513"/>
      <c r="AE25" s="513"/>
      <c r="AF25" s="513"/>
    </row>
    <row r="26" ht="30" customHeight="1" s="509" customFormat="1">
      <c r="C26" s="514"/>
      <c r="D26" s="515"/>
      <c r="E26" s="515"/>
      <c r="F26" s="516"/>
      <c r="G26" s="516"/>
      <c r="H26" s="516"/>
      <c r="I26" s="516"/>
      <c r="J26" s="516"/>
      <c r="K26" s="516"/>
      <c r="L26" s="516"/>
      <c r="M26" s="516"/>
      <c r="N26" s="516"/>
      <c r="O26" s="516"/>
      <c r="P26" s="516"/>
      <c r="Q26" s="516"/>
      <c r="R26" s="516"/>
      <c r="S26" s="516"/>
      <c r="T26" s="516"/>
      <c r="U26" s="516"/>
      <c r="V26" s="516"/>
      <c r="W26" s="516"/>
      <c r="X26" s="516"/>
      <c r="Y26" s="516"/>
      <c r="Z26" s="516"/>
      <c r="AA26" s="516"/>
      <c r="AB26" s="516"/>
      <c r="AC26" s="516"/>
      <c r="AD26" s="516"/>
      <c r="AE26" s="516"/>
    </row>
    <row r="27">
      <c r="R27" s="517"/>
    </row>
    <row r="28" ht="18.75" s="518" customFormat="1"/>
  </sheetData>
  <mergeCells>
    <mergeCell ref="A18:H18"/>
    <mergeCell ref="J18:X18"/>
    <mergeCell ref="AD20:AD21"/>
    <mergeCell ref="AE20:AE21"/>
    <mergeCell ref="AB20:AB21"/>
    <mergeCell ref="C20:C21"/>
    <mergeCell ref="D20:D21"/>
    <mergeCell ref="F20:F21"/>
    <mergeCell ref="L20:L21"/>
    <mergeCell ref="K20:K21"/>
    <mergeCell ref="H20:H21"/>
    <mergeCell ref="I20:I21"/>
    <mergeCell ref="A20:A21"/>
    <mergeCell ref="G20:G21"/>
    <mergeCell ref="J20:J21"/>
    <mergeCell ref="E20:E21"/>
    <mergeCell ref="AF20:AF21"/>
    <mergeCell ref="O20:O21"/>
    <mergeCell ref="R20:R21"/>
    <mergeCell ref="S20:Z20"/>
    <mergeCell ref="AA20:AA21"/>
    <mergeCell ref="Q20:Q21"/>
    <mergeCell ref="P20:P21"/>
    <mergeCell ref="AC20:AC21"/>
    <mergeCell ref="AA8:AF8"/>
    <mergeCell ref="AB16:AF16"/>
    <mergeCell ref="A10:H10"/>
    <mergeCell ref="A12:H12"/>
    <mergeCell ref="A14:H14"/>
    <mergeCell ref="J10:AF10"/>
    <mergeCell ref="J12:AF12"/>
    <mergeCell ref="J14:AF14"/>
    <mergeCell ref="A16:H16"/>
    <mergeCell ref="J16:X16"/>
    <mergeCell ref="Y16:AA16"/>
    <mergeCell ref="A7:G7"/>
    <mergeCell ref="A8:G8"/>
    <mergeCell ref="H8:L8"/>
    <mergeCell ref="M8:U8"/>
    <mergeCell ref="V8:Z8"/>
    <mergeCell ref="N20:N21"/>
    <mergeCell ref="B20:B21"/>
    <mergeCell ref="M20:M21"/>
    <mergeCell ref="A1:AF1"/>
    <mergeCell ref="A2:AF2"/>
    <mergeCell ref="A4:AF4"/>
    <mergeCell ref="AA5:AF5"/>
    <mergeCell ref="AA6:AF7"/>
    <mergeCell ref="A5:G5"/>
    <mergeCell ref="H5:L5"/>
    <mergeCell ref="M5:U5"/>
    <mergeCell ref="V5:Z5"/>
    <mergeCell ref="A6:G6"/>
    <mergeCell ref="H6:L7"/>
    <mergeCell ref="M6:U7"/>
    <mergeCell ref="V6:Z7"/>
  </mergeCells>
  <printOptions horizontalCentered="1"/>
  <pageMargins left="0.25" right="0.25" top="0.75" bottom="0.75" header="0.3" footer="0.3"/>
  <pageSetup paperSize="9" scale="50" fitToHeight="0" orientation="landscape"/>
  <headerFooter>
    <oddFooter>&amp;C_x000D_&amp;1#&amp;"Calibri"&amp;10&amp;K000000 Classified - Confidential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68610-219F-4A18-B6E5-B552EA43F2C6}">
  <dimension ref="A2:F16"/>
  <sheetViews>
    <sheetView workbookViewId="0">
      <selection activeCell="D15" sqref="D15"/>
    </sheetView>
  </sheetViews>
  <sheetFormatPr defaultRowHeight="12.75" x14ac:dyDescent="0.2"/>
  <cols>
    <col min="1" max="1" width="29.140625" customWidth="1"/>
    <col min="2" max="2" width="26.7109375" customWidth="1"/>
    <col min="3" max="3" bestFit="1" width="15.5703125" customWidth="1"/>
    <col min="4" max="4" bestFit="1" width="10.140625" customWidth="1"/>
    <col min="5" max="5" bestFit="1" width="29.140625" customWidth="1"/>
    <col min="6" max="6" bestFit="1" width="30" customWidth="1"/>
    <col min="7" max="7" width="11.5703125" customWidth="1"/>
  </cols>
  <sheetData>
    <row r="2">
      <c r="A2" s="360"/>
      <c r="E2" s="360" t="s">
        <v>261</v>
      </c>
      <c r="F2" s="360" t="s">
        <v>262</v>
      </c>
    </row>
    <row r="3">
      <c r="A3" s="360"/>
      <c r="B3" s="452"/>
      <c r="E3" s="0">
        <v>695</v>
      </c>
      <c r="F3" s="0">
        <v>760</v>
      </c>
    </row>
    <row r="4">
      <c r="A4" s="360" t="s">
        <v>109</v>
      </c>
      <c r="B4" s="519">
        <v>45964</v>
      </c>
    </row>
    <row r="5">
      <c r="A5" s="360" t="s">
        <v>263</v>
      </c>
      <c r="B5" s="0" t="str">
        <f>WgPrd</f>
        <v>01 Oct 2025 To 31 Oct 2025</v>
      </c>
    </row>
    <row r="6">
      <c r="A6" s="360" t="s">
        <v>128</v>
      </c>
      <c r="B6" s="360" t="s">
        <v>264</v>
      </c>
    </row>
    <row r="7">
      <c r="A7" s="360" t="s">
        <v>265</v>
      </c>
      <c r="B7" s="0">
        <f>B2/52</f>
        <v>0</v>
      </c>
    </row>
    <row r="8">
      <c r="A8" s="0" t="s">
        <v>130</v>
      </c>
      <c r="B8" s="520">
        <v>45964</v>
      </c>
    </row>
    <row r="9">
      <c r="A9" s="360" t="s">
        <v>266</v>
      </c>
      <c r="B9" s="0">
        <v>22</v>
      </c>
      <c r="C9" s="0" t="str">
        <f>A9&amp;B9</f>
        <v>RA BILL NO-22</v>
      </c>
    </row>
    <row r="10">
      <c r="A10" s="360" t="s">
        <v>267</v>
      </c>
      <c r="B10" s="521" t="s">
        <v>268</v>
      </c>
    </row>
    <row r="12">
      <c r="A12" s="0" t="s">
        <v>269</v>
      </c>
      <c r="B12" s="0">
        <v>2511430013888</v>
      </c>
      <c r="C12" s="0" t="s">
        <v>270</v>
      </c>
      <c r="D12" s="522" t="s">
        <v>271</v>
      </c>
    </row>
    <row r="13">
      <c r="A13" s="0" t="s">
        <v>272</v>
      </c>
      <c r="B13" s="360" t="s">
        <v>273</v>
      </c>
      <c r="C13" s="0" t="s">
        <v>272</v>
      </c>
      <c r="D13" s="0">
        <v>43210</v>
      </c>
    </row>
    <row r="14">
      <c r="A14" s="0" t="s">
        <v>274</v>
      </c>
      <c r="B14" s="523" t="s">
        <v>275</v>
      </c>
      <c r="C14" s="0" t="s">
        <v>274</v>
      </c>
      <c r="D14" s="523">
        <v>45972</v>
      </c>
    </row>
    <row r="15">
      <c r="D15" s="524"/>
    </row>
    <row r="16">
      <c r="A16" s="360" t="s">
        <v>276</v>
      </c>
      <c r="B16" s="525" cm="1">
        <f ref="B16:D16" t="array">'Tax Invoice'!J42:L42</f>
        <v>57609</v>
      </c>
      <c r="C16" s="0">
        <v>0</v>
      </c>
      <c r="D16" s="0">
        <v>0</v>
      </c>
    </row>
  </sheetData>
  <pageMargins left="0.7" right="0.7" top="0.75" bottom="0.75" header="0.3" footer="0.3"/>
  <pageSetup orientation="portrait" horizontalDpi="300" verticalDpi="300"/>
  <headerFooter>
    <oddFooter>&amp;C_x000D_&amp;1#&amp;"Calibri"&amp;10&amp;K000000 Classified - Confidential</oddFooter>
  </headerFooter>
  <drawing r:id="rId2"/>
  <legacyDrawing r:id="rId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3" name="Button 7">
              <controlPr defaultSize="0" print="0" autoFill="0" autoPict="0" macro="[0]!MOPAOC">
                <anchor moveWithCells="1" sizeWithCells="1">
                  <from>
                    <xdr:col>4</xdr:col>
                    <xdr:colOff>1181100</xdr:colOff>
                    <xdr:row>6</xdr:row>
                    <xdr:rowOff>104775</xdr:rowOff>
                  </from>
                  <to>
                    <xdr:col>6</xdr:col>
                    <xdr:colOff>352425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55545-4819-42FC-8C38-E66CE9D938C8}">
  <dimension ref="A1:L97"/>
  <sheetViews>
    <sheetView view="pageBreakPreview" topLeftCell="A12" zoomScaleNormal="100" zoomScaleSheetLayoutView="100" workbookViewId="0">
      <selection activeCell="L71" sqref="L71"/>
    </sheetView>
  </sheetViews>
  <sheetFormatPr defaultRowHeight="12.75" x14ac:dyDescent="0.2"/>
  <cols>
    <col min="2" max="2" bestFit="1" width="10.140625" customWidth="1"/>
    <col min="3" max="3" width="8.28515625" customWidth="1"/>
    <col min="4" max="4" width="5.42578125" customWidth="1"/>
    <col min="7" max="7" width="12.42578125" customWidth="1"/>
    <col min="8" max="8" width="6.28515625" customWidth="1"/>
    <col min="9" max="9" width="10.140625" customWidth="1"/>
    <col min="258" max="258" bestFit="1" width="10.140625" customWidth="1"/>
    <col min="259" max="259" width="8.28515625" customWidth="1"/>
    <col min="260" max="260" width="5.42578125" customWidth="1"/>
    <col min="263" max="263" width="12.42578125" customWidth="1"/>
    <col min="264" max="264" width="6.28515625" customWidth="1"/>
    <col min="265" max="265" bestFit="1" width="10.140625" customWidth="1"/>
    <col min="514" max="514" bestFit="1" width="10.140625" customWidth="1"/>
    <col min="515" max="515" width="8.28515625" customWidth="1"/>
    <col min="516" max="516" width="5.42578125" customWidth="1"/>
    <col min="519" max="519" width="12.42578125" customWidth="1"/>
    <col min="520" max="520" width="6.28515625" customWidth="1"/>
    <col min="521" max="521" bestFit="1" width="10.140625" customWidth="1"/>
    <col min="770" max="770" bestFit="1" width="10.140625" customWidth="1"/>
    <col min="771" max="771" width="8.28515625" customWidth="1"/>
    <col min="772" max="772" width="5.42578125" customWidth="1"/>
    <col min="775" max="775" width="12.42578125" customWidth="1"/>
    <col min="776" max="776" width="6.28515625" customWidth="1"/>
    <col min="777" max="777" bestFit="1" width="10.140625" customWidth="1"/>
    <col min="1026" max="1026" bestFit="1" width="10.140625" customWidth="1"/>
    <col min="1027" max="1027" width="8.28515625" customWidth="1"/>
    <col min="1028" max="1028" width="5.42578125" customWidth="1"/>
    <col min="1031" max="1031" width="12.42578125" customWidth="1"/>
    <col min="1032" max="1032" width="6.28515625" customWidth="1"/>
    <col min="1033" max="1033" bestFit="1" width="10.140625" customWidth="1"/>
    <col min="1282" max="1282" bestFit="1" width="10.140625" customWidth="1"/>
    <col min="1283" max="1283" width="8.28515625" customWidth="1"/>
    <col min="1284" max="1284" width="5.42578125" customWidth="1"/>
    <col min="1287" max="1287" width="12.42578125" customWidth="1"/>
    <col min="1288" max="1288" width="6.28515625" customWidth="1"/>
    <col min="1289" max="1289" bestFit="1" width="10.140625" customWidth="1"/>
    <col min="1538" max="1538" bestFit="1" width="10.140625" customWidth="1"/>
    <col min="1539" max="1539" width="8.28515625" customWidth="1"/>
    <col min="1540" max="1540" width="5.42578125" customWidth="1"/>
    <col min="1543" max="1543" width="12.42578125" customWidth="1"/>
    <col min="1544" max="1544" width="6.28515625" customWidth="1"/>
    <col min="1545" max="1545" bestFit="1" width="10.140625" customWidth="1"/>
    <col min="1794" max="1794" bestFit="1" width="10.140625" customWidth="1"/>
    <col min="1795" max="1795" width="8.28515625" customWidth="1"/>
    <col min="1796" max="1796" width="5.42578125" customWidth="1"/>
    <col min="1799" max="1799" width="12.42578125" customWidth="1"/>
    <col min="1800" max="1800" width="6.28515625" customWidth="1"/>
    <col min="1801" max="1801" bestFit="1" width="10.140625" customWidth="1"/>
    <col min="2050" max="2050" bestFit="1" width="10.140625" customWidth="1"/>
    <col min="2051" max="2051" width="8.28515625" customWidth="1"/>
    <col min="2052" max="2052" width="5.42578125" customWidth="1"/>
    <col min="2055" max="2055" width="12.42578125" customWidth="1"/>
    <col min="2056" max="2056" width="6.28515625" customWidth="1"/>
    <col min="2057" max="2057" bestFit="1" width="10.140625" customWidth="1"/>
    <col min="2306" max="2306" bestFit="1" width="10.140625" customWidth="1"/>
    <col min="2307" max="2307" width="8.28515625" customWidth="1"/>
    <col min="2308" max="2308" width="5.42578125" customWidth="1"/>
    <col min="2311" max="2311" width="12.42578125" customWidth="1"/>
    <col min="2312" max="2312" width="6.28515625" customWidth="1"/>
    <col min="2313" max="2313" bestFit="1" width="10.140625" customWidth="1"/>
    <col min="2562" max="2562" bestFit="1" width="10.140625" customWidth="1"/>
    <col min="2563" max="2563" width="8.28515625" customWidth="1"/>
    <col min="2564" max="2564" width="5.42578125" customWidth="1"/>
    <col min="2567" max="2567" width="12.42578125" customWidth="1"/>
    <col min="2568" max="2568" width="6.28515625" customWidth="1"/>
    <col min="2569" max="2569" bestFit="1" width="10.140625" customWidth="1"/>
    <col min="2818" max="2818" bestFit="1" width="10.140625" customWidth="1"/>
    <col min="2819" max="2819" width="8.28515625" customWidth="1"/>
    <col min="2820" max="2820" width="5.42578125" customWidth="1"/>
    <col min="2823" max="2823" width="12.42578125" customWidth="1"/>
    <col min="2824" max="2824" width="6.28515625" customWidth="1"/>
    <col min="2825" max="2825" bestFit="1" width="10.140625" customWidth="1"/>
    <col min="3074" max="3074" bestFit="1" width="10.140625" customWidth="1"/>
    <col min="3075" max="3075" width="8.28515625" customWidth="1"/>
    <col min="3076" max="3076" width="5.42578125" customWidth="1"/>
    <col min="3079" max="3079" width="12.42578125" customWidth="1"/>
    <col min="3080" max="3080" width="6.28515625" customWidth="1"/>
    <col min="3081" max="3081" bestFit="1" width="10.140625" customWidth="1"/>
    <col min="3330" max="3330" bestFit="1" width="10.140625" customWidth="1"/>
    <col min="3331" max="3331" width="8.28515625" customWidth="1"/>
    <col min="3332" max="3332" width="5.42578125" customWidth="1"/>
    <col min="3335" max="3335" width="12.42578125" customWidth="1"/>
    <col min="3336" max="3336" width="6.28515625" customWidth="1"/>
    <col min="3337" max="3337" bestFit="1" width="10.140625" customWidth="1"/>
    <col min="3586" max="3586" bestFit="1" width="10.140625" customWidth="1"/>
    <col min="3587" max="3587" width="8.28515625" customWidth="1"/>
    <col min="3588" max="3588" width="5.42578125" customWidth="1"/>
    <col min="3591" max="3591" width="12.42578125" customWidth="1"/>
    <col min="3592" max="3592" width="6.28515625" customWidth="1"/>
    <col min="3593" max="3593" bestFit="1" width="10.140625" customWidth="1"/>
    <col min="3842" max="3842" bestFit="1" width="10.140625" customWidth="1"/>
    <col min="3843" max="3843" width="8.28515625" customWidth="1"/>
    <col min="3844" max="3844" width="5.42578125" customWidth="1"/>
    <col min="3847" max="3847" width="12.42578125" customWidth="1"/>
    <col min="3848" max="3848" width="6.28515625" customWidth="1"/>
    <col min="3849" max="3849" bestFit="1" width="10.140625" customWidth="1"/>
    <col min="4098" max="4098" bestFit="1" width="10.140625" customWidth="1"/>
    <col min="4099" max="4099" width="8.28515625" customWidth="1"/>
    <col min="4100" max="4100" width="5.42578125" customWidth="1"/>
    <col min="4103" max="4103" width="12.42578125" customWidth="1"/>
    <col min="4104" max="4104" width="6.28515625" customWidth="1"/>
    <col min="4105" max="4105" bestFit="1" width="10.140625" customWidth="1"/>
    <col min="4354" max="4354" bestFit="1" width="10.140625" customWidth="1"/>
    <col min="4355" max="4355" width="8.28515625" customWidth="1"/>
    <col min="4356" max="4356" width="5.42578125" customWidth="1"/>
    <col min="4359" max="4359" width="12.42578125" customWidth="1"/>
    <col min="4360" max="4360" width="6.28515625" customWidth="1"/>
    <col min="4361" max="4361" bestFit="1" width="10.140625" customWidth="1"/>
    <col min="4610" max="4610" bestFit="1" width="10.140625" customWidth="1"/>
    <col min="4611" max="4611" width="8.28515625" customWidth="1"/>
    <col min="4612" max="4612" width="5.42578125" customWidth="1"/>
    <col min="4615" max="4615" width="12.42578125" customWidth="1"/>
    <col min="4616" max="4616" width="6.28515625" customWidth="1"/>
    <col min="4617" max="4617" bestFit="1" width="10.140625" customWidth="1"/>
    <col min="4866" max="4866" bestFit="1" width="10.140625" customWidth="1"/>
    <col min="4867" max="4867" width="8.28515625" customWidth="1"/>
    <col min="4868" max="4868" width="5.42578125" customWidth="1"/>
    <col min="4871" max="4871" width="12.42578125" customWidth="1"/>
    <col min="4872" max="4872" width="6.28515625" customWidth="1"/>
    <col min="4873" max="4873" bestFit="1" width="10.140625" customWidth="1"/>
    <col min="5122" max="5122" bestFit="1" width="10.140625" customWidth="1"/>
    <col min="5123" max="5123" width="8.28515625" customWidth="1"/>
    <col min="5124" max="5124" width="5.42578125" customWidth="1"/>
    <col min="5127" max="5127" width="12.42578125" customWidth="1"/>
    <col min="5128" max="5128" width="6.28515625" customWidth="1"/>
    <col min="5129" max="5129" bestFit="1" width="10.140625" customWidth="1"/>
    <col min="5378" max="5378" bestFit="1" width="10.140625" customWidth="1"/>
    <col min="5379" max="5379" width="8.28515625" customWidth="1"/>
    <col min="5380" max="5380" width="5.42578125" customWidth="1"/>
    <col min="5383" max="5383" width="12.42578125" customWidth="1"/>
    <col min="5384" max="5384" width="6.28515625" customWidth="1"/>
    <col min="5385" max="5385" bestFit="1" width="10.140625" customWidth="1"/>
    <col min="5634" max="5634" bestFit="1" width="10.140625" customWidth="1"/>
    <col min="5635" max="5635" width="8.28515625" customWidth="1"/>
    <col min="5636" max="5636" width="5.42578125" customWidth="1"/>
    <col min="5639" max="5639" width="12.42578125" customWidth="1"/>
    <col min="5640" max="5640" width="6.28515625" customWidth="1"/>
    <col min="5641" max="5641" bestFit="1" width="10.140625" customWidth="1"/>
    <col min="5890" max="5890" bestFit="1" width="10.140625" customWidth="1"/>
    <col min="5891" max="5891" width="8.28515625" customWidth="1"/>
    <col min="5892" max="5892" width="5.42578125" customWidth="1"/>
    <col min="5895" max="5895" width="12.42578125" customWidth="1"/>
    <col min="5896" max="5896" width="6.28515625" customWidth="1"/>
    <col min="5897" max="5897" bestFit="1" width="10.140625" customWidth="1"/>
    <col min="6146" max="6146" bestFit="1" width="10.140625" customWidth="1"/>
    <col min="6147" max="6147" width="8.28515625" customWidth="1"/>
    <col min="6148" max="6148" width="5.42578125" customWidth="1"/>
    <col min="6151" max="6151" width="12.42578125" customWidth="1"/>
    <col min="6152" max="6152" width="6.28515625" customWidth="1"/>
    <col min="6153" max="6153" bestFit="1" width="10.140625" customWidth="1"/>
    <col min="6402" max="6402" bestFit="1" width="10.140625" customWidth="1"/>
    <col min="6403" max="6403" width="8.28515625" customWidth="1"/>
    <col min="6404" max="6404" width="5.42578125" customWidth="1"/>
    <col min="6407" max="6407" width="12.42578125" customWidth="1"/>
    <col min="6408" max="6408" width="6.28515625" customWidth="1"/>
    <col min="6409" max="6409" bestFit="1" width="10.140625" customWidth="1"/>
    <col min="6658" max="6658" bestFit="1" width="10.140625" customWidth="1"/>
    <col min="6659" max="6659" width="8.28515625" customWidth="1"/>
    <col min="6660" max="6660" width="5.42578125" customWidth="1"/>
    <col min="6663" max="6663" width="12.42578125" customWidth="1"/>
    <col min="6664" max="6664" width="6.28515625" customWidth="1"/>
    <col min="6665" max="6665" bestFit="1" width="10.140625" customWidth="1"/>
    <col min="6914" max="6914" bestFit="1" width="10.140625" customWidth="1"/>
    <col min="6915" max="6915" width="8.28515625" customWidth="1"/>
    <col min="6916" max="6916" width="5.42578125" customWidth="1"/>
    <col min="6919" max="6919" width="12.42578125" customWidth="1"/>
    <col min="6920" max="6920" width="6.28515625" customWidth="1"/>
    <col min="6921" max="6921" bestFit="1" width="10.140625" customWidth="1"/>
    <col min="7170" max="7170" bestFit="1" width="10.140625" customWidth="1"/>
    <col min="7171" max="7171" width="8.28515625" customWidth="1"/>
    <col min="7172" max="7172" width="5.42578125" customWidth="1"/>
    <col min="7175" max="7175" width="12.42578125" customWidth="1"/>
    <col min="7176" max="7176" width="6.28515625" customWidth="1"/>
    <col min="7177" max="7177" bestFit="1" width="10.140625" customWidth="1"/>
    <col min="7426" max="7426" bestFit="1" width="10.140625" customWidth="1"/>
    <col min="7427" max="7427" width="8.28515625" customWidth="1"/>
    <col min="7428" max="7428" width="5.42578125" customWidth="1"/>
    <col min="7431" max="7431" width="12.42578125" customWidth="1"/>
    <col min="7432" max="7432" width="6.28515625" customWidth="1"/>
    <col min="7433" max="7433" bestFit="1" width="10.140625" customWidth="1"/>
    <col min="7682" max="7682" bestFit="1" width="10.140625" customWidth="1"/>
    <col min="7683" max="7683" width="8.28515625" customWidth="1"/>
    <col min="7684" max="7684" width="5.42578125" customWidth="1"/>
    <col min="7687" max="7687" width="12.42578125" customWidth="1"/>
    <col min="7688" max="7688" width="6.28515625" customWidth="1"/>
    <col min="7689" max="7689" bestFit="1" width="10.140625" customWidth="1"/>
    <col min="7938" max="7938" bestFit="1" width="10.140625" customWidth="1"/>
    <col min="7939" max="7939" width="8.28515625" customWidth="1"/>
    <col min="7940" max="7940" width="5.42578125" customWidth="1"/>
    <col min="7943" max="7943" width="12.42578125" customWidth="1"/>
    <col min="7944" max="7944" width="6.28515625" customWidth="1"/>
    <col min="7945" max="7945" bestFit="1" width="10.140625" customWidth="1"/>
    <col min="8194" max="8194" bestFit="1" width="10.140625" customWidth="1"/>
    <col min="8195" max="8195" width="8.28515625" customWidth="1"/>
    <col min="8196" max="8196" width="5.42578125" customWidth="1"/>
    <col min="8199" max="8199" width="12.42578125" customWidth="1"/>
    <col min="8200" max="8200" width="6.28515625" customWidth="1"/>
    <col min="8201" max="8201" bestFit="1" width="10.140625" customWidth="1"/>
    <col min="8450" max="8450" bestFit="1" width="10.140625" customWidth="1"/>
    <col min="8451" max="8451" width="8.28515625" customWidth="1"/>
    <col min="8452" max="8452" width="5.42578125" customWidth="1"/>
    <col min="8455" max="8455" width="12.42578125" customWidth="1"/>
    <col min="8456" max="8456" width="6.28515625" customWidth="1"/>
    <col min="8457" max="8457" bestFit="1" width="10.140625" customWidth="1"/>
    <col min="8706" max="8706" bestFit="1" width="10.140625" customWidth="1"/>
    <col min="8707" max="8707" width="8.28515625" customWidth="1"/>
    <col min="8708" max="8708" width="5.42578125" customWidth="1"/>
    <col min="8711" max="8711" width="12.42578125" customWidth="1"/>
    <col min="8712" max="8712" width="6.28515625" customWidth="1"/>
    <col min="8713" max="8713" bestFit="1" width="10.140625" customWidth="1"/>
    <col min="8962" max="8962" bestFit="1" width="10.140625" customWidth="1"/>
    <col min="8963" max="8963" width="8.28515625" customWidth="1"/>
    <col min="8964" max="8964" width="5.42578125" customWidth="1"/>
    <col min="8967" max="8967" width="12.42578125" customWidth="1"/>
    <col min="8968" max="8968" width="6.28515625" customWidth="1"/>
    <col min="8969" max="8969" bestFit="1" width="10.140625" customWidth="1"/>
    <col min="9218" max="9218" bestFit="1" width="10.140625" customWidth="1"/>
    <col min="9219" max="9219" width="8.28515625" customWidth="1"/>
    <col min="9220" max="9220" width="5.42578125" customWidth="1"/>
    <col min="9223" max="9223" width="12.42578125" customWidth="1"/>
    <col min="9224" max="9224" width="6.28515625" customWidth="1"/>
    <col min="9225" max="9225" bestFit="1" width="10.140625" customWidth="1"/>
    <col min="9474" max="9474" bestFit="1" width="10.140625" customWidth="1"/>
    <col min="9475" max="9475" width="8.28515625" customWidth="1"/>
    <col min="9476" max="9476" width="5.42578125" customWidth="1"/>
    <col min="9479" max="9479" width="12.42578125" customWidth="1"/>
    <col min="9480" max="9480" width="6.28515625" customWidth="1"/>
    <col min="9481" max="9481" bestFit="1" width="10.140625" customWidth="1"/>
    <col min="9730" max="9730" bestFit="1" width="10.140625" customWidth="1"/>
    <col min="9731" max="9731" width="8.28515625" customWidth="1"/>
    <col min="9732" max="9732" width="5.42578125" customWidth="1"/>
    <col min="9735" max="9735" width="12.42578125" customWidth="1"/>
    <col min="9736" max="9736" width="6.28515625" customWidth="1"/>
    <col min="9737" max="9737" bestFit="1" width="10.140625" customWidth="1"/>
    <col min="9986" max="9986" bestFit="1" width="10.140625" customWidth="1"/>
    <col min="9987" max="9987" width="8.28515625" customWidth="1"/>
    <col min="9988" max="9988" width="5.42578125" customWidth="1"/>
    <col min="9991" max="9991" width="12.42578125" customWidth="1"/>
    <col min="9992" max="9992" width="6.28515625" customWidth="1"/>
    <col min="9993" max="9993" bestFit="1" width="10.140625" customWidth="1"/>
    <col min="10242" max="10242" bestFit="1" width="10.140625" customWidth="1"/>
    <col min="10243" max="10243" width="8.28515625" customWidth="1"/>
    <col min="10244" max="10244" width="5.42578125" customWidth="1"/>
    <col min="10247" max="10247" width="12.42578125" customWidth="1"/>
    <col min="10248" max="10248" width="6.28515625" customWidth="1"/>
    <col min="10249" max="10249" bestFit="1" width="10.140625" customWidth="1"/>
    <col min="10498" max="10498" bestFit="1" width="10.140625" customWidth="1"/>
    <col min="10499" max="10499" width="8.28515625" customWidth="1"/>
    <col min="10500" max="10500" width="5.42578125" customWidth="1"/>
    <col min="10503" max="10503" width="12.42578125" customWidth="1"/>
    <col min="10504" max="10504" width="6.28515625" customWidth="1"/>
    <col min="10505" max="10505" bestFit="1" width="10.140625" customWidth="1"/>
    <col min="10754" max="10754" bestFit="1" width="10.140625" customWidth="1"/>
    <col min="10755" max="10755" width="8.28515625" customWidth="1"/>
    <col min="10756" max="10756" width="5.42578125" customWidth="1"/>
    <col min="10759" max="10759" width="12.42578125" customWidth="1"/>
    <col min="10760" max="10760" width="6.28515625" customWidth="1"/>
    <col min="10761" max="10761" bestFit="1" width="10.140625" customWidth="1"/>
    <col min="11010" max="11010" bestFit="1" width="10.140625" customWidth="1"/>
    <col min="11011" max="11011" width="8.28515625" customWidth="1"/>
    <col min="11012" max="11012" width="5.42578125" customWidth="1"/>
    <col min="11015" max="11015" width="12.42578125" customWidth="1"/>
    <col min="11016" max="11016" width="6.28515625" customWidth="1"/>
    <col min="11017" max="11017" bestFit="1" width="10.140625" customWidth="1"/>
    <col min="11266" max="11266" bestFit="1" width="10.140625" customWidth="1"/>
    <col min="11267" max="11267" width="8.28515625" customWidth="1"/>
    <col min="11268" max="11268" width="5.42578125" customWidth="1"/>
    <col min="11271" max="11271" width="12.42578125" customWidth="1"/>
    <col min="11272" max="11272" width="6.28515625" customWidth="1"/>
    <col min="11273" max="11273" bestFit="1" width="10.140625" customWidth="1"/>
    <col min="11522" max="11522" bestFit="1" width="10.140625" customWidth="1"/>
    <col min="11523" max="11523" width="8.28515625" customWidth="1"/>
    <col min="11524" max="11524" width="5.42578125" customWidth="1"/>
    <col min="11527" max="11527" width="12.42578125" customWidth="1"/>
    <col min="11528" max="11528" width="6.28515625" customWidth="1"/>
    <col min="11529" max="11529" bestFit="1" width="10.140625" customWidth="1"/>
    <col min="11778" max="11778" bestFit="1" width="10.140625" customWidth="1"/>
    <col min="11779" max="11779" width="8.28515625" customWidth="1"/>
    <col min="11780" max="11780" width="5.42578125" customWidth="1"/>
    <col min="11783" max="11783" width="12.42578125" customWidth="1"/>
    <col min="11784" max="11784" width="6.28515625" customWidth="1"/>
    <col min="11785" max="11785" bestFit="1" width="10.140625" customWidth="1"/>
    <col min="12034" max="12034" bestFit="1" width="10.140625" customWidth="1"/>
    <col min="12035" max="12035" width="8.28515625" customWidth="1"/>
    <col min="12036" max="12036" width="5.42578125" customWidth="1"/>
    <col min="12039" max="12039" width="12.42578125" customWidth="1"/>
    <col min="12040" max="12040" width="6.28515625" customWidth="1"/>
    <col min="12041" max="12041" bestFit="1" width="10.140625" customWidth="1"/>
    <col min="12290" max="12290" bestFit="1" width="10.140625" customWidth="1"/>
    <col min="12291" max="12291" width="8.28515625" customWidth="1"/>
    <col min="12292" max="12292" width="5.42578125" customWidth="1"/>
    <col min="12295" max="12295" width="12.42578125" customWidth="1"/>
    <col min="12296" max="12296" width="6.28515625" customWidth="1"/>
    <col min="12297" max="12297" bestFit="1" width="10.140625" customWidth="1"/>
    <col min="12546" max="12546" bestFit="1" width="10.140625" customWidth="1"/>
    <col min="12547" max="12547" width="8.28515625" customWidth="1"/>
    <col min="12548" max="12548" width="5.42578125" customWidth="1"/>
    <col min="12551" max="12551" width="12.42578125" customWidth="1"/>
    <col min="12552" max="12552" width="6.28515625" customWidth="1"/>
    <col min="12553" max="12553" bestFit="1" width="10.140625" customWidth="1"/>
    <col min="12802" max="12802" bestFit="1" width="10.140625" customWidth="1"/>
    <col min="12803" max="12803" width="8.28515625" customWidth="1"/>
    <col min="12804" max="12804" width="5.42578125" customWidth="1"/>
    <col min="12807" max="12807" width="12.42578125" customWidth="1"/>
    <col min="12808" max="12808" width="6.28515625" customWidth="1"/>
    <col min="12809" max="12809" bestFit="1" width="10.140625" customWidth="1"/>
    <col min="13058" max="13058" bestFit="1" width="10.140625" customWidth="1"/>
    <col min="13059" max="13059" width="8.28515625" customWidth="1"/>
    <col min="13060" max="13060" width="5.42578125" customWidth="1"/>
    <col min="13063" max="13063" width="12.42578125" customWidth="1"/>
    <col min="13064" max="13064" width="6.28515625" customWidth="1"/>
    <col min="13065" max="13065" bestFit="1" width="10.140625" customWidth="1"/>
    <col min="13314" max="13314" bestFit="1" width="10.140625" customWidth="1"/>
    <col min="13315" max="13315" width="8.28515625" customWidth="1"/>
    <col min="13316" max="13316" width="5.42578125" customWidth="1"/>
    <col min="13319" max="13319" width="12.42578125" customWidth="1"/>
    <col min="13320" max="13320" width="6.28515625" customWidth="1"/>
    <col min="13321" max="13321" bestFit="1" width="10.140625" customWidth="1"/>
    <col min="13570" max="13570" bestFit="1" width="10.140625" customWidth="1"/>
    <col min="13571" max="13571" width="8.28515625" customWidth="1"/>
    <col min="13572" max="13572" width="5.42578125" customWidth="1"/>
    <col min="13575" max="13575" width="12.42578125" customWidth="1"/>
    <col min="13576" max="13576" width="6.28515625" customWidth="1"/>
    <col min="13577" max="13577" bestFit="1" width="10.140625" customWidth="1"/>
    <col min="13826" max="13826" bestFit="1" width="10.140625" customWidth="1"/>
    <col min="13827" max="13827" width="8.28515625" customWidth="1"/>
    <col min="13828" max="13828" width="5.42578125" customWidth="1"/>
    <col min="13831" max="13831" width="12.42578125" customWidth="1"/>
    <col min="13832" max="13832" width="6.28515625" customWidth="1"/>
    <col min="13833" max="13833" bestFit="1" width="10.140625" customWidth="1"/>
    <col min="14082" max="14082" bestFit="1" width="10.140625" customWidth="1"/>
    <col min="14083" max="14083" width="8.28515625" customWidth="1"/>
    <col min="14084" max="14084" width="5.42578125" customWidth="1"/>
    <col min="14087" max="14087" width="12.42578125" customWidth="1"/>
    <col min="14088" max="14088" width="6.28515625" customWidth="1"/>
    <col min="14089" max="14089" bestFit="1" width="10.140625" customWidth="1"/>
    <col min="14338" max="14338" bestFit="1" width="10.140625" customWidth="1"/>
    <col min="14339" max="14339" width="8.28515625" customWidth="1"/>
    <col min="14340" max="14340" width="5.42578125" customWidth="1"/>
    <col min="14343" max="14343" width="12.42578125" customWidth="1"/>
    <col min="14344" max="14344" width="6.28515625" customWidth="1"/>
    <col min="14345" max="14345" bestFit="1" width="10.140625" customWidth="1"/>
    <col min="14594" max="14594" bestFit="1" width="10.140625" customWidth="1"/>
    <col min="14595" max="14595" width="8.28515625" customWidth="1"/>
    <col min="14596" max="14596" width="5.42578125" customWidth="1"/>
    <col min="14599" max="14599" width="12.42578125" customWidth="1"/>
    <col min="14600" max="14600" width="6.28515625" customWidth="1"/>
    <col min="14601" max="14601" bestFit="1" width="10.140625" customWidth="1"/>
    <col min="14850" max="14850" bestFit="1" width="10.140625" customWidth="1"/>
    <col min="14851" max="14851" width="8.28515625" customWidth="1"/>
    <col min="14852" max="14852" width="5.42578125" customWidth="1"/>
    <col min="14855" max="14855" width="12.42578125" customWidth="1"/>
    <col min="14856" max="14856" width="6.28515625" customWidth="1"/>
    <col min="14857" max="14857" bestFit="1" width="10.140625" customWidth="1"/>
    <col min="15106" max="15106" bestFit="1" width="10.140625" customWidth="1"/>
    <col min="15107" max="15107" width="8.28515625" customWidth="1"/>
    <col min="15108" max="15108" width="5.42578125" customWidth="1"/>
    <col min="15111" max="15111" width="12.42578125" customWidth="1"/>
    <col min="15112" max="15112" width="6.28515625" customWidth="1"/>
    <col min="15113" max="15113" bestFit="1" width="10.140625" customWidth="1"/>
    <col min="15362" max="15362" bestFit="1" width="10.140625" customWidth="1"/>
    <col min="15363" max="15363" width="8.28515625" customWidth="1"/>
    <col min="15364" max="15364" width="5.42578125" customWidth="1"/>
    <col min="15367" max="15367" width="12.42578125" customWidth="1"/>
    <col min="15368" max="15368" width="6.28515625" customWidth="1"/>
    <col min="15369" max="15369" bestFit="1" width="10.140625" customWidth="1"/>
    <col min="15618" max="15618" bestFit="1" width="10.140625" customWidth="1"/>
    <col min="15619" max="15619" width="8.28515625" customWidth="1"/>
    <col min="15620" max="15620" width="5.42578125" customWidth="1"/>
    <col min="15623" max="15623" width="12.42578125" customWidth="1"/>
    <col min="15624" max="15624" width="6.28515625" customWidth="1"/>
    <col min="15625" max="15625" bestFit="1" width="10.140625" customWidth="1"/>
    <col min="15874" max="15874" bestFit="1" width="10.140625" customWidth="1"/>
    <col min="15875" max="15875" width="8.28515625" customWidth="1"/>
    <col min="15876" max="15876" width="5.42578125" customWidth="1"/>
    <col min="15879" max="15879" width="12.42578125" customWidth="1"/>
    <col min="15880" max="15880" width="6.28515625" customWidth="1"/>
    <col min="15881" max="15881" bestFit="1" width="10.140625" customWidth="1"/>
    <col min="16130" max="16130" bestFit="1" width="10.140625" customWidth="1"/>
    <col min="16131" max="16131" width="8.28515625" customWidth="1"/>
    <col min="16132" max="16132" width="5.42578125" customWidth="1"/>
    <col min="16135" max="16135" width="12.42578125" customWidth="1"/>
    <col min="16136" max="16136" width="6.28515625" customWidth="1"/>
    <col min="16137" max="16137" bestFit="1" width="10.140625" customWidth="1"/>
  </cols>
  <sheetData>
    <row r="1" ht="15">
      <c r="G1" s="526"/>
      <c r="I1" s="526" t="s">
        <v>277</v>
      </c>
    </row>
    <row r="2" ht="15">
      <c r="G2" s="526"/>
      <c r="I2" s="526" t="s">
        <v>278</v>
      </c>
    </row>
    <row r="3" ht="15">
      <c r="G3" s="526"/>
      <c r="I3" s="526" t="s">
        <v>279</v>
      </c>
    </row>
    <row r="4" ht="15">
      <c r="G4" s="526"/>
      <c r="I4" s="526" t="s">
        <v>280</v>
      </c>
    </row>
    <row r="5" ht="15">
      <c r="G5" s="526"/>
      <c r="I5" s="526" t="s">
        <v>281</v>
      </c>
    </row>
    <row r="6" ht="15">
      <c r="G6" s="526"/>
      <c r="I6" s="526" t="s">
        <v>282</v>
      </c>
    </row>
    <row r="8" ht="15.75" customHeight="1">
      <c r="A8" s="527" t="s">
        <v>283</v>
      </c>
      <c r="B8" s="527"/>
      <c r="C8" s="527"/>
      <c r="D8" s="527"/>
      <c r="E8" s="527"/>
      <c r="F8" s="527"/>
      <c r="G8" s="527"/>
      <c r="H8" s="527"/>
      <c r="I8" s="527"/>
      <c r="J8" s="527"/>
      <c r="K8" s="527"/>
    </row>
    <row r="9">
      <c r="B9" s="528"/>
      <c r="C9" s="528"/>
      <c r="D9" s="528"/>
      <c r="E9" s="528"/>
      <c r="F9" s="528"/>
      <c r="G9" s="352"/>
      <c r="J9" s="529" t="s">
        <v>284</v>
      </c>
      <c r="K9" s="529"/>
    </row>
    <row r="10" ht="21" customHeight="1">
      <c r="A10" s="530" t="str">
        <f>"Subject: Particulars of PF Contribution for the Month of "&amp;'working sheet'!B10</f>
        <v>Subject: Particulars of PF Contribution for the Month of OCTOBER-2025</v>
      </c>
      <c r="B10" s="530"/>
      <c r="C10" s="530"/>
      <c r="D10" s="530"/>
      <c r="E10" s="530"/>
      <c r="F10" s="530"/>
      <c r="G10" s="530"/>
      <c r="H10" s="530"/>
      <c r="I10" s="530"/>
      <c r="J10" s="530"/>
      <c r="K10" s="530"/>
    </row>
    <row r="11" ht="15">
      <c r="A11" s="531" t="s">
        <v>285</v>
      </c>
      <c r="B11" s="531"/>
      <c r="C11" s="531"/>
      <c r="D11" s="531"/>
      <c r="E11" s="531"/>
      <c r="F11" s="531"/>
    </row>
    <row r="12" ht="15.75">
      <c r="A12" s="532" t="s">
        <v>286</v>
      </c>
      <c r="B12" s="532"/>
      <c r="C12" s="532"/>
      <c r="D12" s="532"/>
      <c r="E12" s="532"/>
    </row>
    <row r="13" ht="15.75">
      <c r="A13" s="532" t="s">
        <v>287</v>
      </c>
      <c r="B13" s="533"/>
      <c r="C13" s="533"/>
      <c r="D13" s="533"/>
    </row>
    <row r="14" ht="15.75">
      <c r="A14" s="532" t="s">
        <v>288</v>
      </c>
      <c r="B14" s="533"/>
      <c r="C14" s="533"/>
      <c r="D14" s="533"/>
    </row>
    <row r="15" ht="15.75">
      <c r="A15" s="532" t="s">
        <v>289</v>
      </c>
      <c r="B15" s="533"/>
      <c r="C15" s="533"/>
      <c r="D15" s="533"/>
    </row>
    <row r="16" ht="15.75">
      <c r="A16" s="532" t="s">
        <v>290</v>
      </c>
      <c r="B16" s="533"/>
      <c r="C16" s="533"/>
      <c r="D16" s="533"/>
      <c r="L16" s="360"/>
    </row>
    <row r="17" ht="15.75">
      <c r="A17" s="532" t="s">
        <v>291</v>
      </c>
      <c r="B17" s="533"/>
      <c r="C17" s="533"/>
      <c r="D17" s="533"/>
      <c r="L17" s="360"/>
    </row>
    <row r="18" ht="15.75">
      <c r="A18" s="532" t="s">
        <v>292</v>
      </c>
      <c r="B18" s="532"/>
      <c r="C18" s="532"/>
      <c r="D18" s="532"/>
      <c r="E18" s="532"/>
    </row>
    <row r="19" ht="15.75">
      <c r="A19" s="532" t="s">
        <v>293</v>
      </c>
      <c r="B19" s="533"/>
      <c r="C19" s="533"/>
      <c r="D19" s="533"/>
    </row>
    <row r="20" ht="15.75">
      <c r="A20" s="534" t="s">
        <v>294</v>
      </c>
      <c r="B20" s="534"/>
      <c r="C20" s="534"/>
      <c r="D20" s="534"/>
    </row>
    <row r="21" ht="15.75">
      <c r="A21" s="228" t="s">
        <v>295</v>
      </c>
      <c r="B21" s="228"/>
      <c r="C21" s="228"/>
      <c r="D21" s="228"/>
    </row>
    <row r="22" ht="15.75">
      <c r="A22" s="228" t="s">
        <v>296</v>
      </c>
      <c r="B22" s="228"/>
      <c r="C22" s="228"/>
      <c r="D22" s="228"/>
      <c r="E22" s="228"/>
    </row>
    <row r="23" ht="15.75">
      <c r="A23" s="360" t="s">
        <v>297</v>
      </c>
    </row>
    <row r="24" ht="15.75">
      <c r="A24" s="535" t="s">
        <v>298</v>
      </c>
      <c r="B24" s="535"/>
      <c r="C24" s="535"/>
      <c r="D24" s="535"/>
    </row>
    <row r="25" ht="15.75">
      <c r="A25" s="535" t="s">
        <v>299</v>
      </c>
      <c r="B25" s="535"/>
      <c r="C25" s="535"/>
      <c r="D25" s="535"/>
      <c r="E25" s="535"/>
    </row>
    <row r="26" ht="15.75">
      <c r="A26" s="483" t="str">
        <f>"      (a)  EPF Challan No. "&amp;'working sheet'!B12</f>
        <v>      (a)  EPF Challan No. 2511430013888</v>
      </c>
      <c r="B26" s="483"/>
      <c r="C26" s="483"/>
      <c r="D26" s="483"/>
      <c r="E26" s="536"/>
      <c r="F26" s="483" t="s">
        <v>300</v>
      </c>
      <c r="G26" s="536" t="str">
        <f>'working sheet'!B13</f>
        <v>17,69,632</v>
      </c>
      <c r="H26" s="483" t="s">
        <v>274</v>
      </c>
      <c r="I26" s="537" t="str">
        <f>'working sheet'!B14</f>
        <v>14/11/2025</v>
      </c>
    </row>
    <row r="27" ht="15.75">
      <c r="A27" s="538" t="s">
        <v>301</v>
      </c>
      <c r="B27" s="538"/>
      <c r="C27" s="538"/>
      <c r="D27" s="538"/>
      <c r="E27" s="538"/>
      <c r="F27" s="538"/>
    </row>
    <row r="28" ht="15.75">
      <c r="A28" s="483" t="str">
        <f>"      (a)  ESI Challan No. "&amp;'working sheet'!D12</f>
        <v>      (a)  ESI Challan No. 08125144313365</v>
      </c>
      <c r="B28" s="483"/>
      <c r="C28" s="228"/>
      <c r="F28" s="483" t="s">
        <v>300</v>
      </c>
      <c r="G28" s="539">
        <f>'working sheet'!D13</f>
        <v>43210</v>
      </c>
      <c r="H28" s="483" t="s">
        <v>274</v>
      </c>
      <c r="I28" s="537">
        <f>'working sheet'!D14</f>
        <v>45972</v>
      </c>
    </row>
    <row r="29" ht="15.75">
      <c r="A29" s="538"/>
      <c r="B29" s="538"/>
      <c r="C29" s="538"/>
      <c r="D29" s="538"/>
      <c r="E29" s="538"/>
      <c r="F29" s="538"/>
    </row>
    <row r="31" ht="15">
      <c r="A31" s="540" t="s">
        <v>302</v>
      </c>
      <c r="B31" s="541"/>
      <c r="C31" s="542"/>
      <c r="D31" s="540" t="s">
        <v>303</v>
      </c>
      <c r="E31" s="541"/>
      <c r="F31" s="541"/>
      <c r="G31" s="542"/>
      <c r="H31" s="543" t="s">
        <v>304</v>
      </c>
      <c r="I31" s="543"/>
      <c r="J31" s="543"/>
      <c r="K31" s="543"/>
    </row>
    <row r="32" ht="15.75">
      <c r="A32" s="544" t="s">
        <v>305</v>
      </c>
      <c r="B32" s="544"/>
      <c r="C32" s="544"/>
      <c r="D32" s="545" t="s">
        <v>157</v>
      </c>
      <c r="E32" s="546"/>
      <c r="F32" s="546"/>
      <c r="G32" s="547"/>
      <c r="H32" s="548" t="s">
        <v>157</v>
      </c>
      <c r="I32" s="548"/>
      <c r="J32" s="548"/>
      <c r="K32" s="548"/>
    </row>
    <row r="33" ht="15.75" customHeight="1">
      <c r="A33" s="549" t="s">
        <v>306</v>
      </c>
      <c r="B33" s="550"/>
      <c r="C33" s="551"/>
      <c r="D33" s="552" t="s">
        <v>157</v>
      </c>
      <c r="E33" s="553"/>
      <c r="F33" s="553"/>
      <c r="G33" s="554"/>
      <c r="H33" s="548" t="s">
        <v>157</v>
      </c>
      <c r="I33" s="548"/>
      <c r="J33" s="548"/>
      <c r="K33" s="548"/>
    </row>
    <row r="34" ht="15.75">
      <c r="A34" s="555" t="s">
        <v>307</v>
      </c>
      <c r="B34" s="556"/>
      <c r="C34" s="557"/>
      <c r="D34" s="552">
        <v>2</v>
      </c>
      <c r="E34" s="553"/>
      <c r="F34" s="553"/>
      <c r="G34" s="554"/>
      <c r="H34" s="548">
        <v>739</v>
      </c>
      <c r="I34" s="548"/>
      <c r="J34" s="548"/>
      <c r="K34" s="548"/>
    </row>
    <row r="35" ht="15.75" customHeight="1">
      <c r="A35" s="555" t="s">
        <v>308</v>
      </c>
      <c r="B35" s="556"/>
      <c r="C35" s="557"/>
      <c r="D35" s="552" t="s">
        <v>157</v>
      </c>
      <c r="E35" s="553"/>
      <c r="F35" s="553"/>
      <c r="G35" s="554"/>
      <c r="H35" s="548" t="s">
        <v>157</v>
      </c>
      <c r="I35" s="548"/>
      <c r="J35" s="548"/>
      <c r="K35" s="548"/>
    </row>
    <row r="36" ht="15.75">
      <c r="A36" s="558" t="s">
        <v>309</v>
      </c>
      <c r="B36" s="558"/>
      <c r="C36" s="558"/>
      <c r="D36" s="559">
        <f>SUM(D32:E35)</f>
        <v>2</v>
      </c>
      <c r="E36" s="560"/>
      <c r="F36" s="560"/>
      <c r="G36" s="561"/>
      <c r="H36" s="562"/>
      <c r="I36" s="562"/>
      <c r="J36" s="562"/>
      <c r="K36" s="562"/>
    </row>
    <row r="38" ht="15.75">
      <c r="A38" s="563"/>
      <c r="B38" s="563"/>
      <c r="C38" s="563"/>
      <c r="D38" s="359" t="s">
        <v>310</v>
      </c>
    </row>
    <row r="41" ht="21" customHeight="1">
      <c r="A41" s="564" t="s">
        <v>311</v>
      </c>
      <c r="B41" s="565" t="s">
        <v>312</v>
      </c>
      <c r="C41" s="565"/>
      <c r="D41" s="528"/>
    </row>
    <row r="42" ht="15.75">
      <c r="A42" s="564" t="s">
        <v>313</v>
      </c>
      <c r="B42" s="566">
        <f>I28</f>
        <v>45972</v>
      </c>
      <c r="C42" s="528"/>
      <c r="D42" s="528"/>
    </row>
    <row r="43" ht="15.75">
      <c r="A43" s="564"/>
      <c r="B43" s="567"/>
      <c r="C43" s="528"/>
      <c r="D43" s="528"/>
    </row>
    <row r="44" ht="15.75">
      <c r="A44" s="564"/>
      <c r="B44" s="567"/>
      <c r="C44" s="528"/>
      <c r="D44" s="528"/>
    </row>
    <row r="45" ht="15.75">
      <c r="A45" s="564"/>
      <c r="B45" s="567"/>
      <c r="C45" s="528"/>
      <c r="D45" s="528"/>
    </row>
    <row r="46" ht="15.75">
      <c r="A46" s="564"/>
      <c r="B46" s="567"/>
      <c r="C46" s="528"/>
      <c r="D46" s="528"/>
    </row>
    <row r="47" ht="15.75">
      <c r="A47" s="564"/>
      <c r="B47" s="567"/>
      <c r="C47" s="528"/>
      <c r="D47" s="528"/>
    </row>
    <row r="48"/>
    <row r="49" ht="15">
      <c r="F49" s="526"/>
      <c r="I49" s="526" t="s">
        <v>277</v>
      </c>
    </row>
    <row r="50" ht="15">
      <c r="F50" s="526"/>
      <c r="I50" s="526" t="s">
        <v>278</v>
      </c>
    </row>
    <row r="51" ht="15">
      <c r="F51" s="526"/>
      <c r="I51" s="526" t="s">
        <v>279</v>
      </c>
    </row>
    <row r="52" ht="15">
      <c r="F52" s="526"/>
      <c r="I52" s="526" t="s">
        <v>280</v>
      </c>
    </row>
    <row r="53" ht="15">
      <c r="F53" s="526"/>
      <c r="I53" s="526" t="s">
        <v>281</v>
      </c>
    </row>
    <row r="54" ht="15">
      <c r="F54" s="526"/>
      <c r="I54" s="526" t="s">
        <v>282</v>
      </c>
    </row>
    <row r="55" ht="15.75">
      <c r="G55" s="568"/>
      <c r="I55" s="568"/>
    </row>
    <row r="56" ht="15">
      <c r="A56" s="569" t="str">
        <f>"Invoice No.: "&amp;'working sheet'!B6</f>
        <v>Invoice No.: SSI/1181</v>
      </c>
      <c r="G56" s="570"/>
      <c r="H56" s="571">
        <f>'working sheet'!B8</f>
        <v>45964</v>
      </c>
      <c r="I56" s="571"/>
      <c r="J56" s="571"/>
      <c r="K56" s="571"/>
    </row>
    <row r="57" ht="15.75">
      <c r="A57" s="572"/>
    </row>
    <row r="58" ht="15.75">
      <c r="A58" s="573" t="s">
        <v>314</v>
      </c>
    </row>
    <row r="59" ht="15.75">
      <c r="A59" s="573" t="s">
        <v>315</v>
      </c>
    </row>
    <row r="60" ht="15.75" customHeight="1">
      <c r="A60" s="573" t="s">
        <v>316</v>
      </c>
      <c r="B60" s="574"/>
      <c r="C60" s="574"/>
      <c r="D60" s="574"/>
      <c r="E60" s="574"/>
    </row>
    <row r="61">
      <c r="A61" s="575"/>
    </row>
    <row r="62" ht="15">
      <c r="A62" s="576" t="s">
        <v>317</v>
      </c>
      <c r="B62" s="576"/>
      <c r="C62" s="576"/>
      <c r="D62" s="576"/>
      <c r="E62" s="576"/>
      <c r="F62" s="576"/>
      <c r="G62" s="576"/>
      <c r="H62" s="576"/>
      <c r="I62" s="576"/>
      <c r="J62" s="576"/>
      <c r="K62" s="576"/>
    </row>
    <row r="63" ht="15.75">
      <c r="A63" s="572"/>
    </row>
    <row r="64" ht="14.25">
      <c r="A64" s="577" t="str">
        <f>"Subject: "&amp;'working sheet'!C9&amp;" – Invoice No. "&amp;'working sheet'!B6&amp;" for the Month of "&amp;'working sheet'!B10&amp;" assistance for digitization services in documents"</f>
        <v>Subject: RA BILL NO-22 – Invoice No. SSI/1181 for the Month of OCTOBER-2025 assistance for digitization services in documents</v>
      </c>
    </row>
    <row r="65" ht="14.25">
      <c r="A65" s="577" t="s">
        <v>318</v>
      </c>
    </row>
    <row r="67" ht="14.25">
      <c r="A67" s="577" t="s">
        <v>319</v>
      </c>
    </row>
    <row r="68" ht="15.75">
      <c r="A68" s="572"/>
      <c r="B68" s="526"/>
      <c r="C68" s="526"/>
      <c r="D68" s="526"/>
      <c r="E68" s="526"/>
      <c r="F68" s="526"/>
      <c r="G68" s="526"/>
      <c r="H68" s="526"/>
      <c r="I68" s="526"/>
    </row>
    <row r="69" ht="15">
      <c r="A69" s="577" t="s">
        <v>320</v>
      </c>
      <c r="B69" s="526"/>
      <c r="C69" s="526"/>
      <c r="D69" s="526"/>
      <c r="E69" s="526"/>
      <c r="F69" s="526"/>
      <c r="G69" s="526"/>
      <c r="H69" s="526"/>
      <c r="I69" s="526"/>
    </row>
    <row r="70" ht="15">
      <c r="A70" s="577"/>
      <c r="B70" s="526"/>
      <c r="C70" s="526"/>
      <c r="D70" s="526"/>
      <c r="E70" s="526"/>
      <c r="F70" s="526"/>
      <c r="G70" s="526"/>
      <c r="H70" s="526"/>
      <c r="I70" s="526"/>
    </row>
    <row r="71" ht="15">
      <c r="A71" s="577" t="str">
        <f>"We are submitting "&amp;'working sheet'!C9&amp;", Invoice No.- "&amp;'working sheet'!B6&amp;" for the period of "&amp;'working sheet'!B5&amp;" for assistance for "</f>
        <v>We are submitting RA BILL NO-22, Invoice No.- SSI/1181 for the period of 01 Oct 2025 To 31 Oct 2025 for assistance for </v>
      </c>
      <c r="B71" s="526"/>
      <c r="C71" s="526"/>
      <c r="D71" s="526"/>
      <c r="E71" s="526"/>
      <c r="F71" s="526"/>
      <c r="G71" s="526"/>
      <c r="H71" s="526"/>
      <c r="I71" s="526"/>
    </row>
    <row r="72" ht="15">
      <c r="A72" s="577" t="s">
        <v>321</v>
      </c>
      <c r="B72" s="526"/>
      <c r="C72" s="526"/>
      <c r="D72" s="526"/>
      <c r="E72" s="526"/>
      <c r="F72" s="526"/>
      <c r="G72" s="526"/>
      <c r="H72" s="526"/>
      <c r="I72" s="526"/>
    </row>
    <row r="73" ht="15">
      <c r="A73" s="577"/>
      <c r="B73" s="526"/>
      <c r="C73" s="526"/>
      <c r="D73" s="526"/>
      <c r="E73" s="526"/>
      <c r="F73" s="526"/>
      <c r="G73" s="526"/>
      <c r="H73" s="526"/>
      <c r="I73" s="526"/>
    </row>
    <row r="74" ht="14.25">
      <c r="A74" s="577" t="str">
        <f>"The  total  bill  amount  is  INR  "&amp;'working sheet'!B16</f>
        <v>The  total  bill  amount  is  INR  57609</v>
      </c>
      <c r="E74" s="578" t="str">
        <f>[1]!SpellNumber('working sheet'!B16)</f>
        <v>Rupees FiftySeven Thousand Six Hundred Nine Only </v>
      </c>
    </row>
    <row r="75" ht="15.75">
      <c r="A75" s="572"/>
    </row>
    <row r="76" ht="14.25">
      <c r="A76" s="577" t="s">
        <v>322</v>
      </c>
    </row>
    <row r="77" ht="15">
      <c r="A77" s="577" t="s">
        <v>323</v>
      </c>
      <c r="B77" s="526"/>
    </row>
    <row r="78" ht="15">
      <c r="A78" s="577" t="s">
        <v>324</v>
      </c>
      <c r="B78" s="526"/>
    </row>
    <row r="79" ht="15">
      <c r="A79" s="577" t="s">
        <v>325</v>
      </c>
      <c r="B79" s="526"/>
    </row>
    <row r="80" ht="15">
      <c r="A80" s="577" t="s">
        <v>326</v>
      </c>
      <c r="B80" s="526"/>
    </row>
    <row r="81" ht="15">
      <c r="A81" s="577" t="s">
        <v>327</v>
      </c>
      <c r="B81" s="526"/>
    </row>
    <row r="83" ht="14.25">
      <c r="A83" s="577" t="s">
        <v>328</v>
      </c>
    </row>
    <row r="85" ht="15">
      <c r="A85" s="577" t="s">
        <v>329</v>
      </c>
      <c r="B85" s="526"/>
      <c r="C85" s="526"/>
    </row>
    <row r="86" ht="15">
      <c r="A86" s="577" t="s">
        <v>330</v>
      </c>
      <c r="B86" s="526"/>
      <c r="C86" s="526"/>
    </row>
    <row r="87" ht="15">
      <c r="A87" s="577" t="s">
        <v>277</v>
      </c>
      <c r="B87" s="526"/>
      <c r="C87" s="526"/>
    </row>
    <row r="88" ht="15">
      <c r="A88" s="577" t="s">
        <v>331</v>
      </c>
      <c r="B88" s="526"/>
      <c r="C88" s="526"/>
    </row>
    <row r="91" ht="14.25">
      <c r="A91" s="577"/>
    </row>
    <row r="92" ht="14.25">
      <c r="A92" s="577"/>
    </row>
    <row r="93" ht="14.25">
      <c r="A93" s="577"/>
    </row>
    <row r="94" ht="14.25">
      <c r="A94" s="577" t="s">
        <v>332</v>
      </c>
    </row>
    <row r="95" ht="14.25">
      <c r="A95" s="577" t="s">
        <v>333</v>
      </c>
    </row>
    <row r="96" ht="14.25">
      <c r="A96" s="577" t="s">
        <v>334</v>
      </c>
    </row>
    <row r="97" ht="14.25">
      <c r="A97" s="577" t="s">
        <v>335</v>
      </c>
    </row>
  </sheetData>
  <mergeCells>
    <mergeCell ref="A31:C31"/>
    <mergeCell ref="D31:G31"/>
    <mergeCell ref="H31:K31"/>
    <mergeCell ref="A8:K8"/>
    <mergeCell ref="J9:K9"/>
    <mergeCell ref="A10:K10"/>
    <mergeCell ref="A27:F27"/>
    <mergeCell ref="A29:F29"/>
    <mergeCell ref="A32:C32"/>
    <mergeCell ref="D32:G32"/>
    <mergeCell ref="H32:K32"/>
    <mergeCell ref="A33:C33"/>
    <mergeCell ref="D33:G33"/>
    <mergeCell ref="H33:K33"/>
    <mergeCell ref="A62:K62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B41:C41"/>
    <mergeCell ref="H56:K56"/>
  </mergeCells>
  <hyperlinks>
    <hyperlink ref="I5" display="mailto:snsitech@gmail.com" r:id="rId2"/>
    <hyperlink ref="I6" display="http://www.snsinfotech.com/" r:id="rId3"/>
    <hyperlink ref="I53" display="mailto:snsitech@gmail.com" r:id="rId4"/>
    <hyperlink ref="I54" display="http://www.snsinfotech.com/" r:id="rId5"/>
  </hyperlinks>
  <pageMargins left="0.45" right="0.45" top="0.5" bottom="0.5" header="0.5" footer="0.5"/>
  <pageSetup scale="91" orientation="portrait"/>
  <headerFooter/>
  <rowBreaks count="1" manualBreakCount="1">
    <brk id="48" max="1048575" man="1"/>
  </rowBreaks>
  <drawing r:id="rId1"/>
</worksheet>
</file>

<file path=EPPlusLicense.txt>This workbook was created with the EPPlus library, licensed to ExcelToPdf Converter under the Polyform Noncommercial license, see https://polyformproject.org/licenses/noncommercial/1.0.0
For more information about EPPlus, see https://epplussoftware.com/

</file>

<file path=docProps/app.xml><?xml version="1.0" encoding="utf-8"?>
<Properties xmlns:vt="http://schemas.openxmlformats.org/officeDocument/2006/docPropsVTypes" xmlns="http://schemas.openxmlformats.org/officeDocument/2006/extended-properties">
  <Application>EPPlus</Application>
  <AppVersion>8.2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keywords>EPPlus noncommercial use</cp:keywords>
  <dc:description>This workbook has been created with EPPlus licensed to ExcelToPdf Converter under The Polyform Noncommercial License: See https://polyformproject.org/licenses/noncommercial/1.0.0</dc:description>
  <dc:creator>ExcelToPdf Converter</dc:creator>
</cp:coreProperties>
</file>

<file path=docProps/custom.xml><?xml version="1.0" encoding="utf-8"?>
<Properties xmlns:vt="http://schemas.openxmlformats.org/officeDocument/2006/docPropsVTypes" xmlns="http://schemas.openxmlformats.org/officeDocument/2006/custom-properties"/>
</file>